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Trade Log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<sst xmlns="http://schemas.openxmlformats.org/spreadsheetml/2006/main" count="111" uniqueCount="95">
  <si>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</si>
  <si>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</si>
  <si>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</si>
  <si>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</si>
  <si>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</si>
  <si>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</si>
  <si>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</si>
  <si>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</si>
  <si>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price stops going up (or down) and starts turning.</t>
  </si>
  <si>
    <t xml:space="preserve">Step 3</t>
  </si>
  <si>
    <t xml:space="preserve">One strong candle in the new direction. Enter when price breaks that candle.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</si>
  <si>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</si>
  <si>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</si>
  <si>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</si>
  <si>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</si>
  <si>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</si>
  <si>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</si>
  <si>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</si>
  <si>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</si>
  <si>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</si>
  <si>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</si>
  <si>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</si>
  <si>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</si>
  <si>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</si>
  <si>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Main: XAUUSD, EURUSD, GBPUSD, GER40, US500. Extras: US100, BTCUSD. Nothing else.</t>
  </si>
  <si>
    <t xml:space="preserve">Never</t>
  </si>
  <si>
    <t xml:space="preserve">Move my stop further away. Trade without the 3 steps. Trade outside my times.</t>
  </si>
  <si>
    <t xml:space="preserve">Goal</t>
  </si>
  <si>
    <t xml:space="preserve">Log 50 demo trades with these rules.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</si>
  <si>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</si>
  <si>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</si>
  <si>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</si>
  <si>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</si>
  <si>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</si>
  <si>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</si>
  <si>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</si>
  <si>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</si>
  <si>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Max risk allowed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</si>
  <si>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</si>
  <si>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</si>
  <si>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</si>
  <si>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</si>
  <si>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Actual risk with this lot ($)</t>
  </si>
  <si>
    <t xml:space="preserve">If LOT SIZE says SKIP, your stop is too big for the smallest lot. Skip the trade.</t>
  </si>
  <si>
    <t xml:space="preserve">Lots are rounded DOWN to what MT5 allows, so actual risk can be a bit under $50.</t>
  </si>
  <si>
    <t xml:space="preserve">PAIR SETTINGS (from your Deriv MT5 Standard account)</t>
  </si>
  <si>
    <t xml:space="preserve">1 pip / point =</t>
  </si>
  <si>
    <t xml:space="preserve">$ per pip, 1 lot</t>
  </si>
  <si>
    <t xml:space="preserve">Min lot</t>
  </si>
  <si>
    <t xml:space="preserve">Lot step</t>
  </si>
  <si>
    <t xml:space="preserve">Notes</t>
  </si>
  <si>
    <t xml:space="preserve">Contract 100 oz: 0.10 move = $10 per lot</t>
  </si>
  <si>
    <t xml:space="preserve">EURUSD</t>
  </si>
  <si>
    <t xml:space="preserve">Contract 100,000: 0.0001 move = $10 per lot</t>
  </si>
  <si>
    <t xml:space="preserve">GBPUSD</t>
  </si>
  <si>
    <t xml:space="preserve">GER40</t>
  </si>
  <si>
    <t xml:space="preserve">Contract 1: 1 point = 1 EUR (about $1.15). If profit currency is USD, change to 1.00</t>
  </si>
  <si>
    <t xml:space="preserve">US500</t>
  </si>
  <si>
    <t xml:space="preserve">Contract 1: 1 point = $1 per lot</t>
  </si>
  <si>
    <t xml:space="preserve">US100</t>
  </si>
  <si>
    <t xml:space="preserve">Extra. Contract 1: 1 point = $1 per lot</t>
  </si>
  <si>
    <t xml:space="preserve">BTCUSD</t>
  </si>
  <si>
    <t xml:space="preserve">Extra. Contract 1 BTC: $1 move = $1 per lot</t>
  </si>
  <si>
    <t xml:space="preserve">Account</t>
  </si>
  <si>
    <t xml:space="preserve">Risk per trade ($)</t>
  </si>
  <si>
    <t xml:space="preserve">Checked on Deriv MT5 Standard, 8 Oct 2026. Your MT5 names: US Tech 100 = US100, US SP 500 = US500, Germany 40 = GER40.</t>
  </si>
  <si>
    <t xml:space="preserve">(0.5% of starting balance. Change it on the Trade Log tab.)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</si>
  <si>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</si>
  <si>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</si>
  <si>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</si>
  <si>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</si>
  <si>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</si>
  <si>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</si>
  <si>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</si>
  <si>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</si>
  <si>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Entry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</si>
  <si>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</si>
  <si>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</si>
  <si>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</si>
  <si>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</si>
  <si>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</si>
  <si>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</si>
  <si>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HOW AM I DOING?</t>
  </si>
  <si>
    <t xml:space="preserve">Trades logged</t>
  </si>
  <si>
    <t xml:space="preserve">Wins</t>
  </si>
  <si>
    <t xml:space="preserve">Losses</t>
  </si>
  <si>
    <t xml:space="preserve">Win rate</t>
  </si>
  <si>
    <t xml:space="preserve">Total R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</si>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</sst>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\$#,##0"/>
    <numFmt numFmtId="171" formatCode="0.0%"/>
    <numFmt numFmtId="172" formatCode="dd\-mmm\-yy"/>
    <numFmt numFmtId="173" formatCode="0.00;\-0.00;0.00"/>
    <numFmt numFmtId="174" formatCode="\$#,##0.00;&quot;-$&quot;#,##0.00"/>
    <numFmt numFmtId="175" formatCode="0"/>
    <numFmt numFmtId="17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8" min="7" style="0" width="9"/>
    <col collapsed="false" customWidth="true" hidden="false" outlineLevel="0" max="9" min="9" style="0" width="62"/>
  </cols>
  <sheetData>
    <row r="1" customFormat="false" ht="25.5" hidden="false" customHeight="true" outlineLevel="0" collapsed="false">
      <c r="A1" s="1" t="s">
        <v>29</v>
      </c>
    </row>
    <row r="2" customFormat="false" ht="15" hidden="false" customHeight="false" outlineLevel="0" collapsed="false">
      <c r="A2" s="4" t="s">
        <v>30</v>
      </c>
    </row>
    <row r="4" customFormat="false" ht="15" hidden="false" customHeight="false" outlineLevel="0" collapsed="false">
      <c r="A4" s="5" t="s">
        <v>31</v>
      </c>
      <c r="B4" s="6" t="s">
        <v>32</v>
      </c>
    </row>
    <row r="5" customFormat="false" ht="15" hidden="false" customHeight="false" outlineLevel="0" collapsed="false">
      <c r="A5" s="5" t="s">
        <v>33</v>
      </c>
      <c r="B5" s="7" t="n">
        <v>2650</v>
      </c>
    </row>
    <row r="6" customFormat="false" ht="15" hidden="false" customHeight="false" outlineLevel="0" collapsed="false">
      <c r="A6" s="5" t="s">
        <v>34</v>
      </c>
      <c r="B6" s="7" t="n">
        <v>2647</v>
      </c>
    </row>
    <row r="8" customFormat="false" ht="15" hidden="false" customHeight="false" outlineLevel="0" collapsed="false">
      <c r="A8" s="5" t="s">
        <v>35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36</v>
      </c>
      <c r="B9" s="9" t="n">
        <f aca="false">IFERROR(ROUND(ABS(B5-B6)/VLOOKUP(B4,$D$19:$H$25,2,FALSE()),1),"")</f>
        <v>30</v>
      </c>
    </row>
    <row r="10" customFormat="false" ht="15" hidden="false" customHeight="false" outlineLevel="0" collapsed="false">
      <c r="A10" s="5" t="s">
        <v>37</v>
      </c>
      <c r="B10" s="10" t="n">
        <f aca="false">B27</f>
        <v>50</v>
      </c>
    </row>
    <row r="11" customFormat="false" ht="24" hidden="false" customHeight="true" outlineLevel="0" collapsed="false">
      <c r="A11" s="11" t="s">
        <v>38</v>
      </c>
      <c r="B11" s="12" t="n">
        <f aca="false">IFERROR(IF(B10/(B9*VLOOKUP(B4,$D$19:$H$25,3,FALSE()))&lt;VLOOKUP(B4,$D$19:$H$25,4,FALSE()),"SKIP",ROUNDDOWN(B10/(B9*VLOOKUP(B4,$D$19:$H$25,3,FALSE()))/VLOOKUP(B4,$D$19:$H$25,5,FALSE())+0.000001,0)*VLOOKUP(B4,$D$19:$H$25,5,FALSE())),"")</f>
        <v>0.16</v>
      </c>
      <c r="C11" s="4" t="s">
        <v>39</v>
      </c>
    </row>
    <row r="12" customFormat="false" ht="15" hidden="false" customHeight="false" outlineLevel="0" collapsed="false">
      <c r="A12" s="5" t="s">
        <v>40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41</v>
      </c>
      <c r="B13" s="10" t="n">
        <f aca="false">IFERROR(B11*B9*1.5*VLOOKUP(B4,$D$19:$H$25,3,FALSE()),"")</f>
        <v>72</v>
      </c>
    </row>
    <row r="14" customFormat="false" ht="15" hidden="false" customHeight="false" outlineLevel="0" collapsed="false">
      <c r="A14" s="5" t="s">
        <v>42</v>
      </c>
      <c r="B14" s="10" t="n">
        <f aca="false">IFERROR(B11*B9*VLOOKUP(B4,$D$19:$H$25,3,FALSE()),"")</f>
        <v>48</v>
      </c>
    </row>
    <row r="16" customFormat="false" ht="15" hidden="false" customHeight="false" outlineLevel="0" collapsed="false">
      <c r="A16" s="14" t="s">
        <v>43</v>
      </c>
    </row>
    <row r="17" customFormat="false" ht="15" hidden="false" customHeight="false" outlineLevel="0" collapsed="false">
      <c r="A17" s="15" t="s">
        <v>44</v>
      </c>
      <c r="D17" s="16" t="s">
        <v>45</v>
      </c>
    </row>
    <row r="18" customFormat="false" ht="29.85" hidden="false" customHeight="false" outlineLevel="0" collapsed="false">
      <c r="D18" s="17" t="s">
        <v>31</v>
      </c>
      <c r="E18" s="17" t="s">
        <v>46</v>
      </c>
      <c r="F18" s="17" t="s">
        <v>47</v>
      </c>
      <c r="G18" s="17" t="s">
        <v>48</v>
      </c>
      <c r="H18" s="17" t="s">
        <v>49</v>
      </c>
      <c r="I18" s="17" t="s">
        <v>50</v>
      </c>
    </row>
    <row r="19" customFormat="false" ht="15" hidden="false" customHeight="false" outlineLevel="0" collapsed="false">
      <c r="D19" s="8" t="s">
        <v>32</v>
      </c>
      <c r="E19" s="18" t="n">
        <v>0.1</v>
      </c>
      <c r="F19" s="19" t="n">
        <v>10</v>
      </c>
      <c r="G19" s="20" t="n">
        <v>0.01</v>
      </c>
      <c r="H19" s="20" t="n">
        <v>0.01</v>
      </c>
      <c r="I19" s="15" t="s">
        <v>51</v>
      </c>
    </row>
    <row r="20" customFormat="false" ht="15" hidden="false" customHeight="false" outlineLevel="0" collapsed="false">
      <c r="D20" s="8" t="s">
        <v>52</v>
      </c>
      <c r="E20" s="18" t="n">
        <v>0.0001</v>
      </c>
      <c r="F20" s="19" t="n">
        <v>10</v>
      </c>
      <c r="G20" s="20" t="n">
        <v>0.01</v>
      </c>
      <c r="H20" s="20" t="n">
        <v>0.01</v>
      </c>
      <c r="I20" s="15" t="s">
        <v>53</v>
      </c>
    </row>
    <row r="21" customFormat="false" ht="15" hidden="false" customHeight="false" outlineLevel="0" collapsed="false">
      <c r="D21" s="8" t="s">
        <v>54</v>
      </c>
      <c r="E21" s="18" t="n">
        <v>0.0001</v>
      </c>
      <c r="F21" s="19" t="n">
        <v>10</v>
      </c>
      <c r="G21" s="20" t="n">
        <v>0.01</v>
      </c>
      <c r="H21" s="20" t="n">
        <v>0.01</v>
      </c>
      <c r="I21" s="15" t="s">
        <v>53</v>
      </c>
    </row>
    <row r="22" customFormat="false" ht="15" hidden="false" customHeight="false" outlineLevel="0" collapsed="false">
      <c r="D22" s="8" t="s">
        <v>55</v>
      </c>
      <c r="E22" s="18" t="n">
        <v>1</v>
      </c>
      <c r="F22" s="19" t="n">
        <v>1.15</v>
      </c>
      <c r="G22" s="20" t="n">
        <v>0.1</v>
      </c>
      <c r="H22" s="20" t="n">
        <v>0.1</v>
      </c>
      <c r="I22" s="15" t="s">
        <v>56</v>
      </c>
    </row>
    <row r="23" customFormat="false" ht="15" hidden="false" customHeight="false" outlineLevel="0" collapsed="false">
      <c r="D23" s="8" t="s">
        <v>57</v>
      </c>
      <c r="E23" s="18" t="n">
        <v>1</v>
      </c>
      <c r="F23" s="19" t="n">
        <v>1</v>
      </c>
      <c r="G23" s="20" t="n">
        <v>0.1</v>
      </c>
      <c r="H23" s="20" t="n">
        <v>0.1</v>
      </c>
      <c r="I23" s="15" t="s">
        <v>58</v>
      </c>
    </row>
    <row r="24" customFormat="false" ht="15" hidden="false" customHeight="false" outlineLevel="0" collapsed="false">
      <c r="D24" s="8" t="s">
        <v>59</v>
      </c>
      <c r="E24" s="18" t="n">
        <v>1</v>
      </c>
      <c r="F24" s="19" t="n">
        <v>1</v>
      </c>
      <c r="G24" s="20" t="n">
        <v>0.1</v>
      </c>
      <c r="H24" s="20" t="n">
        <v>0.1</v>
      </c>
      <c r="I24" s="15" t="s">
        <v>60</v>
      </c>
    </row>
    <row r="25" customFormat="false" ht="15" hidden="false" customHeight="false" outlineLevel="0" collapsed="false">
      <c r="D25" s="8" t="s">
        <v>61</v>
      </c>
      <c r="E25" s="18" t="n">
        <v>1</v>
      </c>
      <c r="F25" s="19" t="n">
        <v>1</v>
      </c>
      <c r="G25" s="20" t="n">
        <v>0.01</v>
      </c>
      <c r="H25" s="20" t="n">
        <v>0.01</v>
      </c>
      <c r="I25" s="15" t="s">
        <v>62</v>
      </c>
    </row>
    <row r="26" customFormat="false" ht="15" hidden="false" customHeight="false" outlineLevel="0" collapsed="false">
      <c r="A26" s="16" t="s">
        <v>63</v>
      </c>
    </row>
    <row r="27" customFormat="false" ht="15" hidden="false" customHeight="false" outlineLevel="0" collapsed="false">
      <c r="A27" s="5" t="s">
        <v>64</v>
      </c>
      <c r="B27" s="10" t="n">
        <f aca="false">'Trade Log'!$M$2*'Trade Log'!$M$3</f>
        <v>50</v>
      </c>
      <c r="D27" s="15" t="s">
        <v>65</v>
      </c>
    </row>
    <row r="28" customFormat="false" ht="15" hidden="false" customHeight="false" outlineLevel="0" collapsed="false">
      <c r="A28" s="15" t="s">
        <v>66</v>
      </c>
    </row>
  </sheetData>
  <dataValidations count="1">
    <dataValidation allowBlank="false" errorStyle="stop" operator="between" showDropDown="false" showErrorMessage="false" showInputMessage="false" sqref="B4" type="list">
      <formula1>$D$19:$D$25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67</v>
      </c>
    </row>
    <row r="2" customFormat="false" ht="15" hidden="false" customHeight="false" outlineLevel="0" collapsed="false">
      <c r="L2" s="11" t="s">
        <v>68</v>
      </c>
      <c r="M2" s="21" t="n">
        <v>10000</v>
      </c>
    </row>
    <row r="3" customFormat="false" ht="15" hidden="false" customHeight="false" outlineLevel="0" collapsed="false">
      <c r="A3" s="4" t="s">
        <v>69</v>
      </c>
      <c r="L3" s="11" t="s">
        <v>70</v>
      </c>
      <c r="M3" s="22" t="n">
        <v>0.005</v>
      </c>
    </row>
    <row r="4" customFormat="false" ht="15" hidden="false" customHeight="false" outlineLevel="0" collapsed="false">
      <c r="A4" s="4" t="s">
        <v>71</v>
      </c>
      <c r="L4" s="11" t="s">
        <v>72</v>
      </c>
      <c r="M4" s="23" t="n">
        <f aca="false">M2+SUM(J7:J206)</f>
        <v>10000</v>
      </c>
    </row>
    <row r="6" customFormat="false" ht="31.5" hidden="false" customHeight="true" outlineLevel="0" collapsed="false">
      <c r="A6" s="17" t="s">
        <v>73</v>
      </c>
      <c r="B6" s="17" t="s">
        <v>31</v>
      </c>
      <c r="C6" s="17" t="s">
        <v>74</v>
      </c>
      <c r="D6" s="17" t="s">
        <v>75</v>
      </c>
      <c r="E6" s="17" t="s">
        <v>11</v>
      </c>
      <c r="F6" s="17" t="s">
        <v>76</v>
      </c>
      <c r="G6" s="17" t="s">
        <v>77</v>
      </c>
      <c r="H6" s="17" t="s">
        <v>78</v>
      </c>
      <c r="I6" s="17" t="s">
        <v>79</v>
      </c>
      <c r="J6" s="17" t="s">
        <v>80</v>
      </c>
      <c r="K6" s="17" t="s">
        <v>81</v>
      </c>
      <c r="L6" s="17" t="s">
        <v>50</v>
      </c>
    </row>
    <row r="7" customFormat="false" ht="15" hidden="false" customHeight="false" outlineLevel="0" collapsed="false">
      <c r="A7" s="24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25" t="str">
        <f aca="false">IF(OR(G7="",C7=""),"",ROUND((G7-D7)/(D7-E7),2))</f>
        <v/>
      </c>
      <c r="J7" s="26" t="str">
        <f aca="false">IF(I7="","",ROUND(I7*$M$2*$M$3,2))</f>
        <v/>
      </c>
      <c r="K7" s="6"/>
      <c r="L7" s="27"/>
    </row>
    <row r="8" customFormat="false" ht="15" hidden="false" customHeight="false" outlineLevel="0" collapsed="false">
      <c r="A8" s="24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25" t="str">
        <f aca="false">IF(OR(G8="",C8=""),"",ROUND((G8-D8)/(D8-E8),2))</f>
        <v/>
      </c>
      <c r="J8" s="26" t="str">
        <f aca="false">IF(I8="","",ROUND(I8*$M$2*$M$3,2))</f>
        <v/>
      </c>
      <c r="K8" s="6"/>
      <c r="L8" s="27"/>
    </row>
    <row r="9" customFormat="false" ht="15" hidden="false" customHeight="false" outlineLevel="0" collapsed="false">
      <c r="A9" s="24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25" t="str">
        <f aca="false">IF(OR(G9="",C9=""),"",ROUND((G9-D9)/(D9-E9),2))</f>
        <v/>
      </c>
      <c r="J9" s="26" t="str">
        <f aca="false">IF(I9="","",ROUND(I9*$M$2*$M$3,2))</f>
        <v/>
      </c>
      <c r="K9" s="6"/>
      <c r="L9" s="27"/>
    </row>
    <row r="10" customFormat="false" ht="15" hidden="false" customHeight="false" outlineLevel="0" collapsed="false">
      <c r="A10" s="24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25" t="str">
        <f aca="false">IF(OR(G10="",C10=""),"",ROUND((G10-D10)/(D10-E10),2))</f>
        <v/>
      </c>
      <c r="J10" s="26" t="str">
        <f aca="false">IF(I10="","",ROUND(I10*$M$2*$M$3,2))</f>
        <v/>
      </c>
      <c r="K10" s="6"/>
      <c r="L10" s="27"/>
    </row>
    <row r="11" customFormat="false" ht="15" hidden="false" customHeight="false" outlineLevel="0" collapsed="false">
      <c r="A11" s="24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25" t="str">
        <f aca="false">IF(OR(G11="",C11=""),"",ROUND((G11-D11)/(D11-E11),2))</f>
        <v/>
      </c>
      <c r="J11" s="26" t="str">
        <f aca="false">IF(I11="","",ROUND(I11*$M$2*$M$3,2))</f>
        <v/>
      </c>
      <c r="K11" s="6"/>
      <c r="L11" s="27"/>
    </row>
    <row r="12" customFormat="false" ht="15" hidden="false" customHeight="false" outlineLevel="0" collapsed="false">
      <c r="A12" s="24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25" t="str">
        <f aca="false">IF(OR(G12="",C12=""),"",ROUND((G12-D12)/(D12-E12),2))</f>
        <v/>
      </c>
      <c r="J12" s="26" t="str">
        <f aca="false">IF(I12="","",ROUND(I12*$M$2*$M$3,2))</f>
        <v/>
      </c>
      <c r="K12" s="6"/>
      <c r="L12" s="27"/>
    </row>
    <row r="13" customFormat="false" ht="15" hidden="false" customHeight="false" outlineLevel="0" collapsed="false">
      <c r="A13" s="24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25" t="str">
        <f aca="false">IF(OR(G13="",C13=""),"",ROUND((G13-D13)/(D13-E13),2))</f>
        <v/>
      </c>
      <c r="J13" s="26" t="str">
        <f aca="false">IF(I13="","",ROUND(I13*$M$2*$M$3,2))</f>
        <v/>
      </c>
      <c r="K13" s="6"/>
      <c r="L13" s="27"/>
    </row>
    <row r="14" customFormat="false" ht="15" hidden="false" customHeight="false" outlineLevel="0" collapsed="false">
      <c r="A14" s="24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25" t="str">
        <f aca="false">IF(OR(G14="",C14=""),"",ROUND((G14-D14)/(D14-E14),2))</f>
        <v/>
      </c>
      <c r="J14" s="26" t="str">
        <f aca="false">IF(I14="","",ROUND(I14*$M$2*$M$3,2))</f>
        <v/>
      </c>
      <c r="K14" s="6"/>
      <c r="L14" s="27"/>
    </row>
    <row r="15" customFormat="false" ht="15" hidden="false" customHeight="false" outlineLevel="0" collapsed="false">
      <c r="A15" s="24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25" t="str">
        <f aca="false">IF(OR(G15="",C15=""),"",ROUND((G15-D15)/(D15-E15),2))</f>
        <v/>
      </c>
      <c r="J15" s="26" t="str">
        <f aca="false">IF(I15="","",ROUND(I15*$M$2*$M$3,2))</f>
        <v/>
      </c>
      <c r="K15" s="6"/>
      <c r="L15" s="27"/>
    </row>
    <row r="16" customFormat="false" ht="15" hidden="false" customHeight="false" outlineLevel="0" collapsed="false">
      <c r="A16" s="24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25" t="str">
        <f aca="false">IF(OR(G16="",C16=""),"",ROUND((G16-D16)/(D16-E16),2))</f>
        <v/>
      </c>
      <c r="J16" s="26" t="str">
        <f aca="false">IF(I16="","",ROUND(I16*$M$2*$M$3,2))</f>
        <v/>
      </c>
      <c r="K16" s="6"/>
      <c r="L16" s="27"/>
    </row>
    <row r="17" customFormat="false" ht="15" hidden="false" customHeight="false" outlineLevel="0" collapsed="false">
      <c r="A17" s="24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25" t="str">
        <f aca="false">IF(OR(G17="",C17=""),"",ROUND((G17-D17)/(D17-E17),2))</f>
        <v/>
      </c>
      <c r="J17" s="26" t="str">
        <f aca="false">IF(I17="","",ROUND(I17*$M$2*$M$3,2))</f>
        <v/>
      </c>
      <c r="K17" s="6"/>
      <c r="L17" s="27"/>
    </row>
    <row r="18" customFormat="false" ht="15" hidden="false" customHeight="false" outlineLevel="0" collapsed="false">
      <c r="A18" s="24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25" t="str">
        <f aca="false">IF(OR(G18="",C18=""),"",ROUND((G18-D18)/(D18-E18),2))</f>
        <v/>
      </c>
      <c r="J18" s="26" t="str">
        <f aca="false">IF(I18="","",ROUND(I18*$M$2*$M$3,2))</f>
        <v/>
      </c>
      <c r="K18" s="6"/>
      <c r="L18" s="27"/>
    </row>
    <row r="19" customFormat="false" ht="15" hidden="false" customHeight="false" outlineLevel="0" collapsed="false">
      <c r="A19" s="24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25" t="str">
        <f aca="false">IF(OR(G19="",C19=""),"",ROUND((G19-D19)/(D19-E19),2))</f>
        <v/>
      </c>
      <c r="J19" s="26" t="str">
        <f aca="false">IF(I19="","",ROUND(I19*$M$2*$M$3,2))</f>
        <v/>
      </c>
      <c r="K19" s="6"/>
      <c r="L19" s="27"/>
    </row>
    <row r="20" customFormat="false" ht="15" hidden="false" customHeight="false" outlineLevel="0" collapsed="false">
      <c r="A20" s="24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25" t="str">
        <f aca="false">IF(OR(G20="",C20=""),"",ROUND((G20-D20)/(D20-E20),2))</f>
        <v/>
      </c>
      <c r="J20" s="26" t="str">
        <f aca="false">IF(I20="","",ROUND(I20*$M$2*$M$3,2))</f>
        <v/>
      </c>
      <c r="K20" s="6"/>
      <c r="L20" s="27"/>
    </row>
    <row r="21" customFormat="false" ht="15" hidden="false" customHeight="false" outlineLevel="0" collapsed="false">
      <c r="A21" s="24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25" t="str">
        <f aca="false">IF(OR(G21="",C21=""),"",ROUND((G21-D21)/(D21-E21),2))</f>
        <v/>
      </c>
      <c r="J21" s="26" t="str">
        <f aca="false">IF(I21="","",ROUND(I21*$M$2*$M$3,2))</f>
        <v/>
      </c>
      <c r="K21" s="6"/>
      <c r="L21" s="27"/>
    </row>
    <row r="22" customFormat="false" ht="15" hidden="false" customHeight="false" outlineLevel="0" collapsed="false">
      <c r="A22" s="24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25" t="str">
        <f aca="false">IF(OR(G22="",C22=""),"",ROUND((G22-D22)/(D22-E22),2))</f>
        <v/>
      </c>
      <c r="J22" s="26" t="str">
        <f aca="false">IF(I22="","",ROUND(I22*$M$2*$M$3,2))</f>
        <v/>
      </c>
      <c r="K22" s="6"/>
      <c r="L22" s="27"/>
    </row>
    <row r="23" customFormat="false" ht="15" hidden="false" customHeight="false" outlineLevel="0" collapsed="false">
      <c r="A23" s="24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25" t="str">
        <f aca="false">IF(OR(G23="",C23=""),"",ROUND((G23-D23)/(D23-E23),2))</f>
        <v/>
      </c>
      <c r="J23" s="26" t="str">
        <f aca="false">IF(I23="","",ROUND(I23*$M$2*$M$3,2))</f>
        <v/>
      </c>
      <c r="K23" s="6"/>
      <c r="L23" s="27"/>
    </row>
    <row r="24" customFormat="false" ht="15" hidden="false" customHeight="false" outlineLevel="0" collapsed="false">
      <c r="A24" s="24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25" t="str">
        <f aca="false">IF(OR(G24="",C24=""),"",ROUND((G24-D24)/(D24-E24),2))</f>
        <v/>
      </c>
      <c r="J24" s="26" t="str">
        <f aca="false">IF(I24="","",ROUND(I24*$M$2*$M$3,2))</f>
        <v/>
      </c>
      <c r="K24" s="6"/>
      <c r="L24" s="27"/>
    </row>
    <row r="25" customFormat="false" ht="15" hidden="false" customHeight="false" outlineLevel="0" collapsed="false">
      <c r="A25" s="24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25" t="str">
        <f aca="false">IF(OR(G25="",C25=""),"",ROUND((G25-D25)/(D25-E25),2))</f>
        <v/>
      </c>
      <c r="J25" s="26" t="str">
        <f aca="false">IF(I25="","",ROUND(I25*$M$2*$M$3,2))</f>
        <v/>
      </c>
      <c r="K25" s="6"/>
      <c r="L25" s="27"/>
    </row>
    <row r="26" customFormat="false" ht="15" hidden="false" customHeight="false" outlineLevel="0" collapsed="false">
      <c r="A26" s="24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25" t="str">
        <f aca="false">IF(OR(G26="",C26=""),"",ROUND((G26-D26)/(D26-E26),2))</f>
        <v/>
      </c>
      <c r="J26" s="26" t="str">
        <f aca="false">IF(I26="","",ROUND(I26*$M$2*$M$3,2))</f>
        <v/>
      </c>
      <c r="K26" s="6"/>
      <c r="L26" s="27"/>
    </row>
    <row r="27" customFormat="false" ht="15" hidden="false" customHeight="false" outlineLevel="0" collapsed="false">
      <c r="A27" s="24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25" t="str">
        <f aca="false">IF(OR(G27="",C27=""),"",ROUND((G27-D27)/(D27-E27),2))</f>
        <v/>
      </c>
      <c r="J27" s="26" t="str">
        <f aca="false">IF(I27="","",ROUND(I27*$M$2*$M$3,2))</f>
        <v/>
      </c>
      <c r="K27" s="6"/>
      <c r="L27" s="27"/>
    </row>
    <row r="28" customFormat="false" ht="15" hidden="false" customHeight="false" outlineLevel="0" collapsed="false">
      <c r="A28" s="24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25" t="str">
        <f aca="false">IF(OR(G28="",C28=""),"",ROUND((G28-D28)/(D28-E28),2))</f>
        <v/>
      </c>
      <c r="J28" s="26" t="str">
        <f aca="false">IF(I28="","",ROUND(I28*$M$2*$M$3,2))</f>
        <v/>
      </c>
      <c r="K28" s="6"/>
      <c r="L28" s="27"/>
    </row>
    <row r="29" customFormat="false" ht="15" hidden="false" customHeight="false" outlineLevel="0" collapsed="false">
      <c r="A29" s="24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25" t="str">
        <f aca="false">IF(OR(G29="",C29=""),"",ROUND((G29-D29)/(D29-E29),2))</f>
        <v/>
      </c>
      <c r="J29" s="26" t="str">
        <f aca="false">IF(I29="","",ROUND(I29*$M$2*$M$3,2))</f>
        <v/>
      </c>
      <c r="K29" s="6"/>
      <c r="L29" s="27"/>
    </row>
    <row r="30" customFormat="false" ht="15" hidden="false" customHeight="false" outlineLevel="0" collapsed="false">
      <c r="A30" s="24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25" t="str">
        <f aca="false">IF(OR(G30="",C30=""),"",ROUND((G30-D30)/(D30-E30),2))</f>
        <v/>
      </c>
      <c r="J30" s="26" t="str">
        <f aca="false">IF(I30="","",ROUND(I30*$M$2*$M$3,2))</f>
        <v/>
      </c>
      <c r="K30" s="6"/>
      <c r="L30" s="27"/>
    </row>
    <row r="31" customFormat="false" ht="15" hidden="false" customHeight="false" outlineLevel="0" collapsed="false">
      <c r="A31" s="24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25" t="str">
        <f aca="false">IF(OR(G31="",C31=""),"",ROUND((G31-D31)/(D31-E31),2))</f>
        <v/>
      </c>
      <c r="J31" s="26" t="str">
        <f aca="false">IF(I31="","",ROUND(I31*$M$2*$M$3,2))</f>
        <v/>
      </c>
      <c r="K31" s="6"/>
      <c r="L31" s="27"/>
    </row>
    <row r="32" customFormat="false" ht="15" hidden="false" customHeight="false" outlineLevel="0" collapsed="false">
      <c r="A32" s="24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25" t="str">
        <f aca="false">IF(OR(G32="",C32=""),"",ROUND((G32-D32)/(D32-E32),2))</f>
        <v/>
      </c>
      <c r="J32" s="26" t="str">
        <f aca="false">IF(I32="","",ROUND(I32*$M$2*$M$3,2))</f>
        <v/>
      </c>
      <c r="K32" s="6"/>
      <c r="L32" s="27"/>
    </row>
    <row r="33" customFormat="false" ht="15" hidden="false" customHeight="false" outlineLevel="0" collapsed="false">
      <c r="A33" s="24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25" t="str">
        <f aca="false">IF(OR(G33="",C33=""),"",ROUND((G33-D33)/(D33-E33),2))</f>
        <v/>
      </c>
      <c r="J33" s="26" t="str">
        <f aca="false">IF(I33="","",ROUND(I33*$M$2*$M$3,2))</f>
        <v/>
      </c>
      <c r="K33" s="6"/>
      <c r="L33" s="27"/>
    </row>
    <row r="34" customFormat="false" ht="15" hidden="false" customHeight="false" outlineLevel="0" collapsed="false">
      <c r="A34" s="24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25" t="str">
        <f aca="false">IF(OR(G34="",C34=""),"",ROUND((G34-D34)/(D34-E34),2))</f>
        <v/>
      </c>
      <c r="J34" s="26" t="str">
        <f aca="false">IF(I34="","",ROUND(I34*$M$2*$M$3,2))</f>
        <v/>
      </c>
      <c r="K34" s="6"/>
      <c r="L34" s="27"/>
    </row>
    <row r="35" customFormat="false" ht="15" hidden="false" customHeight="false" outlineLevel="0" collapsed="false">
      <c r="A35" s="24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25" t="str">
        <f aca="false">IF(OR(G35="",C35=""),"",ROUND((G35-D35)/(D35-E35),2))</f>
        <v/>
      </c>
      <c r="J35" s="26" t="str">
        <f aca="false">IF(I35="","",ROUND(I35*$M$2*$M$3,2))</f>
        <v/>
      </c>
      <c r="K35" s="6"/>
      <c r="L35" s="27"/>
    </row>
    <row r="36" customFormat="false" ht="15" hidden="false" customHeight="false" outlineLevel="0" collapsed="false">
      <c r="A36" s="24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25" t="str">
        <f aca="false">IF(OR(G36="",C36=""),"",ROUND((G36-D36)/(D36-E36),2))</f>
        <v/>
      </c>
      <c r="J36" s="26" t="str">
        <f aca="false">IF(I36="","",ROUND(I36*$M$2*$M$3,2))</f>
        <v/>
      </c>
      <c r="K36" s="6"/>
      <c r="L36" s="27"/>
    </row>
    <row r="37" customFormat="false" ht="15" hidden="false" customHeight="false" outlineLevel="0" collapsed="false">
      <c r="A37" s="24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25" t="str">
        <f aca="false">IF(OR(G37="",C37=""),"",ROUND((G37-D37)/(D37-E37),2))</f>
        <v/>
      </c>
      <c r="J37" s="26" t="str">
        <f aca="false">IF(I37="","",ROUND(I37*$M$2*$M$3,2))</f>
        <v/>
      </c>
      <c r="K37" s="6"/>
      <c r="L37" s="27"/>
    </row>
    <row r="38" customFormat="false" ht="15" hidden="false" customHeight="false" outlineLevel="0" collapsed="false">
      <c r="A38" s="24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25" t="str">
        <f aca="false">IF(OR(G38="",C38=""),"",ROUND((G38-D38)/(D38-E38),2))</f>
        <v/>
      </c>
      <c r="J38" s="26" t="str">
        <f aca="false">IF(I38="","",ROUND(I38*$M$2*$M$3,2))</f>
        <v/>
      </c>
      <c r="K38" s="6"/>
      <c r="L38" s="27"/>
    </row>
    <row r="39" customFormat="false" ht="15" hidden="false" customHeight="false" outlineLevel="0" collapsed="false">
      <c r="A39" s="24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25" t="str">
        <f aca="false">IF(OR(G39="",C39=""),"",ROUND((G39-D39)/(D39-E39),2))</f>
        <v/>
      </c>
      <c r="J39" s="26" t="str">
        <f aca="false">IF(I39="","",ROUND(I39*$M$2*$M$3,2))</f>
        <v/>
      </c>
      <c r="K39" s="6"/>
      <c r="L39" s="27"/>
    </row>
    <row r="40" customFormat="false" ht="15" hidden="false" customHeight="false" outlineLevel="0" collapsed="false">
      <c r="A40" s="24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25" t="str">
        <f aca="false">IF(OR(G40="",C40=""),"",ROUND((G40-D40)/(D40-E40),2))</f>
        <v/>
      </c>
      <c r="J40" s="26" t="str">
        <f aca="false">IF(I40="","",ROUND(I40*$M$2*$M$3,2))</f>
        <v/>
      </c>
      <c r="K40" s="6"/>
      <c r="L40" s="27"/>
    </row>
    <row r="41" customFormat="false" ht="15" hidden="false" customHeight="false" outlineLevel="0" collapsed="false">
      <c r="A41" s="24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25" t="str">
        <f aca="false">IF(OR(G41="",C41=""),"",ROUND((G41-D41)/(D41-E41),2))</f>
        <v/>
      </c>
      <c r="J41" s="26" t="str">
        <f aca="false">IF(I41="","",ROUND(I41*$M$2*$M$3,2))</f>
        <v/>
      </c>
      <c r="K41" s="6"/>
      <c r="L41" s="27"/>
    </row>
    <row r="42" customFormat="false" ht="15" hidden="false" customHeight="false" outlineLevel="0" collapsed="false">
      <c r="A42" s="24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25" t="str">
        <f aca="false">IF(OR(G42="",C42=""),"",ROUND((G42-D42)/(D42-E42),2))</f>
        <v/>
      </c>
      <c r="J42" s="26" t="str">
        <f aca="false">IF(I42="","",ROUND(I42*$M$2*$M$3,2))</f>
        <v/>
      </c>
      <c r="K42" s="6"/>
      <c r="L42" s="27"/>
    </row>
    <row r="43" customFormat="false" ht="15" hidden="false" customHeight="false" outlineLevel="0" collapsed="false">
      <c r="A43" s="24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25" t="str">
        <f aca="false">IF(OR(G43="",C43=""),"",ROUND((G43-D43)/(D43-E43),2))</f>
        <v/>
      </c>
      <c r="J43" s="26" t="str">
        <f aca="false">IF(I43="","",ROUND(I43*$M$2*$M$3,2))</f>
        <v/>
      </c>
      <c r="K43" s="6"/>
      <c r="L43" s="27"/>
    </row>
    <row r="44" customFormat="false" ht="15" hidden="false" customHeight="false" outlineLevel="0" collapsed="false">
      <c r="A44" s="24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25" t="str">
        <f aca="false">IF(OR(G44="",C44=""),"",ROUND((G44-D44)/(D44-E44),2))</f>
        <v/>
      </c>
      <c r="J44" s="26" t="str">
        <f aca="false">IF(I44="","",ROUND(I44*$M$2*$M$3,2))</f>
        <v/>
      </c>
      <c r="K44" s="6"/>
      <c r="L44" s="27"/>
    </row>
    <row r="45" customFormat="false" ht="15" hidden="false" customHeight="false" outlineLevel="0" collapsed="false">
      <c r="A45" s="24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25" t="str">
        <f aca="false">IF(OR(G45="",C45=""),"",ROUND((G45-D45)/(D45-E45),2))</f>
        <v/>
      </c>
      <c r="J45" s="26" t="str">
        <f aca="false">IF(I45="","",ROUND(I45*$M$2*$M$3,2))</f>
        <v/>
      </c>
      <c r="K45" s="6"/>
      <c r="L45" s="27"/>
    </row>
    <row r="46" customFormat="false" ht="15" hidden="false" customHeight="false" outlineLevel="0" collapsed="false">
      <c r="A46" s="24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25" t="str">
        <f aca="false">IF(OR(G46="",C46=""),"",ROUND((G46-D46)/(D46-E46),2))</f>
        <v/>
      </c>
      <c r="J46" s="26" t="str">
        <f aca="false">IF(I46="","",ROUND(I46*$M$2*$M$3,2))</f>
        <v/>
      </c>
      <c r="K46" s="6"/>
      <c r="L46" s="27"/>
    </row>
    <row r="47" customFormat="false" ht="15" hidden="false" customHeight="false" outlineLevel="0" collapsed="false">
      <c r="A47" s="24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25" t="str">
        <f aca="false">IF(OR(G47="",C47=""),"",ROUND((G47-D47)/(D47-E47),2))</f>
        <v/>
      </c>
      <c r="J47" s="26" t="str">
        <f aca="false">IF(I47="","",ROUND(I47*$M$2*$M$3,2))</f>
        <v/>
      </c>
      <c r="K47" s="6"/>
      <c r="L47" s="27"/>
    </row>
    <row r="48" customFormat="false" ht="15" hidden="false" customHeight="false" outlineLevel="0" collapsed="false">
      <c r="A48" s="24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25" t="str">
        <f aca="false">IF(OR(G48="",C48=""),"",ROUND((G48-D48)/(D48-E48),2))</f>
        <v/>
      </c>
      <c r="J48" s="26" t="str">
        <f aca="false">IF(I48="","",ROUND(I48*$M$2*$M$3,2))</f>
        <v/>
      </c>
      <c r="K48" s="6"/>
      <c r="L48" s="27"/>
    </row>
    <row r="49" customFormat="false" ht="15" hidden="false" customHeight="false" outlineLevel="0" collapsed="false">
      <c r="A49" s="24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25" t="str">
        <f aca="false">IF(OR(G49="",C49=""),"",ROUND((G49-D49)/(D49-E49),2))</f>
        <v/>
      </c>
      <c r="J49" s="26" t="str">
        <f aca="false">IF(I49="","",ROUND(I49*$M$2*$M$3,2))</f>
        <v/>
      </c>
      <c r="K49" s="6"/>
      <c r="L49" s="27"/>
    </row>
    <row r="50" customFormat="false" ht="15" hidden="false" customHeight="false" outlineLevel="0" collapsed="false">
      <c r="A50" s="24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25" t="str">
        <f aca="false">IF(OR(G50="",C50=""),"",ROUND((G50-D50)/(D50-E50),2))</f>
        <v/>
      </c>
      <c r="J50" s="26" t="str">
        <f aca="false">IF(I50="","",ROUND(I50*$M$2*$M$3,2))</f>
        <v/>
      </c>
      <c r="K50" s="6"/>
      <c r="L50" s="27"/>
    </row>
    <row r="51" customFormat="false" ht="15" hidden="false" customHeight="false" outlineLevel="0" collapsed="false">
      <c r="A51" s="24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25" t="str">
        <f aca="false">IF(OR(G51="",C51=""),"",ROUND((G51-D51)/(D51-E51),2))</f>
        <v/>
      </c>
      <c r="J51" s="26" t="str">
        <f aca="false">IF(I51="","",ROUND(I51*$M$2*$M$3,2))</f>
        <v/>
      </c>
      <c r="K51" s="6"/>
      <c r="L51" s="27"/>
    </row>
    <row r="52" customFormat="false" ht="15" hidden="false" customHeight="false" outlineLevel="0" collapsed="false">
      <c r="A52" s="24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25" t="str">
        <f aca="false">IF(OR(G52="",C52=""),"",ROUND((G52-D52)/(D52-E52),2))</f>
        <v/>
      </c>
      <c r="J52" s="26" t="str">
        <f aca="false">IF(I52="","",ROUND(I52*$M$2*$M$3,2))</f>
        <v/>
      </c>
      <c r="K52" s="6"/>
      <c r="L52" s="27"/>
    </row>
    <row r="53" customFormat="false" ht="15" hidden="false" customHeight="false" outlineLevel="0" collapsed="false">
      <c r="A53" s="24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25" t="str">
        <f aca="false">IF(OR(G53="",C53=""),"",ROUND((G53-D53)/(D53-E53),2))</f>
        <v/>
      </c>
      <c r="J53" s="26" t="str">
        <f aca="false">IF(I53="","",ROUND(I53*$M$2*$M$3,2))</f>
        <v/>
      </c>
      <c r="K53" s="6"/>
      <c r="L53" s="27"/>
    </row>
    <row r="54" customFormat="false" ht="15" hidden="false" customHeight="false" outlineLevel="0" collapsed="false">
      <c r="A54" s="24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25" t="str">
        <f aca="false">IF(OR(G54="",C54=""),"",ROUND((G54-D54)/(D54-E54),2))</f>
        <v/>
      </c>
      <c r="J54" s="26" t="str">
        <f aca="false">IF(I54="","",ROUND(I54*$M$2*$M$3,2))</f>
        <v/>
      </c>
      <c r="K54" s="6"/>
      <c r="L54" s="27"/>
    </row>
    <row r="55" customFormat="false" ht="15" hidden="false" customHeight="false" outlineLevel="0" collapsed="false">
      <c r="A55" s="24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25" t="str">
        <f aca="false">IF(OR(G55="",C55=""),"",ROUND((G55-D55)/(D55-E55),2))</f>
        <v/>
      </c>
      <c r="J55" s="26" t="str">
        <f aca="false">IF(I55="","",ROUND(I55*$M$2*$M$3,2))</f>
        <v/>
      </c>
      <c r="K55" s="6"/>
      <c r="L55" s="27"/>
    </row>
    <row r="56" customFormat="false" ht="15" hidden="false" customHeight="false" outlineLevel="0" collapsed="false">
      <c r="A56" s="24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25" t="str">
        <f aca="false">IF(OR(G56="",C56=""),"",ROUND((G56-D56)/(D56-E56),2))</f>
        <v/>
      </c>
      <c r="J56" s="26" t="str">
        <f aca="false">IF(I56="","",ROUND(I56*$M$2*$M$3,2))</f>
        <v/>
      </c>
      <c r="K56" s="6"/>
      <c r="L56" s="27"/>
    </row>
    <row r="57" customFormat="false" ht="15" hidden="false" customHeight="false" outlineLevel="0" collapsed="false">
      <c r="A57" s="24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25" t="str">
        <f aca="false">IF(OR(G57="",C57=""),"",ROUND((G57-D57)/(D57-E57),2))</f>
        <v/>
      </c>
      <c r="J57" s="26" t="str">
        <f aca="false">IF(I57="","",ROUND(I57*$M$2*$M$3,2))</f>
        <v/>
      </c>
      <c r="K57" s="6"/>
      <c r="L57" s="27"/>
    </row>
    <row r="58" customFormat="false" ht="15" hidden="false" customHeight="false" outlineLevel="0" collapsed="false">
      <c r="A58" s="24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25" t="str">
        <f aca="false">IF(OR(G58="",C58=""),"",ROUND((G58-D58)/(D58-E58),2))</f>
        <v/>
      </c>
      <c r="J58" s="26" t="str">
        <f aca="false">IF(I58="","",ROUND(I58*$M$2*$M$3,2))</f>
        <v/>
      </c>
      <c r="K58" s="6"/>
      <c r="L58" s="27"/>
    </row>
    <row r="59" customFormat="false" ht="15" hidden="false" customHeight="false" outlineLevel="0" collapsed="false">
      <c r="A59" s="24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25" t="str">
        <f aca="false">IF(OR(G59="",C59=""),"",ROUND((G59-D59)/(D59-E59),2))</f>
        <v/>
      </c>
      <c r="J59" s="26" t="str">
        <f aca="false">IF(I59="","",ROUND(I59*$M$2*$M$3,2))</f>
        <v/>
      </c>
      <c r="K59" s="6"/>
      <c r="L59" s="27"/>
    </row>
    <row r="60" customFormat="false" ht="15" hidden="false" customHeight="false" outlineLevel="0" collapsed="false">
      <c r="A60" s="24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25" t="str">
        <f aca="false">IF(OR(G60="",C60=""),"",ROUND((G60-D60)/(D60-E60),2))</f>
        <v/>
      </c>
      <c r="J60" s="26" t="str">
        <f aca="false">IF(I60="","",ROUND(I60*$M$2*$M$3,2))</f>
        <v/>
      </c>
      <c r="K60" s="6"/>
      <c r="L60" s="27"/>
    </row>
    <row r="61" customFormat="false" ht="15" hidden="false" customHeight="false" outlineLevel="0" collapsed="false">
      <c r="A61" s="24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25" t="str">
        <f aca="false">IF(OR(G61="",C61=""),"",ROUND((G61-D61)/(D61-E61),2))</f>
        <v/>
      </c>
      <c r="J61" s="26" t="str">
        <f aca="false">IF(I61="","",ROUND(I61*$M$2*$M$3,2))</f>
        <v/>
      </c>
      <c r="K61" s="6"/>
      <c r="L61" s="27"/>
    </row>
    <row r="62" customFormat="false" ht="15" hidden="false" customHeight="false" outlineLevel="0" collapsed="false">
      <c r="A62" s="24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25" t="str">
        <f aca="false">IF(OR(G62="",C62=""),"",ROUND((G62-D62)/(D62-E62),2))</f>
        <v/>
      </c>
      <c r="J62" s="26" t="str">
        <f aca="false">IF(I62="","",ROUND(I62*$M$2*$M$3,2))</f>
        <v/>
      </c>
      <c r="K62" s="6"/>
      <c r="L62" s="27"/>
    </row>
    <row r="63" customFormat="false" ht="15" hidden="false" customHeight="false" outlineLevel="0" collapsed="false">
      <c r="A63" s="24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25" t="str">
        <f aca="false">IF(OR(G63="",C63=""),"",ROUND((G63-D63)/(D63-E63),2))</f>
        <v/>
      </c>
      <c r="J63" s="26" t="str">
        <f aca="false">IF(I63="","",ROUND(I63*$M$2*$M$3,2))</f>
        <v/>
      </c>
      <c r="K63" s="6"/>
      <c r="L63" s="27"/>
    </row>
    <row r="64" customFormat="false" ht="15" hidden="false" customHeight="false" outlineLevel="0" collapsed="false">
      <c r="A64" s="24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25" t="str">
        <f aca="false">IF(OR(G64="",C64=""),"",ROUND((G64-D64)/(D64-E64),2))</f>
        <v/>
      </c>
      <c r="J64" s="26" t="str">
        <f aca="false">IF(I64="","",ROUND(I64*$M$2*$M$3,2))</f>
        <v/>
      </c>
      <c r="K64" s="6"/>
      <c r="L64" s="27"/>
    </row>
    <row r="65" customFormat="false" ht="15" hidden="false" customHeight="false" outlineLevel="0" collapsed="false">
      <c r="A65" s="24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25" t="str">
        <f aca="false">IF(OR(G65="",C65=""),"",ROUND((G65-D65)/(D65-E65),2))</f>
        <v/>
      </c>
      <c r="J65" s="26" t="str">
        <f aca="false">IF(I65="","",ROUND(I65*$M$2*$M$3,2))</f>
        <v/>
      </c>
      <c r="K65" s="6"/>
      <c r="L65" s="27"/>
    </row>
    <row r="66" customFormat="false" ht="15" hidden="false" customHeight="false" outlineLevel="0" collapsed="false">
      <c r="A66" s="24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25" t="str">
        <f aca="false">IF(OR(G66="",C66=""),"",ROUND((G66-D66)/(D66-E66),2))</f>
        <v/>
      </c>
      <c r="J66" s="26" t="str">
        <f aca="false">IF(I66="","",ROUND(I66*$M$2*$M$3,2))</f>
        <v/>
      </c>
      <c r="K66" s="6"/>
      <c r="L66" s="27"/>
    </row>
    <row r="67" customFormat="false" ht="15" hidden="false" customHeight="false" outlineLevel="0" collapsed="false">
      <c r="A67" s="24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25" t="str">
        <f aca="false">IF(OR(G67="",C67=""),"",ROUND((G67-D67)/(D67-E67),2))</f>
        <v/>
      </c>
      <c r="J67" s="26" t="str">
        <f aca="false">IF(I67="","",ROUND(I67*$M$2*$M$3,2))</f>
        <v/>
      </c>
      <c r="K67" s="6"/>
      <c r="L67" s="27"/>
    </row>
    <row r="68" customFormat="false" ht="15" hidden="false" customHeight="false" outlineLevel="0" collapsed="false">
      <c r="A68" s="24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25" t="str">
        <f aca="false">IF(OR(G68="",C68=""),"",ROUND((G68-D68)/(D68-E68),2))</f>
        <v/>
      </c>
      <c r="J68" s="26" t="str">
        <f aca="false">IF(I68="","",ROUND(I68*$M$2*$M$3,2))</f>
        <v/>
      </c>
      <c r="K68" s="6"/>
      <c r="L68" s="27"/>
    </row>
    <row r="69" customFormat="false" ht="15" hidden="false" customHeight="false" outlineLevel="0" collapsed="false">
      <c r="A69" s="24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25" t="str">
        <f aca="false">IF(OR(G69="",C69=""),"",ROUND((G69-D69)/(D69-E69),2))</f>
        <v/>
      </c>
      <c r="J69" s="26" t="str">
        <f aca="false">IF(I69="","",ROUND(I69*$M$2*$M$3,2))</f>
        <v/>
      </c>
      <c r="K69" s="6"/>
      <c r="L69" s="27"/>
    </row>
    <row r="70" customFormat="false" ht="15" hidden="false" customHeight="false" outlineLevel="0" collapsed="false">
      <c r="A70" s="24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25" t="str">
        <f aca="false">IF(OR(G70="",C70=""),"",ROUND((G70-D70)/(D70-E70),2))</f>
        <v/>
      </c>
      <c r="J70" s="26" t="str">
        <f aca="false">IF(I70="","",ROUND(I70*$M$2*$M$3,2))</f>
        <v/>
      </c>
      <c r="K70" s="6"/>
      <c r="L70" s="27"/>
    </row>
    <row r="71" customFormat="false" ht="15" hidden="false" customHeight="false" outlineLevel="0" collapsed="false">
      <c r="A71" s="24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25" t="str">
        <f aca="false">IF(OR(G71="",C71=""),"",ROUND((G71-D71)/(D71-E71),2))</f>
        <v/>
      </c>
      <c r="J71" s="26" t="str">
        <f aca="false">IF(I71="","",ROUND(I71*$M$2*$M$3,2))</f>
        <v/>
      </c>
      <c r="K71" s="6"/>
      <c r="L71" s="27"/>
    </row>
    <row r="72" customFormat="false" ht="15" hidden="false" customHeight="false" outlineLevel="0" collapsed="false">
      <c r="A72" s="24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25" t="str">
        <f aca="false">IF(OR(G72="",C72=""),"",ROUND((G72-D72)/(D72-E72),2))</f>
        <v/>
      </c>
      <c r="J72" s="26" t="str">
        <f aca="false">IF(I72="","",ROUND(I72*$M$2*$M$3,2))</f>
        <v/>
      </c>
      <c r="K72" s="6"/>
      <c r="L72" s="27"/>
    </row>
    <row r="73" customFormat="false" ht="15" hidden="false" customHeight="false" outlineLevel="0" collapsed="false">
      <c r="A73" s="24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25" t="str">
        <f aca="false">IF(OR(G73="",C73=""),"",ROUND((G73-D73)/(D73-E73),2))</f>
        <v/>
      </c>
      <c r="J73" s="26" t="str">
        <f aca="false">IF(I73="","",ROUND(I73*$M$2*$M$3,2))</f>
        <v/>
      </c>
      <c r="K73" s="6"/>
      <c r="L73" s="27"/>
    </row>
    <row r="74" customFormat="false" ht="15" hidden="false" customHeight="false" outlineLevel="0" collapsed="false">
      <c r="A74" s="24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25" t="str">
        <f aca="false">IF(OR(G74="",C74=""),"",ROUND((G74-D74)/(D74-E74),2))</f>
        <v/>
      </c>
      <c r="J74" s="26" t="str">
        <f aca="false">IF(I74="","",ROUND(I74*$M$2*$M$3,2))</f>
        <v/>
      </c>
      <c r="K74" s="6"/>
      <c r="L74" s="27"/>
    </row>
    <row r="75" customFormat="false" ht="15" hidden="false" customHeight="false" outlineLevel="0" collapsed="false">
      <c r="A75" s="24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25" t="str">
        <f aca="false">IF(OR(G75="",C75=""),"",ROUND((G75-D75)/(D75-E75),2))</f>
        <v/>
      </c>
      <c r="J75" s="26" t="str">
        <f aca="false">IF(I75="","",ROUND(I75*$M$2*$M$3,2))</f>
        <v/>
      </c>
      <c r="K75" s="6"/>
      <c r="L75" s="27"/>
    </row>
    <row r="76" customFormat="false" ht="15" hidden="false" customHeight="false" outlineLevel="0" collapsed="false">
      <c r="A76" s="24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25" t="str">
        <f aca="false">IF(OR(G76="",C76=""),"",ROUND((G76-D76)/(D76-E76),2))</f>
        <v/>
      </c>
      <c r="J76" s="26" t="str">
        <f aca="false">IF(I76="","",ROUND(I76*$M$2*$M$3,2))</f>
        <v/>
      </c>
      <c r="K76" s="6"/>
      <c r="L76" s="27"/>
    </row>
    <row r="77" customFormat="false" ht="15" hidden="false" customHeight="false" outlineLevel="0" collapsed="false">
      <c r="A77" s="24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25" t="str">
        <f aca="false">IF(OR(G77="",C77=""),"",ROUND((G77-D77)/(D77-E77),2))</f>
        <v/>
      </c>
      <c r="J77" s="26" t="str">
        <f aca="false">IF(I77="","",ROUND(I77*$M$2*$M$3,2))</f>
        <v/>
      </c>
      <c r="K77" s="6"/>
      <c r="L77" s="27"/>
    </row>
    <row r="78" customFormat="false" ht="15" hidden="false" customHeight="false" outlineLevel="0" collapsed="false">
      <c r="A78" s="24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25" t="str">
        <f aca="false">IF(OR(G78="",C78=""),"",ROUND((G78-D78)/(D78-E78),2))</f>
        <v/>
      </c>
      <c r="J78" s="26" t="str">
        <f aca="false">IF(I78="","",ROUND(I78*$M$2*$M$3,2))</f>
        <v/>
      </c>
      <c r="K78" s="6"/>
      <c r="L78" s="27"/>
    </row>
    <row r="79" customFormat="false" ht="15" hidden="false" customHeight="false" outlineLevel="0" collapsed="false">
      <c r="A79" s="24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25" t="str">
        <f aca="false">IF(OR(G79="",C79=""),"",ROUND((G79-D79)/(D79-E79),2))</f>
        <v/>
      </c>
      <c r="J79" s="26" t="str">
        <f aca="false">IF(I79="","",ROUND(I79*$M$2*$M$3,2))</f>
        <v/>
      </c>
      <c r="K79" s="6"/>
      <c r="L79" s="27"/>
    </row>
    <row r="80" customFormat="false" ht="15" hidden="false" customHeight="false" outlineLevel="0" collapsed="false">
      <c r="A80" s="24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25" t="str">
        <f aca="false">IF(OR(G80="",C80=""),"",ROUND((G80-D80)/(D80-E80),2))</f>
        <v/>
      </c>
      <c r="J80" s="26" t="str">
        <f aca="false">IF(I80="","",ROUND(I80*$M$2*$M$3,2))</f>
        <v/>
      </c>
      <c r="K80" s="6"/>
      <c r="L80" s="27"/>
    </row>
    <row r="81" customFormat="false" ht="15" hidden="false" customHeight="false" outlineLevel="0" collapsed="false">
      <c r="A81" s="24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25" t="str">
        <f aca="false">IF(OR(G81="",C81=""),"",ROUND((G81-D81)/(D81-E81),2))</f>
        <v/>
      </c>
      <c r="J81" s="26" t="str">
        <f aca="false">IF(I81="","",ROUND(I81*$M$2*$M$3,2))</f>
        <v/>
      </c>
      <c r="K81" s="6"/>
      <c r="L81" s="27"/>
    </row>
    <row r="82" customFormat="false" ht="15" hidden="false" customHeight="false" outlineLevel="0" collapsed="false">
      <c r="A82" s="24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25" t="str">
        <f aca="false">IF(OR(G82="",C82=""),"",ROUND((G82-D82)/(D82-E82),2))</f>
        <v/>
      </c>
      <c r="J82" s="26" t="str">
        <f aca="false">IF(I82="","",ROUND(I82*$M$2*$M$3,2))</f>
        <v/>
      </c>
      <c r="K82" s="6"/>
      <c r="L82" s="27"/>
    </row>
    <row r="83" customFormat="false" ht="15" hidden="false" customHeight="false" outlineLevel="0" collapsed="false">
      <c r="A83" s="24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25" t="str">
        <f aca="false">IF(OR(G83="",C83=""),"",ROUND((G83-D83)/(D83-E83),2))</f>
        <v/>
      </c>
      <c r="J83" s="26" t="str">
        <f aca="false">IF(I83="","",ROUND(I83*$M$2*$M$3,2))</f>
        <v/>
      </c>
      <c r="K83" s="6"/>
      <c r="L83" s="27"/>
    </row>
    <row r="84" customFormat="false" ht="15" hidden="false" customHeight="false" outlineLevel="0" collapsed="false">
      <c r="A84" s="24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25" t="str">
        <f aca="false">IF(OR(G84="",C84=""),"",ROUND((G84-D84)/(D84-E84),2))</f>
        <v/>
      </c>
      <c r="J84" s="26" t="str">
        <f aca="false">IF(I84="","",ROUND(I84*$M$2*$M$3,2))</f>
        <v/>
      </c>
      <c r="K84" s="6"/>
      <c r="L84" s="27"/>
    </row>
    <row r="85" customFormat="false" ht="15" hidden="false" customHeight="false" outlineLevel="0" collapsed="false">
      <c r="A85" s="24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25" t="str">
        <f aca="false">IF(OR(G85="",C85=""),"",ROUND((G85-D85)/(D85-E85),2))</f>
        <v/>
      </c>
      <c r="J85" s="26" t="str">
        <f aca="false">IF(I85="","",ROUND(I85*$M$2*$M$3,2))</f>
        <v/>
      </c>
      <c r="K85" s="6"/>
      <c r="L85" s="27"/>
    </row>
    <row r="86" customFormat="false" ht="15" hidden="false" customHeight="false" outlineLevel="0" collapsed="false">
      <c r="A86" s="24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25" t="str">
        <f aca="false">IF(OR(G86="",C86=""),"",ROUND((G86-D86)/(D86-E86),2))</f>
        <v/>
      </c>
      <c r="J86" s="26" t="str">
        <f aca="false">IF(I86="","",ROUND(I86*$M$2*$M$3,2))</f>
        <v/>
      </c>
      <c r="K86" s="6"/>
      <c r="L86" s="27"/>
    </row>
    <row r="87" customFormat="false" ht="15" hidden="false" customHeight="false" outlineLevel="0" collapsed="false">
      <c r="A87" s="24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25" t="str">
        <f aca="false">IF(OR(G87="",C87=""),"",ROUND((G87-D87)/(D87-E87),2))</f>
        <v/>
      </c>
      <c r="J87" s="26" t="str">
        <f aca="false">IF(I87="","",ROUND(I87*$M$2*$M$3,2))</f>
        <v/>
      </c>
      <c r="K87" s="6"/>
      <c r="L87" s="27"/>
    </row>
    <row r="88" customFormat="false" ht="15" hidden="false" customHeight="false" outlineLevel="0" collapsed="false">
      <c r="A88" s="24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25" t="str">
        <f aca="false">IF(OR(G88="",C88=""),"",ROUND((G88-D88)/(D88-E88),2))</f>
        <v/>
      </c>
      <c r="J88" s="26" t="str">
        <f aca="false">IF(I88="","",ROUND(I88*$M$2*$M$3,2))</f>
        <v/>
      </c>
      <c r="K88" s="6"/>
      <c r="L88" s="27"/>
    </row>
    <row r="89" customFormat="false" ht="15" hidden="false" customHeight="false" outlineLevel="0" collapsed="false">
      <c r="A89" s="24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25" t="str">
        <f aca="false">IF(OR(G89="",C89=""),"",ROUND((G89-D89)/(D89-E89),2))</f>
        <v/>
      </c>
      <c r="J89" s="26" t="str">
        <f aca="false">IF(I89="","",ROUND(I89*$M$2*$M$3,2))</f>
        <v/>
      </c>
      <c r="K89" s="6"/>
      <c r="L89" s="27"/>
    </row>
    <row r="90" customFormat="false" ht="15" hidden="false" customHeight="false" outlineLevel="0" collapsed="false">
      <c r="A90" s="24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25" t="str">
        <f aca="false">IF(OR(G90="",C90=""),"",ROUND((G90-D90)/(D90-E90),2))</f>
        <v/>
      </c>
      <c r="J90" s="26" t="str">
        <f aca="false">IF(I90="","",ROUND(I90*$M$2*$M$3,2))</f>
        <v/>
      </c>
      <c r="K90" s="6"/>
      <c r="L90" s="27"/>
    </row>
    <row r="91" customFormat="false" ht="15" hidden="false" customHeight="false" outlineLevel="0" collapsed="false">
      <c r="A91" s="24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25" t="str">
        <f aca="false">IF(OR(G91="",C91=""),"",ROUND((G91-D91)/(D91-E91),2))</f>
        <v/>
      </c>
      <c r="J91" s="26" t="str">
        <f aca="false">IF(I91="","",ROUND(I91*$M$2*$M$3,2))</f>
        <v/>
      </c>
      <c r="K91" s="6"/>
      <c r="L91" s="27"/>
    </row>
    <row r="92" customFormat="false" ht="15" hidden="false" customHeight="false" outlineLevel="0" collapsed="false">
      <c r="A92" s="24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25" t="str">
        <f aca="false">IF(OR(G92="",C92=""),"",ROUND((G92-D92)/(D92-E92),2))</f>
        <v/>
      </c>
      <c r="J92" s="26" t="str">
        <f aca="false">IF(I92="","",ROUND(I92*$M$2*$M$3,2))</f>
        <v/>
      </c>
      <c r="K92" s="6"/>
      <c r="L92" s="27"/>
    </row>
    <row r="93" customFormat="false" ht="15" hidden="false" customHeight="false" outlineLevel="0" collapsed="false">
      <c r="A93" s="24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25" t="str">
        <f aca="false">IF(OR(G93="",C93=""),"",ROUND((G93-D93)/(D93-E93),2))</f>
        <v/>
      </c>
      <c r="J93" s="26" t="str">
        <f aca="false">IF(I93="","",ROUND(I93*$M$2*$M$3,2))</f>
        <v/>
      </c>
      <c r="K93" s="6"/>
      <c r="L93" s="27"/>
    </row>
    <row r="94" customFormat="false" ht="15" hidden="false" customHeight="false" outlineLevel="0" collapsed="false">
      <c r="A94" s="24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25" t="str">
        <f aca="false">IF(OR(G94="",C94=""),"",ROUND((G94-D94)/(D94-E94),2))</f>
        <v/>
      </c>
      <c r="J94" s="26" t="str">
        <f aca="false">IF(I94="","",ROUND(I94*$M$2*$M$3,2))</f>
        <v/>
      </c>
      <c r="K94" s="6"/>
      <c r="L94" s="27"/>
    </row>
    <row r="95" customFormat="false" ht="15" hidden="false" customHeight="false" outlineLevel="0" collapsed="false">
      <c r="A95" s="24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25" t="str">
        <f aca="false">IF(OR(G95="",C95=""),"",ROUND((G95-D95)/(D95-E95),2))</f>
        <v/>
      </c>
      <c r="J95" s="26" t="str">
        <f aca="false">IF(I95="","",ROUND(I95*$M$2*$M$3,2))</f>
        <v/>
      </c>
      <c r="K95" s="6"/>
      <c r="L95" s="27"/>
    </row>
    <row r="96" customFormat="false" ht="15" hidden="false" customHeight="false" outlineLevel="0" collapsed="false">
      <c r="A96" s="24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25" t="str">
        <f aca="false">IF(OR(G96="",C96=""),"",ROUND((G96-D96)/(D96-E96),2))</f>
        <v/>
      </c>
      <c r="J96" s="26" t="str">
        <f aca="false">IF(I96="","",ROUND(I96*$M$2*$M$3,2))</f>
        <v/>
      </c>
      <c r="K96" s="6"/>
      <c r="L96" s="27"/>
    </row>
    <row r="97" customFormat="false" ht="15" hidden="false" customHeight="false" outlineLevel="0" collapsed="false">
      <c r="A97" s="24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25" t="str">
        <f aca="false">IF(OR(G97="",C97=""),"",ROUND((G97-D97)/(D97-E97),2))</f>
        <v/>
      </c>
      <c r="J97" s="26" t="str">
        <f aca="false">IF(I97="","",ROUND(I97*$M$2*$M$3,2))</f>
        <v/>
      </c>
      <c r="K97" s="6"/>
      <c r="L97" s="27"/>
    </row>
    <row r="98" customFormat="false" ht="15" hidden="false" customHeight="false" outlineLevel="0" collapsed="false">
      <c r="A98" s="24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25" t="str">
        <f aca="false">IF(OR(G98="",C98=""),"",ROUND((G98-D98)/(D98-E98),2))</f>
        <v/>
      </c>
      <c r="J98" s="26" t="str">
        <f aca="false">IF(I98="","",ROUND(I98*$M$2*$M$3,2))</f>
        <v/>
      </c>
      <c r="K98" s="6"/>
      <c r="L98" s="27"/>
    </row>
    <row r="99" customFormat="false" ht="15" hidden="false" customHeight="false" outlineLevel="0" collapsed="false">
      <c r="A99" s="24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25" t="str">
        <f aca="false">IF(OR(G99="",C99=""),"",ROUND((G99-D99)/(D99-E99),2))</f>
        <v/>
      </c>
      <c r="J99" s="26" t="str">
        <f aca="false">IF(I99="","",ROUND(I99*$M$2*$M$3,2))</f>
        <v/>
      </c>
      <c r="K99" s="6"/>
      <c r="L99" s="27"/>
    </row>
    <row r="100" customFormat="false" ht="15" hidden="false" customHeight="false" outlineLevel="0" collapsed="false">
      <c r="A100" s="24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25" t="str">
        <f aca="false">IF(OR(G100="",C100=""),"",ROUND((G100-D100)/(D100-E100),2))</f>
        <v/>
      </c>
      <c r="J100" s="26" t="str">
        <f aca="false">IF(I100="","",ROUND(I100*$M$2*$M$3,2))</f>
        <v/>
      </c>
      <c r="K100" s="6"/>
      <c r="L100" s="27"/>
    </row>
    <row r="101" customFormat="false" ht="15" hidden="false" customHeight="false" outlineLevel="0" collapsed="false">
      <c r="A101" s="24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25" t="str">
        <f aca="false">IF(OR(G101="",C101=""),"",ROUND((G101-D101)/(D101-E101),2))</f>
        <v/>
      </c>
      <c r="J101" s="26" t="str">
        <f aca="false">IF(I101="","",ROUND(I101*$M$2*$M$3,2))</f>
        <v/>
      </c>
      <c r="K101" s="6"/>
      <c r="L101" s="27"/>
    </row>
    <row r="102" customFormat="false" ht="15" hidden="false" customHeight="false" outlineLevel="0" collapsed="false">
      <c r="A102" s="24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25" t="str">
        <f aca="false">IF(OR(G102="",C102=""),"",ROUND((G102-D102)/(D102-E102),2))</f>
        <v/>
      </c>
      <c r="J102" s="26" t="str">
        <f aca="false">IF(I102="","",ROUND(I102*$M$2*$M$3,2))</f>
        <v/>
      </c>
      <c r="K102" s="6"/>
      <c r="L102" s="27"/>
    </row>
    <row r="103" customFormat="false" ht="15" hidden="false" customHeight="false" outlineLevel="0" collapsed="false">
      <c r="A103" s="24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25" t="str">
        <f aca="false">IF(OR(G103="",C103=""),"",ROUND((G103-D103)/(D103-E103),2))</f>
        <v/>
      </c>
      <c r="J103" s="26" t="str">
        <f aca="false">IF(I103="","",ROUND(I103*$M$2*$M$3,2))</f>
        <v/>
      </c>
      <c r="K103" s="6"/>
      <c r="L103" s="27"/>
    </row>
    <row r="104" customFormat="false" ht="15" hidden="false" customHeight="false" outlineLevel="0" collapsed="false">
      <c r="A104" s="24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25" t="str">
        <f aca="false">IF(OR(G104="",C104=""),"",ROUND((G104-D104)/(D104-E104),2))</f>
        <v/>
      </c>
      <c r="J104" s="26" t="str">
        <f aca="false">IF(I104="","",ROUND(I104*$M$2*$M$3,2))</f>
        <v/>
      </c>
      <c r="K104" s="6"/>
      <c r="L104" s="27"/>
    </row>
    <row r="105" customFormat="false" ht="15" hidden="false" customHeight="false" outlineLevel="0" collapsed="false">
      <c r="A105" s="24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25" t="str">
        <f aca="false">IF(OR(G105="",C105=""),"",ROUND((G105-D105)/(D105-E105),2))</f>
        <v/>
      </c>
      <c r="J105" s="26" t="str">
        <f aca="false">IF(I105="","",ROUND(I105*$M$2*$M$3,2))</f>
        <v/>
      </c>
      <c r="K105" s="6"/>
      <c r="L105" s="27"/>
    </row>
    <row r="106" customFormat="false" ht="15" hidden="false" customHeight="false" outlineLevel="0" collapsed="false">
      <c r="A106" s="24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25" t="str">
        <f aca="false">IF(OR(G106="",C106=""),"",ROUND((G106-D106)/(D106-E106),2))</f>
        <v/>
      </c>
      <c r="J106" s="26" t="str">
        <f aca="false">IF(I106="","",ROUND(I106*$M$2*$M$3,2))</f>
        <v/>
      </c>
      <c r="K106" s="6"/>
      <c r="L106" s="27"/>
    </row>
    <row r="107" customFormat="false" ht="15" hidden="false" customHeight="false" outlineLevel="0" collapsed="false">
      <c r="A107" s="24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25" t="str">
        <f aca="false">IF(OR(G107="",C107=""),"",ROUND((G107-D107)/(D107-E107),2))</f>
        <v/>
      </c>
      <c r="J107" s="26" t="str">
        <f aca="false">IF(I107="","",ROUND(I107*$M$2*$M$3,2))</f>
        <v/>
      </c>
      <c r="K107" s="6"/>
      <c r="L107" s="27"/>
    </row>
    <row r="108" customFormat="false" ht="15" hidden="false" customHeight="false" outlineLevel="0" collapsed="false">
      <c r="A108" s="24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25" t="str">
        <f aca="false">IF(OR(G108="",C108=""),"",ROUND((G108-D108)/(D108-E108),2))</f>
        <v/>
      </c>
      <c r="J108" s="26" t="str">
        <f aca="false">IF(I108="","",ROUND(I108*$M$2*$M$3,2))</f>
        <v/>
      </c>
      <c r="K108" s="6"/>
      <c r="L108" s="27"/>
    </row>
    <row r="109" customFormat="false" ht="15" hidden="false" customHeight="false" outlineLevel="0" collapsed="false">
      <c r="A109" s="24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25" t="str">
        <f aca="false">IF(OR(G109="",C109=""),"",ROUND((G109-D109)/(D109-E109),2))</f>
        <v/>
      </c>
      <c r="J109" s="26" t="str">
        <f aca="false">IF(I109="","",ROUND(I109*$M$2*$M$3,2))</f>
        <v/>
      </c>
      <c r="K109" s="6"/>
      <c r="L109" s="27"/>
    </row>
    <row r="110" customFormat="false" ht="15" hidden="false" customHeight="false" outlineLevel="0" collapsed="false">
      <c r="A110" s="24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25" t="str">
        <f aca="false">IF(OR(G110="",C110=""),"",ROUND((G110-D110)/(D110-E110),2))</f>
        <v/>
      </c>
      <c r="J110" s="26" t="str">
        <f aca="false">IF(I110="","",ROUND(I110*$M$2*$M$3,2))</f>
        <v/>
      </c>
      <c r="K110" s="6"/>
      <c r="L110" s="27"/>
    </row>
    <row r="111" customFormat="false" ht="15" hidden="false" customHeight="false" outlineLevel="0" collapsed="false">
      <c r="A111" s="24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25" t="str">
        <f aca="false">IF(OR(G111="",C111=""),"",ROUND((G111-D111)/(D111-E111),2))</f>
        <v/>
      </c>
      <c r="J111" s="26" t="str">
        <f aca="false">IF(I111="","",ROUND(I111*$M$2*$M$3,2))</f>
        <v/>
      </c>
      <c r="K111" s="6"/>
      <c r="L111" s="27"/>
    </row>
    <row r="112" customFormat="false" ht="15" hidden="false" customHeight="false" outlineLevel="0" collapsed="false">
      <c r="A112" s="24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25" t="str">
        <f aca="false">IF(OR(G112="",C112=""),"",ROUND((G112-D112)/(D112-E112),2))</f>
        <v/>
      </c>
      <c r="J112" s="26" t="str">
        <f aca="false">IF(I112="","",ROUND(I112*$M$2*$M$3,2))</f>
        <v/>
      </c>
      <c r="K112" s="6"/>
      <c r="L112" s="27"/>
    </row>
    <row r="113" customFormat="false" ht="15" hidden="false" customHeight="false" outlineLevel="0" collapsed="false">
      <c r="A113" s="24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25" t="str">
        <f aca="false">IF(OR(G113="",C113=""),"",ROUND((G113-D113)/(D113-E113),2))</f>
        <v/>
      </c>
      <c r="J113" s="26" t="str">
        <f aca="false">IF(I113="","",ROUND(I113*$M$2*$M$3,2))</f>
        <v/>
      </c>
      <c r="K113" s="6"/>
      <c r="L113" s="27"/>
    </row>
    <row r="114" customFormat="false" ht="15" hidden="false" customHeight="false" outlineLevel="0" collapsed="false">
      <c r="A114" s="24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25" t="str">
        <f aca="false">IF(OR(G114="",C114=""),"",ROUND((G114-D114)/(D114-E114),2))</f>
        <v/>
      </c>
      <c r="J114" s="26" t="str">
        <f aca="false">IF(I114="","",ROUND(I114*$M$2*$M$3,2))</f>
        <v/>
      </c>
      <c r="K114" s="6"/>
      <c r="L114" s="27"/>
    </row>
    <row r="115" customFormat="false" ht="15" hidden="false" customHeight="false" outlineLevel="0" collapsed="false">
      <c r="A115" s="24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25" t="str">
        <f aca="false">IF(OR(G115="",C115=""),"",ROUND((G115-D115)/(D115-E115),2))</f>
        <v/>
      </c>
      <c r="J115" s="26" t="str">
        <f aca="false">IF(I115="","",ROUND(I115*$M$2*$M$3,2))</f>
        <v/>
      </c>
      <c r="K115" s="6"/>
      <c r="L115" s="27"/>
    </row>
    <row r="116" customFormat="false" ht="15" hidden="false" customHeight="false" outlineLevel="0" collapsed="false">
      <c r="A116" s="24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25" t="str">
        <f aca="false">IF(OR(G116="",C116=""),"",ROUND((G116-D116)/(D116-E116),2))</f>
        <v/>
      </c>
      <c r="J116" s="26" t="str">
        <f aca="false">IF(I116="","",ROUND(I116*$M$2*$M$3,2))</f>
        <v/>
      </c>
      <c r="K116" s="6"/>
      <c r="L116" s="27"/>
    </row>
    <row r="117" customFormat="false" ht="15" hidden="false" customHeight="false" outlineLevel="0" collapsed="false">
      <c r="A117" s="24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25" t="str">
        <f aca="false">IF(OR(G117="",C117=""),"",ROUND((G117-D117)/(D117-E117),2))</f>
        <v/>
      </c>
      <c r="J117" s="26" t="str">
        <f aca="false">IF(I117="","",ROUND(I117*$M$2*$M$3,2))</f>
        <v/>
      </c>
      <c r="K117" s="6"/>
      <c r="L117" s="27"/>
    </row>
    <row r="118" customFormat="false" ht="15" hidden="false" customHeight="false" outlineLevel="0" collapsed="false">
      <c r="A118" s="24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25" t="str">
        <f aca="false">IF(OR(G118="",C118=""),"",ROUND((G118-D118)/(D118-E118),2))</f>
        <v/>
      </c>
      <c r="J118" s="26" t="str">
        <f aca="false">IF(I118="","",ROUND(I118*$M$2*$M$3,2))</f>
        <v/>
      </c>
      <c r="K118" s="6"/>
      <c r="L118" s="27"/>
    </row>
    <row r="119" customFormat="false" ht="15" hidden="false" customHeight="false" outlineLevel="0" collapsed="false">
      <c r="A119" s="24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25" t="str">
        <f aca="false">IF(OR(G119="",C119=""),"",ROUND((G119-D119)/(D119-E119),2))</f>
        <v/>
      </c>
      <c r="J119" s="26" t="str">
        <f aca="false">IF(I119="","",ROUND(I119*$M$2*$M$3,2))</f>
        <v/>
      </c>
      <c r="K119" s="6"/>
      <c r="L119" s="27"/>
    </row>
    <row r="120" customFormat="false" ht="15" hidden="false" customHeight="false" outlineLevel="0" collapsed="false">
      <c r="A120" s="24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25" t="str">
        <f aca="false">IF(OR(G120="",C120=""),"",ROUND((G120-D120)/(D120-E120),2))</f>
        <v/>
      </c>
      <c r="J120" s="26" t="str">
        <f aca="false">IF(I120="","",ROUND(I120*$M$2*$M$3,2))</f>
        <v/>
      </c>
      <c r="K120" s="6"/>
      <c r="L120" s="27"/>
    </row>
    <row r="121" customFormat="false" ht="15" hidden="false" customHeight="false" outlineLevel="0" collapsed="false">
      <c r="A121" s="24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25" t="str">
        <f aca="false">IF(OR(G121="",C121=""),"",ROUND((G121-D121)/(D121-E121),2))</f>
        <v/>
      </c>
      <c r="J121" s="26" t="str">
        <f aca="false">IF(I121="","",ROUND(I121*$M$2*$M$3,2))</f>
        <v/>
      </c>
      <c r="K121" s="6"/>
      <c r="L121" s="27"/>
    </row>
    <row r="122" customFormat="false" ht="15" hidden="false" customHeight="false" outlineLevel="0" collapsed="false">
      <c r="A122" s="24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25" t="str">
        <f aca="false">IF(OR(G122="",C122=""),"",ROUND((G122-D122)/(D122-E122),2))</f>
        <v/>
      </c>
      <c r="J122" s="26" t="str">
        <f aca="false">IF(I122="","",ROUND(I122*$M$2*$M$3,2))</f>
        <v/>
      </c>
      <c r="K122" s="6"/>
      <c r="L122" s="27"/>
    </row>
    <row r="123" customFormat="false" ht="15" hidden="false" customHeight="false" outlineLevel="0" collapsed="false">
      <c r="A123" s="24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25" t="str">
        <f aca="false">IF(OR(G123="",C123=""),"",ROUND((G123-D123)/(D123-E123),2))</f>
        <v/>
      </c>
      <c r="J123" s="26" t="str">
        <f aca="false">IF(I123="","",ROUND(I123*$M$2*$M$3,2))</f>
        <v/>
      </c>
      <c r="K123" s="6"/>
      <c r="L123" s="27"/>
    </row>
    <row r="124" customFormat="false" ht="15" hidden="false" customHeight="false" outlineLevel="0" collapsed="false">
      <c r="A124" s="24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25" t="str">
        <f aca="false">IF(OR(G124="",C124=""),"",ROUND((G124-D124)/(D124-E124),2))</f>
        <v/>
      </c>
      <c r="J124" s="26" t="str">
        <f aca="false">IF(I124="","",ROUND(I124*$M$2*$M$3,2))</f>
        <v/>
      </c>
      <c r="K124" s="6"/>
      <c r="L124" s="27"/>
    </row>
    <row r="125" customFormat="false" ht="15" hidden="false" customHeight="false" outlineLevel="0" collapsed="false">
      <c r="A125" s="24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25" t="str">
        <f aca="false">IF(OR(G125="",C125=""),"",ROUND((G125-D125)/(D125-E125),2))</f>
        <v/>
      </c>
      <c r="J125" s="26" t="str">
        <f aca="false">IF(I125="","",ROUND(I125*$M$2*$M$3,2))</f>
        <v/>
      </c>
      <c r="K125" s="6"/>
      <c r="L125" s="27"/>
    </row>
    <row r="126" customFormat="false" ht="15" hidden="false" customHeight="false" outlineLevel="0" collapsed="false">
      <c r="A126" s="24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25" t="str">
        <f aca="false">IF(OR(G126="",C126=""),"",ROUND((G126-D126)/(D126-E126),2))</f>
        <v/>
      </c>
      <c r="J126" s="26" t="str">
        <f aca="false">IF(I126="","",ROUND(I126*$M$2*$M$3,2))</f>
        <v/>
      </c>
      <c r="K126" s="6"/>
      <c r="L126" s="27"/>
    </row>
    <row r="127" customFormat="false" ht="15" hidden="false" customHeight="false" outlineLevel="0" collapsed="false">
      <c r="A127" s="24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25" t="str">
        <f aca="false">IF(OR(G127="",C127=""),"",ROUND((G127-D127)/(D127-E127),2))</f>
        <v/>
      </c>
      <c r="J127" s="26" t="str">
        <f aca="false">IF(I127="","",ROUND(I127*$M$2*$M$3,2))</f>
        <v/>
      </c>
      <c r="K127" s="6"/>
      <c r="L127" s="27"/>
    </row>
    <row r="128" customFormat="false" ht="15" hidden="false" customHeight="false" outlineLevel="0" collapsed="false">
      <c r="A128" s="24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25" t="str">
        <f aca="false">IF(OR(G128="",C128=""),"",ROUND((G128-D128)/(D128-E128),2))</f>
        <v/>
      </c>
      <c r="J128" s="26" t="str">
        <f aca="false">IF(I128="","",ROUND(I128*$M$2*$M$3,2))</f>
        <v/>
      </c>
      <c r="K128" s="6"/>
      <c r="L128" s="27"/>
    </row>
    <row r="129" customFormat="false" ht="15" hidden="false" customHeight="false" outlineLevel="0" collapsed="false">
      <c r="A129" s="24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25" t="str">
        <f aca="false">IF(OR(G129="",C129=""),"",ROUND((G129-D129)/(D129-E129),2))</f>
        <v/>
      </c>
      <c r="J129" s="26" t="str">
        <f aca="false">IF(I129="","",ROUND(I129*$M$2*$M$3,2))</f>
        <v/>
      </c>
      <c r="K129" s="6"/>
      <c r="L129" s="27"/>
    </row>
    <row r="130" customFormat="false" ht="15" hidden="false" customHeight="false" outlineLevel="0" collapsed="false">
      <c r="A130" s="24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25" t="str">
        <f aca="false">IF(OR(G130="",C130=""),"",ROUND((G130-D130)/(D130-E130),2))</f>
        <v/>
      </c>
      <c r="J130" s="26" t="str">
        <f aca="false">IF(I130="","",ROUND(I130*$M$2*$M$3,2))</f>
        <v/>
      </c>
      <c r="K130" s="6"/>
      <c r="L130" s="27"/>
    </row>
    <row r="131" customFormat="false" ht="15" hidden="false" customHeight="false" outlineLevel="0" collapsed="false">
      <c r="A131" s="24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25" t="str">
        <f aca="false">IF(OR(G131="",C131=""),"",ROUND((G131-D131)/(D131-E131),2))</f>
        <v/>
      </c>
      <c r="J131" s="26" t="str">
        <f aca="false">IF(I131="","",ROUND(I131*$M$2*$M$3,2))</f>
        <v/>
      </c>
      <c r="K131" s="6"/>
      <c r="L131" s="27"/>
    </row>
    <row r="132" customFormat="false" ht="15" hidden="false" customHeight="false" outlineLevel="0" collapsed="false">
      <c r="A132" s="24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25" t="str">
        <f aca="false">IF(OR(G132="",C132=""),"",ROUND((G132-D132)/(D132-E132),2))</f>
        <v/>
      </c>
      <c r="J132" s="26" t="str">
        <f aca="false">IF(I132="","",ROUND(I132*$M$2*$M$3,2))</f>
        <v/>
      </c>
      <c r="K132" s="6"/>
      <c r="L132" s="27"/>
    </row>
    <row r="133" customFormat="false" ht="15" hidden="false" customHeight="false" outlineLevel="0" collapsed="false">
      <c r="A133" s="24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25" t="str">
        <f aca="false">IF(OR(G133="",C133=""),"",ROUND((G133-D133)/(D133-E133),2))</f>
        <v/>
      </c>
      <c r="J133" s="26" t="str">
        <f aca="false">IF(I133="","",ROUND(I133*$M$2*$M$3,2))</f>
        <v/>
      </c>
      <c r="K133" s="6"/>
      <c r="L133" s="27"/>
    </row>
    <row r="134" customFormat="false" ht="15" hidden="false" customHeight="false" outlineLevel="0" collapsed="false">
      <c r="A134" s="24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25" t="str">
        <f aca="false">IF(OR(G134="",C134=""),"",ROUND((G134-D134)/(D134-E134),2))</f>
        <v/>
      </c>
      <c r="J134" s="26" t="str">
        <f aca="false">IF(I134="","",ROUND(I134*$M$2*$M$3,2))</f>
        <v/>
      </c>
      <c r="K134" s="6"/>
      <c r="L134" s="27"/>
    </row>
    <row r="135" customFormat="false" ht="15" hidden="false" customHeight="false" outlineLevel="0" collapsed="false">
      <c r="A135" s="24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25" t="str">
        <f aca="false">IF(OR(G135="",C135=""),"",ROUND((G135-D135)/(D135-E135),2))</f>
        <v/>
      </c>
      <c r="J135" s="26" t="str">
        <f aca="false">IF(I135="","",ROUND(I135*$M$2*$M$3,2))</f>
        <v/>
      </c>
      <c r="K135" s="6"/>
      <c r="L135" s="27"/>
    </row>
    <row r="136" customFormat="false" ht="15" hidden="false" customHeight="false" outlineLevel="0" collapsed="false">
      <c r="A136" s="24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25" t="str">
        <f aca="false">IF(OR(G136="",C136=""),"",ROUND((G136-D136)/(D136-E136),2))</f>
        <v/>
      </c>
      <c r="J136" s="26" t="str">
        <f aca="false">IF(I136="","",ROUND(I136*$M$2*$M$3,2))</f>
        <v/>
      </c>
      <c r="K136" s="6"/>
      <c r="L136" s="27"/>
    </row>
    <row r="137" customFormat="false" ht="15" hidden="false" customHeight="false" outlineLevel="0" collapsed="false">
      <c r="A137" s="24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25" t="str">
        <f aca="false">IF(OR(G137="",C137=""),"",ROUND((G137-D137)/(D137-E137),2))</f>
        <v/>
      </c>
      <c r="J137" s="26" t="str">
        <f aca="false">IF(I137="","",ROUND(I137*$M$2*$M$3,2))</f>
        <v/>
      </c>
      <c r="K137" s="6"/>
      <c r="L137" s="27"/>
    </row>
    <row r="138" customFormat="false" ht="15" hidden="false" customHeight="false" outlineLevel="0" collapsed="false">
      <c r="A138" s="24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25" t="str">
        <f aca="false">IF(OR(G138="",C138=""),"",ROUND((G138-D138)/(D138-E138),2))</f>
        <v/>
      </c>
      <c r="J138" s="26" t="str">
        <f aca="false">IF(I138="","",ROUND(I138*$M$2*$M$3,2))</f>
        <v/>
      </c>
      <c r="K138" s="6"/>
      <c r="L138" s="27"/>
    </row>
    <row r="139" customFormat="false" ht="15" hidden="false" customHeight="false" outlineLevel="0" collapsed="false">
      <c r="A139" s="24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25" t="str">
        <f aca="false">IF(OR(G139="",C139=""),"",ROUND((G139-D139)/(D139-E139),2))</f>
        <v/>
      </c>
      <c r="J139" s="26" t="str">
        <f aca="false">IF(I139="","",ROUND(I139*$M$2*$M$3,2))</f>
        <v/>
      </c>
      <c r="K139" s="6"/>
      <c r="L139" s="27"/>
    </row>
    <row r="140" customFormat="false" ht="15" hidden="false" customHeight="false" outlineLevel="0" collapsed="false">
      <c r="A140" s="24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25" t="str">
        <f aca="false">IF(OR(G140="",C140=""),"",ROUND((G140-D140)/(D140-E140),2))</f>
        <v/>
      </c>
      <c r="J140" s="26" t="str">
        <f aca="false">IF(I140="","",ROUND(I140*$M$2*$M$3,2))</f>
        <v/>
      </c>
      <c r="K140" s="6"/>
      <c r="L140" s="27"/>
    </row>
    <row r="141" customFormat="false" ht="15" hidden="false" customHeight="false" outlineLevel="0" collapsed="false">
      <c r="A141" s="24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25" t="str">
        <f aca="false">IF(OR(G141="",C141=""),"",ROUND((G141-D141)/(D141-E141),2))</f>
        <v/>
      </c>
      <c r="J141" s="26" t="str">
        <f aca="false">IF(I141="","",ROUND(I141*$M$2*$M$3,2))</f>
        <v/>
      </c>
      <c r="K141" s="6"/>
      <c r="L141" s="27"/>
    </row>
    <row r="142" customFormat="false" ht="15" hidden="false" customHeight="false" outlineLevel="0" collapsed="false">
      <c r="A142" s="24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25" t="str">
        <f aca="false">IF(OR(G142="",C142=""),"",ROUND((G142-D142)/(D142-E142),2))</f>
        <v/>
      </c>
      <c r="J142" s="26" t="str">
        <f aca="false">IF(I142="","",ROUND(I142*$M$2*$M$3,2))</f>
        <v/>
      </c>
      <c r="K142" s="6"/>
      <c r="L142" s="27"/>
    </row>
    <row r="143" customFormat="false" ht="15" hidden="false" customHeight="false" outlineLevel="0" collapsed="false">
      <c r="A143" s="24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25" t="str">
        <f aca="false">IF(OR(G143="",C143=""),"",ROUND((G143-D143)/(D143-E143),2))</f>
        <v/>
      </c>
      <c r="J143" s="26" t="str">
        <f aca="false">IF(I143="","",ROUND(I143*$M$2*$M$3,2))</f>
        <v/>
      </c>
      <c r="K143" s="6"/>
      <c r="L143" s="27"/>
    </row>
    <row r="144" customFormat="false" ht="15" hidden="false" customHeight="false" outlineLevel="0" collapsed="false">
      <c r="A144" s="24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25" t="str">
        <f aca="false">IF(OR(G144="",C144=""),"",ROUND((G144-D144)/(D144-E144),2))</f>
        <v/>
      </c>
      <c r="J144" s="26" t="str">
        <f aca="false">IF(I144="","",ROUND(I144*$M$2*$M$3,2))</f>
        <v/>
      </c>
      <c r="K144" s="6"/>
      <c r="L144" s="27"/>
    </row>
    <row r="145" customFormat="false" ht="15" hidden="false" customHeight="false" outlineLevel="0" collapsed="false">
      <c r="A145" s="24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25" t="str">
        <f aca="false">IF(OR(G145="",C145=""),"",ROUND((G145-D145)/(D145-E145),2))</f>
        <v/>
      </c>
      <c r="J145" s="26" t="str">
        <f aca="false">IF(I145="","",ROUND(I145*$M$2*$M$3,2))</f>
        <v/>
      </c>
      <c r="K145" s="6"/>
      <c r="L145" s="27"/>
    </row>
    <row r="146" customFormat="false" ht="15" hidden="false" customHeight="false" outlineLevel="0" collapsed="false">
      <c r="A146" s="24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25" t="str">
        <f aca="false">IF(OR(G146="",C146=""),"",ROUND((G146-D146)/(D146-E146),2))</f>
        <v/>
      </c>
      <c r="J146" s="26" t="str">
        <f aca="false">IF(I146="","",ROUND(I146*$M$2*$M$3,2))</f>
        <v/>
      </c>
      <c r="K146" s="6"/>
      <c r="L146" s="27"/>
    </row>
    <row r="147" customFormat="false" ht="15" hidden="false" customHeight="false" outlineLevel="0" collapsed="false">
      <c r="A147" s="24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25" t="str">
        <f aca="false">IF(OR(G147="",C147=""),"",ROUND((G147-D147)/(D147-E147),2))</f>
        <v/>
      </c>
      <c r="J147" s="26" t="str">
        <f aca="false">IF(I147="","",ROUND(I147*$M$2*$M$3,2))</f>
        <v/>
      </c>
      <c r="K147" s="6"/>
      <c r="L147" s="27"/>
    </row>
    <row r="148" customFormat="false" ht="15" hidden="false" customHeight="false" outlineLevel="0" collapsed="false">
      <c r="A148" s="24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25" t="str">
        <f aca="false">IF(OR(G148="",C148=""),"",ROUND((G148-D148)/(D148-E148),2))</f>
        <v/>
      </c>
      <c r="J148" s="26" t="str">
        <f aca="false">IF(I148="","",ROUND(I148*$M$2*$M$3,2))</f>
        <v/>
      </c>
      <c r="K148" s="6"/>
      <c r="L148" s="27"/>
    </row>
    <row r="149" customFormat="false" ht="15" hidden="false" customHeight="false" outlineLevel="0" collapsed="false">
      <c r="A149" s="24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25" t="str">
        <f aca="false">IF(OR(G149="",C149=""),"",ROUND((G149-D149)/(D149-E149),2))</f>
        <v/>
      </c>
      <c r="J149" s="26" t="str">
        <f aca="false">IF(I149="","",ROUND(I149*$M$2*$M$3,2))</f>
        <v/>
      </c>
      <c r="K149" s="6"/>
      <c r="L149" s="27"/>
    </row>
    <row r="150" customFormat="false" ht="15" hidden="false" customHeight="false" outlineLevel="0" collapsed="false">
      <c r="A150" s="24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25" t="str">
        <f aca="false">IF(OR(G150="",C150=""),"",ROUND((G150-D150)/(D150-E150),2))</f>
        <v/>
      </c>
      <c r="J150" s="26" t="str">
        <f aca="false">IF(I150="","",ROUND(I150*$M$2*$M$3,2))</f>
        <v/>
      </c>
      <c r="K150" s="6"/>
      <c r="L150" s="27"/>
    </row>
    <row r="151" customFormat="false" ht="15" hidden="false" customHeight="false" outlineLevel="0" collapsed="false">
      <c r="A151" s="24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25" t="str">
        <f aca="false">IF(OR(G151="",C151=""),"",ROUND((G151-D151)/(D151-E151),2))</f>
        <v/>
      </c>
      <c r="J151" s="26" t="str">
        <f aca="false">IF(I151="","",ROUND(I151*$M$2*$M$3,2))</f>
        <v/>
      </c>
      <c r="K151" s="6"/>
      <c r="L151" s="27"/>
    </row>
    <row r="152" customFormat="false" ht="15" hidden="false" customHeight="false" outlineLevel="0" collapsed="false">
      <c r="A152" s="24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25" t="str">
        <f aca="false">IF(OR(G152="",C152=""),"",ROUND((G152-D152)/(D152-E152),2))</f>
        <v/>
      </c>
      <c r="J152" s="26" t="str">
        <f aca="false">IF(I152="","",ROUND(I152*$M$2*$M$3,2))</f>
        <v/>
      </c>
      <c r="K152" s="6"/>
      <c r="L152" s="27"/>
    </row>
    <row r="153" customFormat="false" ht="15" hidden="false" customHeight="false" outlineLevel="0" collapsed="false">
      <c r="A153" s="24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25" t="str">
        <f aca="false">IF(OR(G153="",C153=""),"",ROUND((G153-D153)/(D153-E153),2))</f>
        <v/>
      </c>
      <c r="J153" s="26" t="str">
        <f aca="false">IF(I153="","",ROUND(I153*$M$2*$M$3,2))</f>
        <v/>
      </c>
      <c r="K153" s="6"/>
      <c r="L153" s="27"/>
    </row>
    <row r="154" customFormat="false" ht="15" hidden="false" customHeight="false" outlineLevel="0" collapsed="false">
      <c r="A154" s="24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25" t="str">
        <f aca="false">IF(OR(G154="",C154=""),"",ROUND((G154-D154)/(D154-E154),2))</f>
        <v/>
      </c>
      <c r="J154" s="26" t="str">
        <f aca="false">IF(I154="","",ROUND(I154*$M$2*$M$3,2))</f>
        <v/>
      </c>
      <c r="K154" s="6"/>
      <c r="L154" s="27"/>
    </row>
    <row r="155" customFormat="false" ht="15" hidden="false" customHeight="false" outlineLevel="0" collapsed="false">
      <c r="A155" s="24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25" t="str">
        <f aca="false">IF(OR(G155="",C155=""),"",ROUND((G155-D155)/(D155-E155),2))</f>
        <v/>
      </c>
      <c r="J155" s="26" t="str">
        <f aca="false">IF(I155="","",ROUND(I155*$M$2*$M$3,2))</f>
        <v/>
      </c>
      <c r="K155" s="6"/>
      <c r="L155" s="27"/>
    </row>
    <row r="156" customFormat="false" ht="15" hidden="false" customHeight="false" outlineLevel="0" collapsed="false">
      <c r="A156" s="24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25" t="str">
        <f aca="false">IF(OR(G156="",C156=""),"",ROUND((G156-D156)/(D156-E156),2))</f>
        <v/>
      </c>
      <c r="J156" s="26" t="str">
        <f aca="false">IF(I156="","",ROUND(I156*$M$2*$M$3,2))</f>
        <v/>
      </c>
      <c r="K156" s="6"/>
      <c r="L156" s="27"/>
    </row>
    <row r="157" customFormat="false" ht="15" hidden="false" customHeight="false" outlineLevel="0" collapsed="false">
      <c r="A157" s="24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25" t="str">
        <f aca="false">IF(OR(G157="",C157=""),"",ROUND((G157-D157)/(D157-E157),2))</f>
        <v/>
      </c>
      <c r="J157" s="26" t="str">
        <f aca="false">IF(I157="","",ROUND(I157*$M$2*$M$3,2))</f>
        <v/>
      </c>
      <c r="K157" s="6"/>
      <c r="L157" s="27"/>
    </row>
    <row r="158" customFormat="false" ht="15" hidden="false" customHeight="false" outlineLevel="0" collapsed="false">
      <c r="A158" s="24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25" t="str">
        <f aca="false">IF(OR(G158="",C158=""),"",ROUND((G158-D158)/(D158-E158),2))</f>
        <v/>
      </c>
      <c r="J158" s="26" t="str">
        <f aca="false">IF(I158="","",ROUND(I158*$M$2*$M$3,2))</f>
        <v/>
      </c>
      <c r="K158" s="6"/>
      <c r="L158" s="27"/>
    </row>
    <row r="159" customFormat="false" ht="15" hidden="false" customHeight="false" outlineLevel="0" collapsed="false">
      <c r="A159" s="24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25" t="str">
        <f aca="false">IF(OR(G159="",C159=""),"",ROUND((G159-D159)/(D159-E159),2))</f>
        <v/>
      </c>
      <c r="J159" s="26" t="str">
        <f aca="false">IF(I159="","",ROUND(I159*$M$2*$M$3,2))</f>
        <v/>
      </c>
      <c r="K159" s="6"/>
      <c r="L159" s="27"/>
    </row>
    <row r="160" customFormat="false" ht="15" hidden="false" customHeight="false" outlineLevel="0" collapsed="false">
      <c r="A160" s="24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25" t="str">
        <f aca="false">IF(OR(G160="",C160=""),"",ROUND((G160-D160)/(D160-E160),2))</f>
        <v/>
      </c>
      <c r="J160" s="26" t="str">
        <f aca="false">IF(I160="","",ROUND(I160*$M$2*$M$3,2))</f>
        <v/>
      </c>
      <c r="K160" s="6"/>
      <c r="L160" s="27"/>
    </row>
    <row r="161" customFormat="false" ht="15" hidden="false" customHeight="false" outlineLevel="0" collapsed="false">
      <c r="A161" s="24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25" t="str">
        <f aca="false">IF(OR(G161="",C161=""),"",ROUND((G161-D161)/(D161-E161),2))</f>
        <v/>
      </c>
      <c r="J161" s="26" t="str">
        <f aca="false">IF(I161="","",ROUND(I161*$M$2*$M$3,2))</f>
        <v/>
      </c>
      <c r="K161" s="6"/>
      <c r="L161" s="27"/>
    </row>
    <row r="162" customFormat="false" ht="15" hidden="false" customHeight="false" outlineLevel="0" collapsed="false">
      <c r="A162" s="24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25" t="str">
        <f aca="false">IF(OR(G162="",C162=""),"",ROUND((G162-D162)/(D162-E162),2))</f>
        <v/>
      </c>
      <c r="J162" s="26" t="str">
        <f aca="false">IF(I162="","",ROUND(I162*$M$2*$M$3,2))</f>
        <v/>
      </c>
      <c r="K162" s="6"/>
      <c r="L162" s="27"/>
    </row>
    <row r="163" customFormat="false" ht="15" hidden="false" customHeight="false" outlineLevel="0" collapsed="false">
      <c r="A163" s="24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25" t="str">
        <f aca="false">IF(OR(G163="",C163=""),"",ROUND((G163-D163)/(D163-E163),2))</f>
        <v/>
      </c>
      <c r="J163" s="26" t="str">
        <f aca="false">IF(I163="","",ROUND(I163*$M$2*$M$3,2))</f>
        <v/>
      </c>
      <c r="K163" s="6"/>
      <c r="L163" s="27"/>
    </row>
    <row r="164" customFormat="false" ht="15" hidden="false" customHeight="false" outlineLevel="0" collapsed="false">
      <c r="A164" s="24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25" t="str">
        <f aca="false">IF(OR(G164="",C164=""),"",ROUND((G164-D164)/(D164-E164),2))</f>
        <v/>
      </c>
      <c r="J164" s="26" t="str">
        <f aca="false">IF(I164="","",ROUND(I164*$M$2*$M$3,2))</f>
        <v/>
      </c>
      <c r="K164" s="6"/>
      <c r="L164" s="27"/>
    </row>
    <row r="165" customFormat="false" ht="15" hidden="false" customHeight="false" outlineLevel="0" collapsed="false">
      <c r="A165" s="24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25" t="str">
        <f aca="false">IF(OR(G165="",C165=""),"",ROUND((G165-D165)/(D165-E165),2))</f>
        <v/>
      </c>
      <c r="J165" s="26" t="str">
        <f aca="false">IF(I165="","",ROUND(I165*$M$2*$M$3,2))</f>
        <v/>
      </c>
      <c r="K165" s="6"/>
      <c r="L165" s="27"/>
    </row>
    <row r="166" customFormat="false" ht="15" hidden="false" customHeight="false" outlineLevel="0" collapsed="false">
      <c r="A166" s="24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25" t="str">
        <f aca="false">IF(OR(G166="",C166=""),"",ROUND((G166-D166)/(D166-E166),2))</f>
        <v/>
      </c>
      <c r="J166" s="26" t="str">
        <f aca="false">IF(I166="","",ROUND(I166*$M$2*$M$3,2))</f>
        <v/>
      </c>
      <c r="K166" s="6"/>
      <c r="L166" s="27"/>
    </row>
    <row r="167" customFormat="false" ht="15" hidden="false" customHeight="false" outlineLevel="0" collapsed="false">
      <c r="A167" s="24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25" t="str">
        <f aca="false">IF(OR(G167="",C167=""),"",ROUND((G167-D167)/(D167-E167),2))</f>
        <v/>
      </c>
      <c r="J167" s="26" t="str">
        <f aca="false">IF(I167="","",ROUND(I167*$M$2*$M$3,2))</f>
        <v/>
      </c>
      <c r="K167" s="6"/>
      <c r="L167" s="27"/>
    </row>
    <row r="168" customFormat="false" ht="15" hidden="false" customHeight="false" outlineLevel="0" collapsed="false">
      <c r="A168" s="24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25" t="str">
        <f aca="false">IF(OR(G168="",C168=""),"",ROUND((G168-D168)/(D168-E168),2))</f>
        <v/>
      </c>
      <c r="J168" s="26" t="str">
        <f aca="false">IF(I168="","",ROUND(I168*$M$2*$M$3,2))</f>
        <v/>
      </c>
      <c r="K168" s="6"/>
      <c r="L168" s="27"/>
    </row>
    <row r="169" customFormat="false" ht="15" hidden="false" customHeight="false" outlineLevel="0" collapsed="false">
      <c r="A169" s="24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25" t="str">
        <f aca="false">IF(OR(G169="",C169=""),"",ROUND((G169-D169)/(D169-E169),2))</f>
        <v/>
      </c>
      <c r="J169" s="26" t="str">
        <f aca="false">IF(I169="","",ROUND(I169*$M$2*$M$3,2))</f>
        <v/>
      </c>
      <c r="K169" s="6"/>
      <c r="L169" s="27"/>
    </row>
    <row r="170" customFormat="false" ht="15" hidden="false" customHeight="false" outlineLevel="0" collapsed="false">
      <c r="A170" s="24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25" t="str">
        <f aca="false">IF(OR(G170="",C170=""),"",ROUND((G170-D170)/(D170-E170),2))</f>
        <v/>
      </c>
      <c r="J170" s="26" t="str">
        <f aca="false">IF(I170="","",ROUND(I170*$M$2*$M$3,2))</f>
        <v/>
      </c>
      <c r="K170" s="6"/>
      <c r="L170" s="27"/>
    </row>
    <row r="171" customFormat="false" ht="15" hidden="false" customHeight="false" outlineLevel="0" collapsed="false">
      <c r="A171" s="24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25" t="str">
        <f aca="false">IF(OR(G171="",C171=""),"",ROUND((G171-D171)/(D171-E171),2))</f>
        <v/>
      </c>
      <c r="J171" s="26" t="str">
        <f aca="false">IF(I171="","",ROUND(I171*$M$2*$M$3,2))</f>
        <v/>
      </c>
      <c r="K171" s="6"/>
      <c r="L171" s="27"/>
    </row>
    <row r="172" customFormat="false" ht="15" hidden="false" customHeight="false" outlineLevel="0" collapsed="false">
      <c r="A172" s="24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25" t="str">
        <f aca="false">IF(OR(G172="",C172=""),"",ROUND((G172-D172)/(D172-E172),2))</f>
        <v/>
      </c>
      <c r="J172" s="26" t="str">
        <f aca="false">IF(I172="","",ROUND(I172*$M$2*$M$3,2))</f>
        <v/>
      </c>
      <c r="K172" s="6"/>
      <c r="L172" s="27"/>
    </row>
    <row r="173" customFormat="false" ht="15" hidden="false" customHeight="false" outlineLevel="0" collapsed="false">
      <c r="A173" s="24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25" t="str">
        <f aca="false">IF(OR(G173="",C173=""),"",ROUND((G173-D173)/(D173-E173),2))</f>
        <v/>
      </c>
      <c r="J173" s="26" t="str">
        <f aca="false">IF(I173="","",ROUND(I173*$M$2*$M$3,2))</f>
        <v/>
      </c>
      <c r="K173" s="6"/>
      <c r="L173" s="27"/>
    </row>
    <row r="174" customFormat="false" ht="15" hidden="false" customHeight="false" outlineLevel="0" collapsed="false">
      <c r="A174" s="24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25" t="str">
        <f aca="false">IF(OR(G174="",C174=""),"",ROUND((G174-D174)/(D174-E174),2))</f>
        <v/>
      </c>
      <c r="J174" s="26" t="str">
        <f aca="false">IF(I174="","",ROUND(I174*$M$2*$M$3,2))</f>
        <v/>
      </c>
      <c r="K174" s="6"/>
      <c r="L174" s="27"/>
    </row>
    <row r="175" customFormat="false" ht="15" hidden="false" customHeight="false" outlineLevel="0" collapsed="false">
      <c r="A175" s="24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25" t="str">
        <f aca="false">IF(OR(G175="",C175=""),"",ROUND((G175-D175)/(D175-E175),2))</f>
        <v/>
      </c>
      <c r="J175" s="26" t="str">
        <f aca="false">IF(I175="","",ROUND(I175*$M$2*$M$3,2))</f>
        <v/>
      </c>
      <c r="K175" s="6"/>
      <c r="L175" s="27"/>
    </row>
    <row r="176" customFormat="false" ht="15" hidden="false" customHeight="false" outlineLevel="0" collapsed="false">
      <c r="A176" s="24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25" t="str">
        <f aca="false">IF(OR(G176="",C176=""),"",ROUND((G176-D176)/(D176-E176),2))</f>
        <v/>
      </c>
      <c r="J176" s="26" t="str">
        <f aca="false">IF(I176="","",ROUND(I176*$M$2*$M$3,2))</f>
        <v/>
      </c>
      <c r="K176" s="6"/>
      <c r="L176" s="27"/>
    </row>
    <row r="177" customFormat="false" ht="15" hidden="false" customHeight="false" outlineLevel="0" collapsed="false">
      <c r="A177" s="24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25" t="str">
        <f aca="false">IF(OR(G177="",C177=""),"",ROUND((G177-D177)/(D177-E177),2))</f>
        <v/>
      </c>
      <c r="J177" s="26" t="str">
        <f aca="false">IF(I177="","",ROUND(I177*$M$2*$M$3,2))</f>
        <v/>
      </c>
      <c r="K177" s="6"/>
      <c r="L177" s="27"/>
    </row>
    <row r="178" customFormat="false" ht="15" hidden="false" customHeight="false" outlineLevel="0" collapsed="false">
      <c r="A178" s="24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25" t="str">
        <f aca="false">IF(OR(G178="",C178=""),"",ROUND((G178-D178)/(D178-E178),2))</f>
        <v/>
      </c>
      <c r="J178" s="26" t="str">
        <f aca="false">IF(I178="","",ROUND(I178*$M$2*$M$3,2))</f>
        <v/>
      </c>
      <c r="K178" s="6"/>
      <c r="L178" s="27"/>
    </row>
    <row r="179" customFormat="false" ht="15" hidden="false" customHeight="false" outlineLevel="0" collapsed="false">
      <c r="A179" s="24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25" t="str">
        <f aca="false">IF(OR(G179="",C179=""),"",ROUND((G179-D179)/(D179-E179),2))</f>
        <v/>
      </c>
      <c r="J179" s="26" t="str">
        <f aca="false">IF(I179="","",ROUND(I179*$M$2*$M$3,2))</f>
        <v/>
      </c>
      <c r="K179" s="6"/>
      <c r="L179" s="27"/>
    </row>
    <row r="180" customFormat="false" ht="15" hidden="false" customHeight="false" outlineLevel="0" collapsed="false">
      <c r="A180" s="24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25" t="str">
        <f aca="false">IF(OR(G180="",C180=""),"",ROUND((G180-D180)/(D180-E180),2))</f>
        <v/>
      </c>
      <c r="J180" s="26" t="str">
        <f aca="false">IF(I180="","",ROUND(I180*$M$2*$M$3,2))</f>
        <v/>
      </c>
      <c r="K180" s="6"/>
      <c r="L180" s="27"/>
    </row>
    <row r="181" customFormat="false" ht="15" hidden="false" customHeight="false" outlineLevel="0" collapsed="false">
      <c r="A181" s="24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25" t="str">
        <f aca="false">IF(OR(G181="",C181=""),"",ROUND((G181-D181)/(D181-E181),2))</f>
        <v/>
      </c>
      <c r="J181" s="26" t="str">
        <f aca="false">IF(I181="","",ROUND(I181*$M$2*$M$3,2))</f>
        <v/>
      </c>
      <c r="K181" s="6"/>
      <c r="L181" s="27"/>
    </row>
    <row r="182" customFormat="false" ht="15" hidden="false" customHeight="false" outlineLevel="0" collapsed="false">
      <c r="A182" s="24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25" t="str">
        <f aca="false">IF(OR(G182="",C182=""),"",ROUND((G182-D182)/(D182-E182),2))</f>
        <v/>
      </c>
      <c r="J182" s="26" t="str">
        <f aca="false">IF(I182="","",ROUND(I182*$M$2*$M$3,2))</f>
        <v/>
      </c>
      <c r="K182" s="6"/>
      <c r="L182" s="27"/>
    </row>
    <row r="183" customFormat="false" ht="15" hidden="false" customHeight="false" outlineLevel="0" collapsed="false">
      <c r="A183" s="24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25" t="str">
        <f aca="false">IF(OR(G183="",C183=""),"",ROUND((G183-D183)/(D183-E183),2))</f>
        <v/>
      </c>
      <c r="J183" s="26" t="str">
        <f aca="false">IF(I183="","",ROUND(I183*$M$2*$M$3,2))</f>
        <v/>
      </c>
      <c r="K183" s="6"/>
      <c r="L183" s="27"/>
    </row>
    <row r="184" customFormat="false" ht="15" hidden="false" customHeight="false" outlineLevel="0" collapsed="false">
      <c r="A184" s="24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25" t="str">
        <f aca="false">IF(OR(G184="",C184=""),"",ROUND((G184-D184)/(D184-E184),2))</f>
        <v/>
      </c>
      <c r="J184" s="26" t="str">
        <f aca="false">IF(I184="","",ROUND(I184*$M$2*$M$3,2))</f>
        <v/>
      </c>
      <c r="K184" s="6"/>
      <c r="L184" s="27"/>
    </row>
    <row r="185" customFormat="false" ht="15" hidden="false" customHeight="false" outlineLevel="0" collapsed="false">
      <c r="A185" s="24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25" t="str">
        <f aca="false">IF(OR(G185="",C185=""),"",ROUND((G185-D185)/(D185-E185),2))</f>
        <v/>
      </c>
      <c r="J185" s="26" t="str">
        <f aca="false">IF(I185="","",ROUND(I185*$M$2*$M$3,2))</f>
        <v/>
      </c>
      <c r="K185" s="6"/>
      <c r="L185" s="27"/>
    </row>
    <row r="186" customFormat="false" ht="15" hidden="false" customHeight="false" outlineLevel="0" collapsed="false">
      <c r="A186" s="24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25" t="str">
        <f aca="false">IF(OR(G186="",C186=""),"",ROUND((G186-D186)/(D186-E186),2))</f>
        <v/>
      </c>
      <c r="J186" s="26" t="str">
        <f aca="false">IF(I186="","",ROUND(I186*$M$2*$M$3,2))</f>
        <v/>
      </c>
      <c r="K186" s="6"/>
      <c r="L186" s="27"/>
    </row>
    <row r="187" customFormat="false" ht="15" hidden="false" customHeight="false" outlineLevel="0" collapsed="false">
      <c r="A187" s="24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25" t="str">
        <f aca="false">IF(OR(G187="",C187=""),"",ROUND((G187-D187)/(D187-E187),2))</f>
        <v/>
      </c>
      <c r="J187" s="26" t="str">
        <f aca="false">IF(I187="","",ROUND(I187*$M$2*$M$3,2))</f>
        <v/>
      </c>
      <c r="K187" s="6"/>
      <c r="L187" s="27"/>
    </row>
    <row r="188" customFormat="false" ht="15" hidden="false" customHeight="false" outlineLevel="0" collapsed="false">
      <c r="A188" s="24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25" t="str">
        <f aca="false">IF(OR(G188="",C188=""),"",ROUND((G188-D188)/(D188-E188),2))</f>
        <v/>
      </c>
      <c r="J188" s="26" t="str">
        <f aca="false">IF(I188="","",ROUND(I188*$M$2*$M$3,2))</f>
        <v/>
      </c>
      <c r="K188" s="6"/>
      <c r="L188" s="27"/>
    </row>
    <row r="189" customFormat="false" ht="15" hidden="false" customHeight="false" outlineLevel="0" collapsed="false">
      <c r="A189" s="24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25" t="str">
        <f aca="false">IF(OR(G189="",C189=""),"",ROUND((G189-D189)/(D189-E189),2))</f>
        <v/>
      </c>
      <c r="J189" s="26" t="str">
        <f aca="false">IF(I189="","",ROUND(I189*$M$2*$M$3,2))</f>
        <v/>
      </c>
      <c r="K189" s="6"/>
      <c r="L189" s="27"/>
    </row>
    <row r="190" customFormat="false" ht="15" hidden="false" customHeight="false" outlineLevel="0" collapsed="false">
      <c r="A190" s="24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25" t="str">
        <f aca="false">IF(OR(G190="",C190=""),"",ROUND((G190-D190)/(D190-E190),2))</f>
        <v/>
      </c>
      <c r="J190" s="26" t="str">
        <f aca="false">IF(I190="","",ROUND(I190*$M$2*$M$3,2))</f>
        <v/>
      </c>
      <c r="K190" s="6"/>
      <c r="L190" s="27"/>
    </row>
    <row r="191" customFormat="false" ht="15" hidden="false" customHeight="false" outlineLevel="0" collapsed="false">
      <c r="A191" s="24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25" t="str">
        <f aca="false">IF(OR(G191="",C191=""),"",ROUND((G191-D191)/(D191-E191),2))</f>
        <v/>
      </c>
      <c r="J191" s="26" t="str">
        <f aca="false">IF(I191="","",ROUND(I191*$M$2*$M$3,2))</f>
        <v/>
      </c>
      <c r="K191" s="6"/>
      <c r="L191" s="27"/>
    </row>
    <row r="192" customFormat="false" ht="15" hidden="false" customHeight="false" outlineLevel="0" collapsed="false">
      <c r="A192" s="24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25" t="str">
        <f aca="false">IF(OR(G192="",C192=""),"",ROUND((G192-D192)/(D192-E192),2))</f>
        <v/>
      </c>
      <c r="J192" s="26" t="str">
        <f aca="false">IF(I192="","",ROUND(I192*$M$2*$M$3,2))</f>
        <v/>
      </c>
      <c r="K192" s="6"/>
      <c r="L192" s="27"/>
    </row>
    <row r="193" customFormat="false" ht="15" hidden="false" customHeight="false" outlineLevel="0" collapsed="false">
      <c r="A193" s="24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25" t="str">
        <f aca="false">IF(OR(G193="",C193=""),"",ROUND((G193-D193)/(D193-E193),2))</f>
        <v/>
      </c>
      <c r="J193" s="26" t="str">
        <f aca="false">IF(I193="","",ROUND(I193*$M$2*$M$3,2))</f>
        <v/>
      </c>
      <c r="K193" s="6"/>
      <c r="L193" s="27"/>
    </row>
    <row r="194" customFormat="false" ht="15" hidden="false" customHeight="false" outlineLevel="0" collapsed="false">
      <c r="A194" s="24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25" t="str">
        <f aca="false">IF(OR(G194="",C194=""),"",ROUND((G194-D194)/(D194-E194),2))</f>
        <v/>
      </c>
      <c r="J194" s="26" t="str">
        <f aca="false">IF(I194="","",ROUND(I194*$M$2*$M$3,2))</f>
        <v/>
      </c>
      <c r="K194" s="6"/>
      <c r="L194" s="27"/>
    </row>
    <row r="195" customFormat="false" ht="15" hidden="false" customHeight="false" outlineLevel="0" collapsed="false">
      <c r="A195" s="24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25" t="str">
        <f aca="false">IF(OR(G195="",C195=""),"",ROUND((G195-D195)/(D195-E195),2))</f>
        <v/>
      </c>
      <c r="J195" s="26" t="str">
        <f aca="false">IF(I195="","",ROUND(I195*$M$2*$M$3,2))</f>
        <v/>
      </c>
      <c r="K195" s="6"/>
      <c r="L195" s="27"/>
    </row>
    <row r="196" customFormat="false" ht="15" hidden="false" customHeight="false" outlineLevel="0" collapsed="false">
      <c r="A196" s="24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25" t="str">
        <f aca="false">IF(OR(G196="",C196=""),"",ROUND((G196-D196)/(D196-E196),2))</f>
        <v/>
      </c>
      <c r="J196" s="26" t="str">
        <f aca="false">IF(I196="","",ROUND(I196*$M$2*$M$3,2))</f>
        <v/>
      </c>
      <c r="K196" s="6"/>
      <c r="L196" s="27"/>
    </row>
    <row r="197" customFormat="false" ht="15" hidden="false" customHeight="false" outlineLevel="0" collapsed="false">
      <c r="A197" s="24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25" t="str">
        <f aca="false">IF(OR(G197="",C197=""),"",ROUND((G197-D197)/(D197-E197),2))</f>
        <v/>
      </c>
      <c r="J197" s="26" t="str">
        <f aca="false">IF(I197="","",ROUND(I197*$M$2*$M$3,2))</f>
        <v/>
      </c>
      <c r="K197" s="6"/>
      <c r="L197" s="27"/>
    </row>
    <row r="198" customFormat="false" ht="15" hidden="false" customHeight="false" outlineLevel="0" collapsed="false">
      <c r="A198" s="24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25" t="str">
        <f aca="false">IF(OR(G198="",C198=""),"",ROUND((G198-D198)/(D198-E198),2))</f>
        <v/>
      </c>
      <c r="J198" s="26" t="str">
        <f aca="false">IF(I198="","",ROUND(I198*$M$2*$M$3,2))</f>
        <v/>
      </c>
      <c r="K198" s="6"/>
      <c r="L198" s="27"/>
    </row>
    <row r="199" customFormat="false" ht="15" hidden="false" customHeight="false" outlineLevel="0" collapsed="false">
      <c r="A199" s="24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25" t="str">
        <f aca="false">IF(OR(G199="",C199=""),"",ROUND((G199-D199)/(D199-E199),2))</f>
        <v/>
      </c>
      <c r="J199" s="26" t="str">
        <f aca="false">IF(I199="","",ROUND(I199*$M$2*$M$3,2))</f>
        <v/>
      </c>
      <c r="K199" s="6"/>
      <c r="L199" s="27"/>
    </row>
    <row r="200" customFormat="false" ht="15" hidden="false" customHeight="false" outlineLevel="0" collapsed="false">
      <c r="A200" s="24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25" t="str">
        <f aca="false">IF(OR(G200="",C200=""),"",ROUND((G200-D200)/(D200-E200),2))</f>
        <v/>
      </c>
      <c r="J200" s="26" t="str">
        <f aca="false">IF(I200="","",ROUND(I200*$M$2*$M$3,2))</f>
        <v/>
      </c>
      <c r="K200" s="6"/>
      <c r="L200" s="27"/>
    </row>
    <row r="201" customFormat="false" ht="15" hidden="false" customHeight="false" outlineLevel="0" collapsed="false">
      <c r="A201" s="24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25" t="str">
        <f aca="false">IF(OR(G201="",C201=""),"",ROUND((G201-D201)/(D201-E201),2))</f>
        <v/>
      </c>
      <c r="J201" s="26" t="str">
        <f aca="false">IF(I201="","",ROUND(I201*$M$2*$M$3,2))</f>
        <v/>
      </c>
      <c r="K201" s="6"/>
      <c r="L201" s="27"/>
    </row>
    <row r="202" customFormat="false" ht="15" hidden="false" customHeight="false" outlineLevel="0" collapsed="false">
      <c r="A202" s="24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25" t="str">
        <f aca="false">IF(OR(G202="",C202=""),"",ROUND((G202-D202)/(D202-E202),2))</f>
        <v/>
      </c>
      <c r="J202" s="26" t="str">
        <f aca="false">IF(I202="","",ROUND(I202*$M$2*$M$3,2))</f>
        <v/>
      </c>
      <c r="K202" s="6"/>
      <c r="L202" s="27"/>
    </row>
    <row r="203" customFormat="false" ht="15" hidden="false" customHeight="false" outlineLevel="0" collapsed="false">
      <c r="A203" s="24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25" t="str">
        <f aca="false">IF(OR(G203="",C203=""),"",ROUND((G203-D203)/(D203-E203),2))</f>
        <v/>
      </c>
      <c r="J203" s="26" t="str">
        <f aca="false">IF(I203="","",ROUND(I203*$M$2*$M$3,2))</f>
        <v/>
      </c>
      <c r="K203" s="6"/>
      <c r="L203" s="27"/>
    </row>
    <row r="204" customFormat="false" ht="15" hidden="false" customHeight="false" outlineLevel="0" collapsed="false">
      <c r="A204" s="24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25" t="str">
        <f aca="false">IF(OR(G204="",C204=""),"",ROUND((G204-D204)/(D204-E204),2))</f>
        <v/>
      </c>
      <c r="J204" s="26" t="str">
        <f aca="false">IF(I204="","",ROUND(I204*$M$2*$M$3,2))</f>
        <v/>
      </c>
      <c r="K204" s="6"/>
      <c r="L204" s="27"/>
    </row>
    <row r="205" customFormat="false" ht="15" hidden="false" customHeight="false" outlineLevel="0" collapsed="false">
      <c r="A205" s="24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25" t="str">
        <f aca="false">IF(OR(G205="",C205=""),"",ROUND((G205-D205)/(D205-E205),2))</f>
        <v/>
      </c>
      <c r="J205" s="26" t="str">
        <f aca="false">IF(I205="","",ROUND(I205*$M$2*$M$3,2))</f>
        <v/>
      </c>
      <c r="K205" s="6"/>
      <c r="L205" s="27"/>
    </row>
    <row r="206" customFormat="false" ht="15" hidden="false" customHeight="false" outlineLevel="0" collapsed="false">
      <c r="A206" s="24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25" t="str">
        <f aca="false">IF(OR(G206="",C206=""),"",ROUND((G206-D206)/(D206-E206),2))</f>
        <v/>
      </c>
      <c r="J206" s="26" t="str">
        <f aca="false">IF(I206="","",ROUND(I206*$M$2*$M$3,2))</f>
        <v/>
      </c>
      <c r="K206" s="6"/>
      <c r="L206" s="27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Calculator!$D$19:$D$25</formula1>
      <formula2>0</formula2>
    </dataValidation>
    <dataValidation allowBlank="true" errorStyle="stop" operator="between" showDropDown="false" showErrorMessage="false" showInputMessage="false" sqref="K7:K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" t="s">
        <v>82</v>
      </c>
    </row>
    <row r="3" customFormat="false" ht="15" hidden="false" customHeight="false" outlineLevel="0" collapsed="false">
      <c r="A3" s="28" t="s">
        <v>83</v>
      </c>
      <c r="B3" s="29" t="n">
        <f aca="false">COUNT('Trade Log'!I7:I206)</f>
        <v>0</v>
      </c>
    </row>
    <row r="4" customFormat="false" ht="15" hidden="false" customHeight="false" outlineLevel="0" collapsed="false">
      <c r="A4" s="28" t="s">
        <v>84</v>
      </c>
      <c r="B4" s="29" t="n">
        <f aca="false">COUNTIF('Trade Log'!H7:H206,"WIN")</f>
        <v>0</v>
      </c>
    </row>
    <row r="5" customFormat="false" ht="15" hidden="false" customHeight="false" outlineLevel="0" collapsed="false">
      <c r="A5" s="28" t="s">
        <v>85</v>
      </c>
      <c r="B5" s="29" t="n">
        <f aca="false">COUNTIF('Trade Log'!H7:H206,"LOSS")</f>
        <v>0</v>
      </c>
    </row>
    <row r="6" customFormat="false" ht="15" hidden="false" customHeight="false" outlineLevel="0" collapsed="false">
      <c r="A6" s="28" t="s">
        <v>86</v>
      </c>
      <c r="B6" s="30" t="n">
        <f aca="false">IFERROR(B4/B3,0)</f>
        <v>0</v>
      </c>
    </row>
    <row r="7" customFormat="false" ht="15" hidden="false" customHeight="false" outlineLevel="0" collapsed="false">
      <c r="A7" s="28" t="s">
        <v>87</v>
      </c>
      <c r="B7" s="31" t="n">
        <f aca="false">SUM('Trade Log'!I7:I206)</f>
        <v>0</v>
      </c>
    </row>
    <row r="8" customFormat="false" ht="15" hidden="false" customHeight="false" outlineLevel="0" collapsed="false">
      <c r="A8" s="28" t="s">
        <v>88</v>
      </c>
      <c r="B8" s="31" t="n">
        <f aca="false">IFERROR(B7/B3,0)</f>
        <v>0</v>
      </c>
    </row>
    <row r="9" customFormat="false" ht="15" hidden="false" customHeight="false" outlineLevel="0" collapsed="false">
      <c r="A9" s="28" t="s">
        <v>89</v>
      </c>
      <c r="B9" s="30" t="n">
        <f aca="false">IFERROR(COUNTIF('Trade Log'!K7:K206,"Yes")/B3,0)</f>
        <v>0</v>
      </c>
    </row>
    <row r="10" customFormat="false" ht="15" hidden="false" customHeight="false" outlineLevel="0" collapsed="false">
      <c r="A10" s="28" t="s">
        <v>90</v>
      </c>
      <c r="B10" s="32" t="n">
        <f aca="false">SUM('Trade Log'!J7:J206)</f>
        <v>0</v>
      </c>
    </row>
    <row r="11" customFormat="false" ht="15" hidden="false" customHeight="false" outlineLevel="0" collapsed="false">
      <c r="A11" s="28" t="s">
        <v>72</v>
      </c>
      <c r="B11" s="23" t="n">
        <f aca="false">'Trade Log'!M4</f>
        <v>10000</v>
      </c>
    </row>
    <row r="13" customFormat="false" ht="16.15" hidden="false" customHeight="false" outlineLevel="0" collapsed="false">
      <c r="A13" s="33" t="s">
        <v>91</v>
      </c>
    </row>
    <row r="14" customFormat="false" ht="15" hidden="false" customHeight="false" outlineLevel="0" collapsed="false">
      <c r="A14" s="34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34"/>
      <c r="C14" s="34"/>
      <c r="D14" s="34"/>
      <c r="E14" s="34"/>
    </row>
    <row r="15" customFormat="false" ht="15" hidden="false" customHeight="false" outlineLevel="0" collapsed="false">
      <c r="A15" s="15" t="s">
        <v>92</v>
      </c>
    </row>
    <row r="18" customFormat="false" ht="16.15" hidden="false" customHeight="false" outlineLevel="0" collapsed="false">
      <c r="A18" s="33" t="s">
        <v>93</v>
      </c>
    </row>
    <row r="19" customFormat="false" ht="15" hidden="false" customHeight="false" outlineLevel="0" collapsed="false">
      <c r="A19" s="17" t="s">
        <v>31</v>
      </c>
      <c r="B19" s="17" t="s">
        <v>94</v>
      </c>
      <c r="C19" s="17" t="s">
        <v>87</v>
      </c>
    </row>
    <row r="20" customFormat="false" ht="15" hidden="false" customHeight="false" outlineLevel="0" collapsed="false">
      <c r="A20" s="8" t="s">
        <v>32</v>
      </c>
      <c r="B20" s="35" t="n">
        <f aca="false">COUNTIFS('Trade Log'!B7:B206,A20,'Trade Log'!I7:I206,"&gt;-99")</f>
        <v>0</v>
      </c>
      <c r="C20" s="25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52</v>
      </c>
      <c r="B21" s="35" t="n">
        <f aca="false">COUNTIFS('Trade Log'!B7:B206,A21,'Trade Log'!I7:I206,"&gt;-99")</f>
        <v>0</v>
      </c>
      <c r="C21" s="25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54</v>
      </c>
      <c r="B22" s="35" t="n">
        <f aca="false">COUNTIFS('Trade Log'!B7:B206,A22,'Trade Log'!I7:I206,"&gt;-99")</f>
        <v>0</v>
      </c>
      <c r="C22" s="25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55</v>
      </c>
      <c r="B23" s="35" t="n">
        <f aca="false">COUNTIFS('Trade Log'!B7:B206,A23,'Trade Log'!I7:I206,"&gt;-99")</f>
        <v>0</v>
      </c>
      <c r="C23" s="25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57</v>
      </c>
      <c r="B24" s="35" t="n">
        <f aca="false">COUNTIFS('Trade Log'!B7:B206,A24,'Trade Log'!I7:I206,"&gt;-99")</f>
        <v>0</v>
      </c>
      <c r="C24" s="25" t="n">
        <f aca="false">SUMIF('Trade Log'!B7:B206,A24,'Trade Log'!I7:I206)</f>
        <v>0</v>
      </c>
    </row>
    <row r="25" customFormat="false" ht="15" hidden="false" customHeight="false" outlineLevel="0" collapsed="false">
      <c r="A25" s="8" t="s">
        <v>59</v>
      </c>
      <c r="B25" s="35" t="n">
        <f aca="false">COUNTIFS('Trade Log'!B7:B206,A25,'Trade Log'!I7:I206,"&gt;-99")</f>
        <v>0</v>
      </c>
      <c r="C25" s="25" t="n">
        <f aca="false">SUMIF('Trade Log'!B7:B206,A25,'Trade Log'!I7:I206)</f>
        <v>0</v>
      </c>
    </row>
    <row r="26" customFormat="false" ht="15" hidden="false" customHeight="false" outlineLevel="0" collapsed="false">
      <c r="A26" s="8" t="s">
        <v>61</v>
      </c>
      <c r="B26" s="35" t="n">
        <f aca="false">COUNTIFS('Trade Log'!B7:B206,A26,'Trade Log'!I7:I206,"&gt;-99")</f>
        <v>0</v>
      </c>
      <c r="C26" s="25" t="n">
        <f aca="false">SUMIF('Trade Log'!B7:B206,A26,'Trade Log'!I7:I206)</f>
        <v>0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2026-10-08T19:08:31Z</dcterms:created>
  <dc:creator>openpyxl</dc:creator>
  <dc:description/>
  <dc:language>en-US</dc:language>
  <cp:lastModifiedBy/>
  <dcterms:modified xsi:type="dcterms:W3CDTF">2026-10-08T19:08:31Z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