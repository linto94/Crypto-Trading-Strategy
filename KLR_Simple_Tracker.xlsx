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Rules" sheetId="1" state="visible" r:id="rId3"/>
    <sheet name="Calculator" sheetId="2" state="visible" r:id="rId4"/>
    <sheet name="Compare" sheetId="3" state="visible" r:id="rId5"/>
    <sheet name="Trade Log" sheetId="4" state="visible" r:id="rId6"/>
    <sheet name="Summary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<sst xmlns="http://schemas.openxmlformats.org/spreadsheetml/2006/main" count="131" uniqueCount="108">
  <si>
    <t xml:space="preserve">MY TRADING RULES</t>
  </si>
  <si>
    <t xml:space="preserve">The idea</t>
  </si>
  <si>
    <t xml:space="preserve">Price runs hard into a zone where it turned 3+ times before. I wait for it to turn again, then trade the turn.</t>
  </si>
  <si>
    <t xml:space="preserve">Zones</t>
  </si>
  <si>
    <t xml:space="preserve">Use the Linto Key Zones indicator (1H zones).</t>
  </si>
  <si>
    <t xml:space="preserve">Step 1</t>
  </si>
  <si>
    <t xml:space="preserve">Price runs fast into a zone.</t>
  </si>
  <si>
    <t xml:space="preserve">Step 2</t>
  </si>
  <si>
    <t xml:space="preserve">On the 1-minute chart, mark the last swing of that run (last higher low if it ran up, last lower high if it ran down).</t>
  </si>
  <si>
    <t xml:space="preserve">Step 3</t>
  </si>
  <si>
    <t xml:space="preserve">CHoCH: wait for a candle to CLOSE beyond that swing point.</t>
  </si>
  <si>
    <t xml:space="preserve">Entry</t>
  </si>
  <si>
    <t xml:space="preserve">Market order as soon as that CHoCH candle closes. No waiting for a retest.</t>
  </si>
  <si>
    <t xml:space="preserve">Stop</t>
  </si>
  <si>
    <t xml:space="preserve">Just past the top (or bottom) of the run.</t>
  </si>
  <si>
    <t xml:space="preserve">Target</t>
  </si>
  <si>
    <t xml:space="preserve">1.5 times my stop. The Calculator tab gives me the price.</t>
  </si>
  <si>
    <t xml:space="preserve">Lot size</t>
  </si>
  <si>
    <t xml:space="preserve">Always from the Calculator tab. Never guess.</t>
  </si>
  <si>
    <t xml:space="preserve">Risk</t>
  </si>
  <si>
    <t xml:space="preserve">0.5% of my account per trade ($50 on $10,000).</t>
  </si>
  <si>
    <t xml:space="preserve">Limits</t>
  </si>
  <si>
    <t xml:space="preserve">Max 2 trades a day. Only one trade open at a time.</t>
  </si>
  <si>
    <t xml:space="preserve">When</t>
  </si>
  <si>
    <t xml:space="preserve">08:00–08:45 and 14:30–15:15 (Nigeria time). From 26 Oct: 09:00 and 15:30 (clock change).</t>
  </si>
  <si>
    <t xml:space="preserve">Pairs</t>
  </si>
  <si>
    <t xml:space="preserve">Main: XAUUSD, EURUSD, GBPUSD, GER40, US500. Extras: US100, BTCUSD. Nothing else.</t>
  </si>
  <si>
    <t xml:space="preserve">Never</t>
  </si>
  <si>
    <t xml:space="preserve">Move my stop further away. Trade without the 3 steps. Trade outside my times.</t>
  </si>
  <si>
    <t xml:space="preserve">9–16 Oct</t>
  </si>
  <si>
    <t xml:space="preserve">Watch only, no trades. Each time price hits a zone, note what each entry method did (Compare tab).</t>
  </si>
  <si>
    <t xml:space="preserve">From 19 Oct</t>
  </si>
  <si>
    <t xml:space="preserve">Demo trades with the CHoCH entry. Log 50 trades, then the Summary tab tells me if it works.</t>
  </si>
  <si>
    <t xml:space="preserve">LOT SIZE CALCULATOR</t>
  </si>
  <si>
    <t xml:space="preserve">Type in the blue boxes. Everything else works itself out.</t>
  </si>
  <si>
    <t xml:space="preserve">Pair</t>
  </si>
  <si>
    <t xml:space="preserve">XAUUSD</t>
  </si>
  <si>
    <t xml:space="preserve">Entry price</t>
  </si>
  <si>
    <t xml:space="preserve">Stop loss price</t>
  </si>
  <si>
    <t xml:space="preserve">Buy or Sell</t>
  </si>
  <si>
    <t xml:space="preserve">Stop size (pips / points)</t>
  </si>
  <si>
    <t xml:space="preserve">Max risk allowed ($)</t>
  </si>
  <si>
    <t xml:space="preserve">LOT SIZE</t>
  </si>
  <si>
    <t xml:space="preserve">lots</t>
  </si>
  <si>
    <t xml:space="preserve">Take profit price (1.5R)</t>
  </si>
  <si>
    <t xml:space="preserve">Profit if target hit ($)</t>
  </si>
  <si>
    <t xml:space="preserve">Actual risk with this lot ($)</t>
  </si>
  <si>
    <t xml:space="preserve">If LOT SIZE says SKIP, your stop is too big for the smallest lot. Skip the trade.</t>
  </si>
  <si>
    <t xml:space="preserve">Lots are rounded DOWN to what MT5 allows, so actual risk can be a bit under $50.</t>
  </si>
  <si>
    <t xml:space="preserve">PAIR SETTINGS (from your Deriv MT5 Standard account)</t>
  </si>
  <si>
    <t xml:space="preserve">1 pip / point =</t>
  </si>
  <si>
    <t xml:space="preserve">$ per pip, 1 lot</t>
  </si>
  <si>
    <t xml:space="preserve">Min lot</t>
  </si>
  <si>
    <t xml:space="preserve">Lot step</t>
  </si>
  <si>
    <t xml:space="preserve">Notes</t>
  </si>
  <si>
    <t xml:space="preserve">Contract 100 oz: 0.10 move = $10 per lot</t>
  </si>
  <si>
    <t xml:space="preserve">EURUSD</t>
  </si>
  <si>
    <t xml:space="preserve">Contract 100,000: 0.0001 move = $10 per lot</t>
  </si>
  <si>
    <t xml:space="preserve">GBPUSD</t>
  </si>
  <si>
    <t xml:space="preserve">GER40</t>
  </si>
  <si>
    <t xml:space="preserve">Paid in EUR: 1 point = 1 EUR. Set this to the current EURUSD price (update weekly)</t>
  </si>
  <si>
    <t xml:space="preserve">US500</t>
  </si>
  <si>
    <t xml:space="preserve">Contract 1: 1 point = $1 per lot</t>
  </si>
  <si>
    <t xml:space="preserve">US100</t>
  </si>
  <si>
    <t xml:space="preserve">Extra. Contract 1: 1 point = $1 per lot</t>
  </si>
  <si>
    <t xml:space="preserve">BTCUSD</t>
  </si>
  <si>
    <t xml:space="preserve">Extra. Contract 1 BTC: $1 move = $1 per lot</t>
  </si>
  <si>
    <t xml:space="preserve">Account</t>
  </si>
  <si>
    <t xml:space="preserve">Risk per trade ($)</t>
  </si>
  <si>
    <t xml:space="preserve">Checked on Deriv MT5 Standard, 8 Oct 2026. Your MT5 names: US Tech 100 = US100, US SP 500 = US500, Germany 40 = GER40.</t>
  </si>
  <si>
    <t xml:space="preserve">(0.5% of starting balance. Change it on the Trade Log tab.)</t>
  </si>
  <si>
    <t xml:space="preserve">WATCH WEEK: WHICH ENTRY WORKS BEST?</t>
  </si>
  <si>
    <t xml:space="preserve">9–16 Oct, no trades. Each time price hits a zone, write what happened with each method. Same stop for all (past the run). Target = 1.5R.</t>
  </si>
  <si>
    <t xml:space="preserve">Rejection candle</t>
  </si>
  <si>
    <t xml:space="preserve">Engulfing candle</t>
  </si>
  <si>
    <t xml:space="preserve">CHoCH</t>
  </si>
  <si>
    <t xml:space="preserve">Signals</t>
  </si>
  <si>
    <t xml:space="preserve">Hit target</t>
  </si>
  <si>
    <t xml:space="preserve">Hit stop</t>
  </si>
  <si>
    <t xml:space="preserve">Win rate</t>
  </si>
  <si>
    <t xml:space="preserve">Total R</t>
  </si>
  <si>
    <t xml:space="preserve">Best method = highest Total R. With only one week of setups, treat it as a hint, not proof.</t>
  </si>
  <si>
    <t xml:space="preserve">Date / Pair</t>
  </si>
  <si>
    <t xml:space="preserve">TRADE LOG</t>
  </si>
  <si>
    <t xml:space="preserve">Starting balance</t>
  </si>
  <si>
    <t xml:space="preserve">Blue = you type. Buy/Sell, Target, Result, R and $ fill in by themselves.</t>
  </si>
  <si>
    <t xml:space="preserve">Risk per trade</t>
  </si>
  <si>
    <t xml:space="preserve">Example: Gold, entry 2650, stop 2647, exit 2654.50  →  BUY, target 2654.50, WIN, +1.5 R, +$75</t>
  </si>
  <si>
    <t xml:space="preserve">Current balance</t>
  </si>
  <si>
    <t xml:space="preserve">Date</t>
  </si>
  <si>
    <t xml:space="preserve">Buy / Sell</t>
  </si>
  <si>
    <t xml:space="preserve">Target (auto)</t>
  </si>
  <si>
    <t xml:space="preserve">Exit</t>
  </si>
  <si>
    <t xml:space="preserve">Result</t>
  </si>
  <si>
    <t xml:space="preserve">R</t>
  </si>
  <si>
    <t xml:space="preserve">$ Profit / Loss</t>
  </si>
  <si>
    <t xml:space="preserve">Followed all rules?</t>
  </si>
  <si>
    <t xml:space="preserve">HOW AM I DOING?</t>
  </si>
  <si>
    <t xml:space="preserve">Trades logged</t>
  </si>
  <si>
    <t xml:space="preserve">Wins</t>
  </si>
  <si>
    <t xml:space="preserve">Losses</t>
  </si>
  <si>
    <t xml:space="preserve">Average R per trade</t>
  </si>
  <si>
    <t xml:space="preserve">Followed all rules</t>
  </si>
  <si>
    <t xml:space="preserve">Profit / loss ($)</t>
  </si>
  <si>
    <t xml:space="preserve">IS IT WORKING?</t>
  </si>
  <si>
    <t xml:space="preserve">How to read it: with 1.5R targets you need 2 wins out of every 5 trades (40%) just to break even. Average R above 0.15 is good.</t>
  </si>
  <si>
    <t xml:space="preserve">WHICH PAIR WORKS BEST?</t>
  </si>
  <si>
    <t xml:space="preserve">Trades</t>
  </si>
</sst>
</file>

<file path=xl/styles.xml><?xml version="1.0" encoding="utf-8"?>
<styleSheet xmlns="http://schemas.openxmlformats.org/spreadsheetml/2006/main">
  <numFmts count="14">
    <numFmt numFmtId="164" formatCode="General"/>
    <numFmt numFmtId="165" formatCode="0.00###"/>
    <numFmt numFmtId="166" formatCode="0.0"/>
    <numFmt numFmtId="167" formatCode="\$#,##0.00"/>
    <numFmt numFmtId="168" formatCode="0.00"/>
    <numFmt numFmtId="169" formatCode="0.####"/>
    <numFmt numFmtId="170" formatCode="0"/>
    <numFmt numFmtId="171" formatCode="0%"/>
    <numFmt numFmtId="172" formatCode="0.0;\-0.0;0.0"/>
    <numFmt numFmtId="173" formatCode="\$#,##0"/>
    <numFmt numFmtId="174" formatCode="0.0%"/>
    <numFmt numFmtId="175" formatCode="dd\-mmm\-yy"/>
    <numFmt numFmtId="176" formatCode="0.00;\-0.00;0.00"/>
    <numFmt numFmtId="177" formatCode="\$#,##0.00;&quot;-$&quot;#,##0.00"/>
  </numFmts>
  <fonts count="1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F4E78"/>
      <name val="Arial Nova"/>
      <family val="0"/>
      <charset val="1"/>
    </font>
    <font>
      <b val="true"/>
      <sz val="11"/>
      <color rgb="FF1F4E78"/>
      <name val="Arial Nova"/>
      <family val="0"/>
      <charset val="1"/>
    </font>
    <font>
      <sz val="11"/>
      <color rgb="FF000000"/>
      <name val="Arial Nova"/>
      <family val="0"/>
      <charset val="1"/>
    </font>
    <font>
      <sz val="10"/>
      <color rgb="FF595959"/>
      <name val="Arial Nova"/>
      <family val="0"/>
      <charset val="1"/>
    </font>
    <font>
      <sz val="11"/>
      <color rgb="FF0000FF"/>
      <name val="Arial Nova"/>
      <family val="0"/>
      <charset val="1"/>
    </font>
    <font>
      <b val="true"/>
      <sz val="11"/>
      <color rgb="FF000000"/>
      <name val="Arial Nova"/>
      <family val="0"/>
      <charset val="1"/>
    </font>
    <font>
      <b val="true"/>
      <sz val="14"/>
      <color rgb="FF1F4E78"/>
      <name val="Arial Nova"/>
      <family val="0"/>
      <charset val="1"/>
    </font>
    <font>
      <sz val="10"/>
      <color rgb="FFC00000"/>
      <name val="Arial Nova"/>
      <family val="0"/>
      <charset val="1"/>
    </font>
    <font>
      <sz val="9"/>
      <color rgb="FF595959"/>
      <name val="Arial Nova"/>
      <family val="0"/>
      <charset val="1"/>
    </font>
    <font>
      <b val="true"/>
      <sz val="11"/>
      <color rgb="FFFFFFFF"/>
      <name val="Arial Nova"/>
      <family val="0"/>
      <charset val="1"/>
    </font>
    <font>
      <b val="true"/>
      <sz val="13"/>
      <color rgb="FF1F4E78"/>
      <name val="Arial Nova"/>
      <family val="0"/>
      <charset val="1"/>
    </font>
    <font>
      <b val="true"/>
      <sz val="12"/>
      <color rgb="FF000000"/>
      <name val="Arial Nova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DDEBF7"/>
        <bgColor rgb="FFCCFFFF"/>
      </patternFill>
    </fill>
    <fill>
      <patternFill patternType="solid">
        <fgColor rgb="FFFFF2CC"/>
        <bgColor rgb="FFFFFFFF"/>
      </patternFill>
    </fill>
    <fill>
      <patternFill patternType="solid">
        <fgColor rgb="FF1F4E78"/>
        <bgColor rgb="FF00336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8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0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8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8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8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1" fontId="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2" fontId="9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3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2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73" fontId="8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4" fontId="8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9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5" fontId="8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6" fontId="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7" fontId="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9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1" fontId="9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6" fontId="9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7" fontId="9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ont>
        <name val="Arial Nova"/>
        <charset val="1"/>
        <family val="0"/>
        <b val="1"/>
        <color rgb="FF006100"/>
      </font>
      <fill>
        <patternFill>
          <bgColor rgb="FFC6EFCE"/>
        </patternFill>
      </fill>
    </dxf>
    <dxf>
      <font>
        <name val="Arial Nova"/>
        <charset val="1"/>
        <family val="0"/>
        <b val="1"/>
        <color rgb="FF9C0006"/>
      </font>
      <fill>
        <patternFill>
          <bgColor rgb="FFFFC7CE"/>
        </patternFill>
      </fill>
    </dxf>
  </dxf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9C0006"/>
      <rgbColor rgb="FF0061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DD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FF99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90"/>
  </cols>
  <sheetData>
    <row r="1" customFormat="false" ht="25.5" hidden="false" customHeight="true" outlineLevel="0" collapsed="false">
      <c r="A1" s="1" t="s">
        <v>0</v>
      </c>
    </row>
    <row r="3" customFormat="false" ht="19.5" hidden="false" customHeight="true" outlineLevel="0" collapsed="false">
      <c r="A3" s="2" t="s">
        <v>1</v>
      </c>
      <c r="B3" s="3" t="s">
        <v>2</v>
      </c>
    </row>
    <row r="4" customFormat="false" ht="19.5" hidden="false" customHeight="true" outlineLevel="0" collapsed="false">
      <c r="A4" s="2" t="s">
        <v>3</v>
      </c>
      <c r="B4" s="3" t="s">
        <v>4</v>
      </c>
    </row>
    <row r="5" customFormat="false" ht="19.5" hidden="false" customHeight="true" outlineLevel="0" collapsed="false">
      <c r="A5" s="2" t="s">
        <v>5</v>
      </c>
      <c r="B5" s="3" t="s">
        <v>6</v>
      </c>
    </row>
    <row r="6" customFormat="false" ht="19.5" hidden="false" customHeight="true" outlineLevel="0" collapsed="false">
      <c r="A6" s="2" t="s">
        <v>7</v>
      </c>
      <c r="B6" s="3" t="s">
        <v>8</v>
      </c>
    </row>
    <row r="7" customFormat="false" ht="19.5" hidden="false" customHeight="true" outlineLevel="0" collapsed="false">
      <c r="A7" s="2" t="s">
        <v>9</v>
      </c>
      <c r="B7" s="3" t="s">
        <v>10</v>
      </c>
    </row>
    <row r="8" customFormat="false" ht="19.5" hidden="false" customHeight="true" outlineLevel="0" collapsed="false">
      <c r="A8" s="2" t="s">
        <v>11</v>
      </c>
      <c r="B8" s="3" t="s">
        <v>12</v>
      </c>
    </row>
    <row r="9" customFormat="false" ht="19.5" hidden="false" customHeight="true" outlineLevel="0" collapsed="false">
      <c r="A9" s="2" t="s">
        <v>13</v>
      </c>
      <c r="B9" s="3" t="s">
        <v>14</v>
      </c>
    </row>
    <row r="10" customFormat="false" ht="19.5" hidden="false" customHeight="true" outlineLevel="0" collapsed="false">
      <c r="A10" s="2" t="s">
        <v>15</v>
      </c>
      <c r="B10" s="3" t="s">
        <v>16</v>
      </c>
    </row>
    <row r="11" customFormat="false" ht="19.5" hidden="false" customHeight="true" outlineLevel="0" collapsed="false">
      <c r="A11" s="2" t="s">
        <v>17</v>
      </c>
      <c r="B11" s="3" t="s">
        <v>18</v>
      </c>
    </row>
    <row r="12" customFormat="false" ht="19.5" hidden="false" customHeight="true" outlineLevel="0" collapsed="false">
      <c r="A12" s="2" t="s">
        <v>19</v>
      </c>
      <c r="B12" s="3" t="s">
        <v>20</v>
      </c>
    </row>
    <row r="13" customFormat="false" ht="19.5" hidden="false" customHeight="true" outlineLevel="0" collapsed="false">
      <c r="A13" s="2" t="s">
        <v>21</v>
      </c>
      <c r="B13" s="3" t="s">
        <v>22</v>
      </c>
    </row>
    <row r="14" customFormat="false" ht="19.5" hidden="false" customHeight="true" outlineLevel="0" collapsed="false">
      <c r="A14" s="2" t="s">
        <v>23</v>
      </c>
      <c r="B14" s="3" t="s">
        <v>24</v>
      </c>
    </row>
    <row r="15" customFormat="false" ht="19.5" hidden="false" customHeight="true" outlineLevel="0" collapsed="false">
      <c r="A15" s="2" t="s">
        <v>25</v>
      </c>
      <c r="B15" s="3" t="s">
        <v>26</v>
      </c>
    </row>
    <row r="16" customFormat="false" ht="19.5" hidden="false" customHeight="true" outlineLevel="0" collapsed="false">
      <c r="A16" s="2" t="s">
        <v>27</v>
      </c>
      <c r="B16" s="3" t="s">
        <v>28</v>
      </c>
    </row>
    <row r="17" customFormat="false" ht="19.5" hidden="false" customHeight="true" outlineLevel="0" collapsed="false">
      <c r="A17" s="2" t="s">
        <v>29</v>
      </c>
      <c r="B17" s="3" t="s">
        <v>30</v>
      </c>
    </row>
    <row r="18" customFormat="false" ht="19.5" hidden="false" customHeight="true" outlineLevel="0" collapsed="false">
      <c r="A18" s="2" t="s">
        <v>31</v>
      </c>
      <c r="B18" s="3" t="s">
        <v>32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8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16"/>
    <col collapsed="false" customWidth="true" hidden="false" outlineLevel="0" max="3" min="3" style="0" width="4"/>
    <col collapsed="false" customWidth="true" hidden="false" outlineLevel="0" max="5" min="4" style="0" width="14"/>
    <col collapsed="false" customWidth="true" hidden="false" outlineLevel="0" max="6" min="6" style="0" width="30"/>
    <col collapsed="false" customWidth="true" hidden="false" outlineLevel="0" max="8" min="7" style="0" width="9"/>
    <col collapsed="false" customWidth="true" hidden="false" outlineLevel="0" max="9" min="9" style="0" width="62"/>
  </cols>
  <sheetData>
    <row r="1" customFormat="false" ht="25.5" hidden="false" customHeight="true" outlineLevel="0" collapsed="false">
      <c r="A1" s="1" t="s">
        <v>33</v>
      </c>
    </row>
    <row r="2" customFormat="false" ht="15" hidden="false" customHeight="false" outlineLevel="0" collapsed="false">
      <c r="A2" s="4" t="s">
        <v>34</v>
      </c>
    </row>
    <row r="4" customFormat="false" ht="15" hidden="false" customHeight="false" outlineLevel="0" collapsed="false">
      <c r="A4" s="5" t="s">
        <v>35</v>
      </c>
      <c r="B4" s="6" t="s">
        <v>36</v>
      </c>
    </row>
    <row r="5" customFormat="false" ht="15" hidden="false" customHeight="false" outlineLevel="0" collapsed="false">
      <c r="A5" s="5" t="s">
        <v>37</v>
      </c>
      <c r="B5" s="7" t="n">
        <v>2650</v>
      </c>
    </row>
    <row r="6" customFormat="false" ht="15" hidden="false" customHeight="false" outlineLevel="0" collapsed="false">
      <c r="A6" s="5" t="s">
        <v>38</v>
      </c>
      <c r="B6" s="7" t="n">
        <v>2647</v>
      </c>
    </row>
    <row r="8" customFormat="false" ht="15" hidden="false" customHeight="false" outlineLevel="0" collapsed="false">
      <c r="A8" s="5" t="s">
        <v>39</v>
      </c>
      <c r="B8" s="8" t="str">
        <f aca="false">IF(OR(B5="",B6="",B5=B6),"",IF(B6&lt;B5,"BUY","SELL"))</f>
        <v>BUY</v>
      </c>
    </row>
    <row r="9" customFormat="false" ht="15" hidden="false" customHeight="false" outlineLevel="0" collapsed="false">
      <c r="A9" s="5" t="s">
        <v>40</v>
      </c>
      <c r="B9" s="9" t="n">
        <f aca="false">IFERROR(ROUND(ABS(B5-B6)/VLOOKUP(B4,$D$19:$H$25,2,FALSE()),1),"")</f>
        <v>30</v>
      </c>
    </row>
    <row r="10" customFormat="false" ht="15" hidden="false" customHeight="false" outlineLevel="0" collapsed="false">
      <c r="A10" s="5" t="s">
        <v>41</v>
      </c>
      <c r="B10" s="10" t="n">
        <f aca="false">B27</f>
        <v>50</v>
      </c>
    </row>
    <row r="11" customFormat="false" ht="24" hidden="false" customHeight="true" outlineLevel="0" collapsed="false">
      <c r="A11" s="11" t="s">
        <v>42</v>
      </c>
      <c r="B11" s="12" t="n">
        <f aca="false">IFERROR(IF(B10/(B9*VLOOKUP(B4,$D$19:$H$25,3,FALSE()))&lt;VLOOKUP(B4,$D$19:$H$25,4,FALSE()),"SKIP",ROUNDDOWN(B10/(B9*VLOOKUP(B4,$D$19:$H$25,3,FALSE()))/VLOOKUP(B4,$D$19:$H$25,5,FALSE())+0.000001,0)*VLOOKUP(B4,$D$19:$H$25,5,FALSE())),"")</f>
        <v>0.16</v>
      </c>
      <c r="C11" s="4" t="s">
        <v>43</v>
      </c>
    </row>
    <row r="12" customFormat="false" ht="15" hidden="false" customHeight="false" outlineLevel="0" collapsed="false">
      <c r="A12" s="5" t="s">
        <v>44</v>
      </c>
      <c r="B12" s="13" t="n">
        <f aca="false">IF(B8="","",IF(B8="BUY",B5+1.5*(B5-B6),B5-1.5*(B6-B5)))</f>
        <v>2654.5</v>
      </c>
    </row>
    <row r="13" customFormat="false" ht="15" hidden="false" customHeight="false" outlineLevel="0" collapsed="false">
      <c r="A13" s="5" t="s">
        <v>45</v>
      </c>
      <c r="B13" s="10" t="n">
        <f aca="false">IFERROR(B11*B9*1.5*VLOOKUP(B4,$D$19:$H$25,3,FALSE()),"")</f>
        <v>72</v>
      </c>
    </row>
    <row r="14" customFormat="false" ht="15" hidden="false" customHeight="false" outlineLevel="0" collapsed="false">
      <c r="A14" s="5" t="s">
        <v>46</v>
      </c>
      <c r="B14" s="10" t="n">
        <f aca="false">IFERROR(B11*B9*VLOOKUP(B4,$D$19:$H$25,3,FALSE()),"")</f>
        <v>48</v>
      </c>
    </row>
    <row r="16" customFormat="false" ht="15" hidden="false" customHeight="false" outlineLevel="0" collapsed="false">
      <c r="A16" s="14" t="s">
        <v>47</v>
      </c>
    </row>
    <row r="17" customFormat="false" ht="15" hidden="false" customHeight="false" outlineLevel="0" collapsed="false">
      <c r="A17" s="15" t="s">
        <v>48</v>
      </c>
      <c r="D17" s="16" t="s">
        <v>49</v>
      </c>
    </row>
    <row r="18" customFormat="false" ht="29.85" hidden="false" customHeight="false" outlineLevel="0" collapsed="false">
      <c r="D18" s="17" t="s">
        <v>35</v>
      </c>
      <c r="E18" s="17" t="s">
        <v>50</v>
      </c>
      <c r="F18" s="17" t="s">
        <v>51</v>
      </c>
      <c r="G18" s="17" t="s">
        <v>52</v>
      </c>
      <c r="H18" s="17" t="s">
        <v>53</v>
      </c>
      <c r="I18" s="17" t="s">
        <v>54</v>
      </c>
    </row>
    <row r="19" customFormat="false" ht="15" hidden="false" customHeight="false" outlineLevel="0" collapsed="false">
      <c r="D19" s="8" t="s">
        <v>36</v>
      </c>
      <c r="E19" s="18" t="n">
        <v>0.1</v>
      </c>
      <c r="F19" s="19" t="n">
        <v>10</v>
      </c>
      <c r="G19" s="20" t="n">
        <v>0.01</v>
      </c>
      <c r="H19" s="20" t="n">
        <v>0.01</v>
      </c>
      <c r="I19" s="15" t="s">
        <v>55</v>
      </c>
    </row>
    <row r="20" customFormat="false" ht="15" hidden="false" customHeight="false" outlineLevel="0" collapsed="false">
      <c r="D20" s="8" t="s">
        <v>56</v>
      </c>
      <c r="E20" s="18" t="n">
        <v>0.0001</v>
      </c>
      <c r="F20" s="19" t="n">
        <v>10</v>
      </c>
      <c r="G20" s="20" t="n">
        <v>0.01</v>
      </c>
      <c r="H20" s="20" t="n">
        <v>0.01</v>
      </c>
      <c r="I20" s="15" t="s">
        <v>57</v>
      </c>
    </row>
    <row r="21" customFormat="false" ht="15" hidden="false" customHeight="false" outlineLevel="0" collapsed="false">
      <c r="D21" s="8" t="s">
        <v>58</v>
      </c>
      <c r="E21" s="18" t="n">
        <v>0.0001</v>
      </c>
      <c r="F21" s="19" t="n">
        <v>10</v>
      </c>
      <c r="G21" s="20" t="n">
        <v>0.01</v>
      </c>
      <c r="H21" s="20" t="n">
        <v>0.01</v>
      </c>
      <c r="I21" s="15" t="s">
        <v>57</v>
      </c>
    </row>
    <row r="22" customFormat="false" ht="15" hidden="false" customHeight="false" outlineLevel="0" collapsed="false">
      <c r="D22" s="8" t="s">
        <v>59</v>
      </c>
      <c r="E22" s="18" t="n">
        <v>1</v>
      </c>
      <c r="F22" s="19" t="n">
        <v>1.15</v>
      </c>
      <c r="G22" s="20" t="n">
        <v>0.1</v>
      </c>
      <c r="H22" s="20" t="n">
        <v>0.1</v>
      </c>
      <c r="I22" s="15" t="s">
        <v>60</v>
      </c>
    </row>
    <row r="23" customFormat="false" ht="15" hidden="false" customHeight="false" outlineLevel="0" collapsed="false">
      <c r="D23" s="8" t="s">
        <v>61</v>
      </c>
      <c r="E23" s="18" t="n">
        <v>1</v>
      </c>
      <c r="F23" s="19" t="n">
        <v>1</v>
      </c>
      <c r="G23" s="20" t="n">
        <v>0.1</v>
      </c>
      <c r="H23" s="20" t="n">
        <v>0.1</v>
      </c>
      <c r="I23" s="15" t="s">
        <v>62</v>
      </c>
    </row>
    <row r="24" customFormat="false" ht="15" hidden="false" customHeight="false" outlineLevel="0" collapsed="false">
      <c r="D24" s="8" t="s">
        <v>63</v>
      </c>
      <c r="E24" s="18" t="n">
        <v>1</v>
      </c>
      <c r="F24" s="19" t="n">
        <v>1</v>
      </c>
      <c r="G24" s="20" t="n">
        <v>0.1</v>
      </c>
      <c r="H24" s="20" t="n">
        <v>0.1</v>
      </c>
      <c r="I24" s="15" t="s">
        <v>64</v>
      </c>
    </row>
    <row r="25" customFormat="false" ht="15" hidden="false" customHeight="false" outlineLevel="0" collapsed="false">
      <c r="D25" s="8" t="s">
        <v>65</v>
      </c>
      <c r="E25" s="18" t="n">
        <v>1</v>
      </c>
      <c r="F25" s="19" t="n">
        <v>1</v>
      </c>
      <c r="G25" s="20" t="n">
        <v>0.01</v>
      </c>
      <c r="H25" s="20" t="n">
        <v>0.01</v>
      </c>
      <c r="I25" s="15" t="s">
        <v>66</v>
      </c>
    </row>
    <row r="26" customFormat="false" ht="15" hidden="false" customHeight="false" outlineLevel="0" collapsed="false">
      <c r="A26" s="16" t="s">
        <v>67</v>
      </c>
    </row>
    <row r="27" customFormat="false" ht="15" hidden="false" customHeight="false" outlineLevel="0" collapsed="false">
      <c r="A27" s="5" t="s">
        <v>68</v>
      </c>
      <c r="B27" s="10" t="n">
        <f aca="false">'Trade Log'!$M$2*'Trade Log'!$M$3</f>
        <v>50</v>
      </c>
      <c r="D27" s="15" t="s">
        <v>69</v>
      </c>
    </row>
    <row r="28" customFormat="false" ht="15" hidden="false" customHeight="false" outlineLevel="0" collapsed="false">
      <c r="A28" s="15" t="s">
        <v>70</v>
      </c>
    </row>
  </sheetData>
  <dataValidations count="1">
    <dataValidation allowBlank="false" errorStyle="stop" operator="between" showDropDown="false" showErrorMessage="false" showInputMessage="false" sqref="B4" type="list">
      <formula1>$D$19:$D$25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1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2" topLeftCell="A1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3" min="2" style="0" width="18"/>
    <col collapsed="false" customWidth="true" hidden="false" outlineLevel="0" max="4" min="4" style="0" width="14"/>
    <col collapsed="false" customWidth="true" hidden="false" outlineLevel="0" max="5" min="5" style="0" width="40"/>
  </cols>
  <sheetData>
    <row r="1" customFormat="false" ht="25.5" hidden="false" customHeight="true" outlineLevel="0" collapsed="false">
      <c r="A1" s="1" t="s">
        <v>71</v>
      </c>
    </row>
    <row r="2" customFormat="false" ht="15" hidden="false" customHeight="false" outlineLevel="0" collapsed="false">
      <c r="A2" s="4" t="s">
        <v>72</v>
      </c>
    </row>
    <row r="4" customFormat="false" ht="15" hidden="false" customHeight="false" outlineLevel="0" collapsed="false">
      <c r="A4" s="17"/>
      <c r="B4" s="17" t="s">
        <v>73</v>
      </c>
      <c r="C4" s="17" t="s">
        <v>74</v>
      </c>
      <c r="D4" s="17" t="s">
        <v>75</v>
      </c>
    </row>
    <row r="5" customFormat="false" ht="15" hidden="false" customHeight="false" outlineLevel="0" collapsed="false">
      <c r="A5" s="21" t="s">
        <v>76</v>
      </c>
      <c r="B5" s="22" t="n">
        <f aca="false">COUNTIF(B13:B112,"Target")+COUNTIF(B13:B112,"Stop")</f>
        <v>0</v>
      </c>
      <c r="C5" s="22" t="n">
        <f aca="false">COUNTIF(C13:C112,"Target")+COUNTIF(C13:C112,"Stop")</f>
        <v>0</v>
      </c>
      <c r="D5" s="22" t="n">
        <f aca="false">COUNTIF(D13:D112,"Target")+COUNTIF(D13:D112,"Stop")</f>
        <v>0</v>
      </c>
    </row>
    <row r="6" customFormat="false" ht="15" hidden="false" customHeight="false" outlineLevel="0" collapsed="false">
      <c r="A6" s="21" t="s">
        <v>77</v>
      </c>
      <c r="B6" s="22" t="n">
        <f aca="false">COUNTIF(B13:B112,"Target")</f>
        <v>0</v>
      </c>
      <c r="C6" s="22" t="n">
        <f aca="false">COUNTIF(C13:C112,"Target")</f>
        <v>0</v>
      </c>
      <c r="D6" s="22" t="n">
        <f aca="false">COUNTIF(D13:D112,"Target")</f>
        <v>0</v>
      </c>
    </row>
    <row r="7" customFormat="false" ht="15" hidden="false" customHeight="false" outlineLevel="0" collapsed="false">
      <c r="A7" s="21" t="s">
        <v>78</v>
      </c>
      <c r="B7" s="22" t="n">
        <f aca="false">COUNTIF(B13:B112,"Stop")</f>
        <v>0</v>
      </c>
      <c r="C7" s="22" t="n">
        <f aca="false">COUNTIF(C13:C112,"Stop")</f>
        <v>0</v>
      </c>
      <c r="D7" s="22" t="n">
        <f aca="false">COUNTIF(D13:D112,"Stop")</f>
        <v>0</v>
      </c>
    </row>
    <row r="8" customFormat="false" ht="15" hidden="false" customHeight="false" outlineLevel="0" collapsed="false">
      <c r="A8" s="21" t="s">
        <v>79</v>
      </c>
      <c r="B8" s="23" t="n">
        <f aca="false">IFERROR(B6/B5,0)</f>
        <v>0</v>
      </c>
      <c r="C8" s="23" t="n">
        <f aca="false">IFERROR(C6/C5,0)</f>
        <v>0</v>
      </c>
      <c r="D8" s="23" t="n">
        <f aca="false">IFERROR(D6/D5,0)</f>
        <v>0</v>
      </c>
    </row>
    <row r="9" customFormat="false" ht="15" hidden="false" customHeight="false" outlineLevel="0" collapsed="false">
      <c r="A9" s="21" t="s">
        <v>80</v>
      </c>
      <c r="B9" s="24" t="n">
        <f aca="false">B6*1.5-B7</f>
        <v>0</v>
      </c>
      <c r="C9" s="24" t="n">
        <f aca="false">C6*1.5-C7</f>
        <v>0</v>
      </c>
      <c r="D9" s="24" t="n">
        <f aca="false">D6*1.5-D7</f>
        <v>0</v>
      </c>
    </row>
    <row r="10" customFormat="false" ht="15" hidden="false" customHeight="false" outlineLevel="0" collapsed="false">
      <c r="A10" s="15" t="s">
        <v>81</v>
      </c>
    </row>
    <row r="12" customFormat="false" ht="15" hidden="false" customHeight="false" outlineLevel="0" collapsed="false">
      <c r="A12" s="17" t="s">
        <v>82</v>
      </c>
      <c r="B12" s="17" t="s">
        <v>73</v>
      </c>
      <c r="C12" s="17" t="s">
        <v>74</v>
      </c>
      <c r="D12" s="17" t="s">
        <v>75</v>
      </c>
      <c r="E12" s="17" t="s">
        <v>54</v>
      </c>
      <c r="F12" s="25"/>
    </row>
    <row r="13" customFormat="false" ht="15" hidden="false" customHeight="false" outlineLevel="0" collapsed="false">
      <c r="A13" s="6"/>
      <c r="B13" s="6"/>
      <c r="C13" s="6"/>
      <c r="D13" s="6"/>
      <c r="E13" s="26"/>
    </row>
    <row r="14" customFormat="false" ht="15" hidden="false" customHeight="false" outlineLevel="0" collapsed="false">
      <c r="A14" s="6"/>
      <c r="B14" s="6"/>
      <c r="C14" s="6"/>
      <c r="D14" s="6"/>
      <c r="E14" s="26"/>
    </row>
    <row r="15" customFormat="false" ht="15" hidden="false" customHeight="false" outlineLevel="0" collapsed="false">
      <c r="A15" s="6"/>
      <c r="B15" s="6"/>
      <c r="C15" s="6"/>
      <c r="D15" s="6"/>
      <c r="E15" s="26"/>
    </row>
    <row r="16" customFormat="false" ht="15" hidden="false" customHeight="false" outlineLevel="0" collapsed="false">
      <c r="A16" s="6"/>
      <c r="B16" s="6"/>
      <c r="C16" s="6"/>
      <c r="D16" s="6"/>
      <c r="E16" s="26"/>
    </row>
    <row r="17" customFormat="false" ht="15" hidden="false" customHeight="false" outlineLevel="0" collapsed="false">
      <c r="A17" s="6"/>
      <c r="B17" s="6"/>
      <c r="C17" s="6"/>
      <c r="D17" s="6"/>
      <c r="E17" s="26"/>
    </row>
    <row r="18" customFormat="false" ht="15" hidden="false" customHeight="false" outlineLevel="0" collapsed="false">
      <c r="A18" s="6"/>
      <c r="B18" s="6"/>
      <c r="C18" s="6"/>
      <c r="D18" s="6"/>
      <c r="E18" s="26"/>
    </row>
    <row r="19" customFormat="false" ht="15" hidden="false" customHeight="false" outlineLevel="0" collapsed="false">
      <c r="A19" s="6"/>
      <c r="B19" s="6"/>
      <c r="C19" s="6"/>
      <c r="D19" s="6"/>
      <c r="E19" s="26"/>
    </row>
    <row r="20" customFormat="false" ht="15" hidden="false" customHeight="false" outlineLevel="0" collapsed="false">
      <c r="A20" s="6"/>
      <c r="B20" s="6"/>
      <c r="C20" s="6"/>
      <c r="D20" s="6"/>
      <c r="E20" s="26"/>
    </row>
    <row r="21" customFormat="false" ht="15" hidden="false" customHeight="false" outlineLevel="0" collapsed="false">
      <c r="A21" s="6"/>
      <c r="B21" s="6"/>
      <c r="C21" s="6"/>
      <c r="D21" s="6"/>
      <c r="E21" s="26"/>
    </row>
    <row r="22" customFormat="false" ht="15" hidden="false" customHeight="false" outlineLevel="0" collapsed="false">
      <c r="A22" s="6"/>
      <c r="B22" s="6"/>
      <c r="C22" s="6"/>
      <c r="D22" s="6"/>
      <c r="E22" s="26"/>
    </row>
    <row r="23" customFormat="false" ht="15" hidden="false" customHeight="false" outlineLevel="0" collapsed="false">
      <c r="A23" s="6"/>
      <c r="B23" s="6"/>
      <c r="C23" s="6"/>
      <c r="D23" s="6"/>
      <c r="E23" s="26"/>
    </row>
    <row r="24" customFormat="false" ht="15" hidden="false" customHeight="false" outlineLevel="0" collapsed="false">
      <c r="A24" s="6"/>
      <c r="B24" s="6"/>
      <c r="C24" s="6"/>
      <c r="D24" s="6"/>
      <c r="E24" s="26"/>
    </row>
    <row r="25" customFormat="false" ht="15" hidden="false" customHeight="false" outlineLevel="0" collapsed="false">
      <c r="A25" s="6"/>
      <c r="B25" s="6"/>
      <c r="C25" s="6"/>
      <c r="D25" s="6"/>
      <c r="E25" s="26"/>
    </row>
    <row r="26" customFormat="false" ht="15" hidden="false" customHeight="false" outlineLevel="0" collapsed="false">
      <c r="A26" s="6"/>
      <c r="B26" s="6"/>
      <c r="C26" s="6"/>
      <c r="D26" s="6"/>
      <c r="E26" s="26"/>
    </row>
    <row r="27" customFormat="false" ht="15" hidden="false" customHeight="false" outlineLevel="0" collapsed="false">
      <c r="A27" s="6"/>
      <c r="B27" s="6"/>
      <c r="C27" s="6"/>
      <c r="D27" s="6"/>
      <c r="E27" s="26"/>
    </row>
    <row r="28" customFormat="false" ht="15" hidden="false" customHeight="false" outlineLevel="0" collapsed="false">
      <c r="A28" s="6"/>
      <c r="B28" s="6"/>
      <c r="C28" s="6"/>
      <c r="D28" s="6"/>
      <c r="E28" s="26"/>
    </row>
    <row r="29" customFormat="false" ht="15" hidden="false" customHeight="false" outlineLevel="0" collapsed="false">
      <c r="A29" s="6"/>
      <c r="B29" s="6"/>
      <c r="C29" s="6"/>
      <c r="D29" s="6"/>
      <c r="E29" s="26"/>
    </row>
    <row r="30" customFormat="false" ht="15" hidden="false" customHeight="false" outlineLevel="0" collapsed="false">
      <c r="A30" s="6"/>
      <c r="B30" s="6"/>
      <c r="C30" s="6"/>
      <c r="D30" s="6"/>
      <c r="E30" s="26"/>
    </row>
    <row r="31" customFormat="false" ht="15" hidden="false" customHeight="false" outlineLevel="0" collapsed="false">
      <c r="A31" s="6"/>
      <c r="B31" s="6"/>
      <c r="C31" s="6"/>
      <c r="D31" s="6"/>
      <c r="E31" s="26"/>
    </row>
    <row r="32" customFormat="false" ht="15" hidden="false" customHeight="false" outlineLevel="0" collapsed="false">
      <c r="A32" s="6"/>
      <c r="B32" s="6"/>
      <c r="C32" s="6"/>
      <c r="D32" s="6"/>
      <c r="E32" s="26"/>
    </row>
    <row r="33" customFormat="false" ht="15" hidden="false" customHeight="false" outlineLevel="0" collapsed="false">
      <c r="A33" s="6"/>
      <c r="B33" s="6"/>
      <c r="C33" s="6"/>
      <c r="D33" s="6"/>
      <c r="E33" s="26"/>
    </row>
    <row r="34" customFormat="false" ht="15" hidden="false" customHeight="false" outlineLevel="0" collapsed="false">
      <c r="A34" s="6"/>
      <c r="B34" s="6"/>
      <c r="C34" s="6"/>
      <c r="D34" s="6"/>
      <c r="E34" s="26"/>
    </row>
    <row r="35" customFormat="false" ht="15" hidden="false" customHeight="false" outlineLevel="0" collapsed="false">
      <c r="A35" s="6"/>
      <c r="B35" s="6"/>
      <c r="C35" s="6"/>
      <c r="D35" s="6"/>
      <c r="E35" s="26"/>
    </row>
    <row r="36" customFormat="false" ht="15" hidden="false" customHeight="false" outlineLevel="0" collapsed="false">
      <c r="A36" s="6"/>
      <c r="B36" s="6"/>
      <c r="C36" s="6"/>
      <c r="D36" s="6"/>
      <c r="E36" s="26"/>
    </row>
    <row r="37" customFormat="false" ht="15" hidden="false" customHeight="false" outlineLevel="0" collapsed="false">
      <c r="A37" s="6"/>
      <c r="B37" s="6"/>
      <c r="C37" s="6"/>
      <c r="D37" s="6"/>
      <c r="E37" s="26"/>
    </row>
    <row r="38" customFormat="false" ht="15" hidden="false" customHeight="false" outlineLevel="0" collapsed="false">
      <c r="A38" s="6"/>
      <c r="B38" s="6"/>
      <c r="C38" s="6"/>
      <c r="D38" s="6"/>
      <c r="E38" s="26"/>
    </row>
    <row r="39" customFormat="false" ht="15" hidden="false" customHeight="false" outlineLevel="0" collapsed="false">
      <c r="A39" s="6"/>
      <c r="B39" s="6"/>
      <c r="C39" s="6"/>
      <c r="D39" s="6"/>
      <c r="E39" s="26"/>
    </row>
    <row r="40" customFormat="false" ht="15" hidden="false" customHeight="false" outlineLevel="0" collapsed="false">
      <c r="A40" s="6"/>
      <c r="B40" s="6"/>
      <c r="C40" s="6"/>
      <c r="D40" s="6"/>
      <c r="E40" s="26"/>
    </row>
    <row r="41" customFormat="false" ht="15" hidden="false" customHeight="false" outlineLevel="0" collapsed="false">
      <c r="A41" s="6"/>
      <c r="B41" s="6"/>
      <c r="C41" s="6"/>
      <c r="D41" s="6"/>
      <c r="E41" s="26"/>
    </row>
    <row r="42" customFormat="false" ht="15" hidden="false" customHeight="false" outlineLevel="0" collapsed="false">
      <c r="A42" s="6"/>
      <c r="B42" s="6"/>
      <c r="C42" s="6"/>
      <c r="D42" s="6"/>
      <c r="E42" s="26"/>
    </row>
    <row r="43" customFormat="false" ht="15" hidden="false" customHeight="false" outlineLevel="0" collapsed="false">
      <c r="A43" s="6"/>
      <c r="B43" s="6"/>
      <c r="C43" s="6"/>
      <c r="D43" s="6"/>
      <c r="E43" s="26"/>
    </row>
    <row r="44" customFormat="false" ht="15" hidden="false" customHeight="false" outlineLevel="0" collapsed="false">
      <c r="A44" s="6"/>
      <c r="B44" s="6"/>
      <c r="C44" s="6"/>
      <c r="D44" s="6"/>
      <c r="E44" s="26"/>
    </row>
    <row r="45" customFormat="false" ht="15" hidden="false" customHeight="false" outlineLevel="0" collapsed="false">
      <c r="A45" s="6"/>
      <c r="B45" s="6"/>
      <c r="C45" s="6"/>
      <c r="D45" s="6"/>
      <c r="E45" s="26"/>
    </row>
    <row r="46" customFormat="false" ht="15" hidden="false" customHeight="false" outlineLevel="0" collapsed="false">
      <c r="A46" s="6"/>
      <c r="B46" s="6"/>
      <c r="C46" s="6"/>
      <c r="D46" s="6"/>
      <c r="E46" s="26"/>
    </row>
    <row r="47" customFormat="false" ht="15" hidden="false" customHeight="false" outlineLevel="0" collapsed="false">
      <c r="A47" s="6"/>
      <c r="B47" s="6"/>
      <c r="C47" s="6"/>
      <c r="D47" s="6"/>
      <c r="E47" s="26"/>
    </row>
    <row r="48" customFormat="false" ht="15" hidden="false" customHeight="false" outlineLevel="0" collapsed="false">
      <c r="A48" s="6"/>
      <c r="B48" s="6"/>
      <c r="C48" s="6"/>
      <c r="D48" s="6"/>
      <c r="E48" s="26"/>
    </row>
    <row r="49" customFormat="false" ht="15" hidden="false" customHeight="false" outlineLevel="0" collapsed="false">
      <c r="A49" s="6"/>
      <c r="B49" s="6"/>
      <c r="C49" s="6"/>
      <c r="D49" s="6"/>
      <c r="E49" s="26"/>
    </row>
    <row r="50" customFormat="false" ht="15" hidden="false" customHeight="false" outlineLevel="0" collapsed="false">
      <c r="A50" s="6"/>
      <c r="B50" s="6"/>
      <c r="C50" s="6"/>
      <c r="D50" s="6"/>
      <c r="E50" s="26"/>
    </row>
    <row r="51" customFormat="false" ht="15" hidden="false" customHeight="false" outlineLevel="0" collapsed="false">
      <c r="A51" s="6"/>
      <c r="B51" s="6"/>
      <c r="C51" s="6"/>
      <c r="D51" s="6"/>
      <c r="E51" s="26"/>
    </row>
    <row r="52" customFormat="false" ht="15" hidden="false" customHeight="false" outlineLevel="0" collapsed="false">
      <c r="A52" s="6"/>
      <c r="B52" s="6"/>
      <c r="C52" s="6"/>
      <c r="D52" s="6"/>
      <c r="E52" s="26"/>
    </row>
    <row r="53" customFormat="false" ht="15" hidden="false" customHeight="false" outlineLevel="0" collapsed="false">
      <c r="A53" s="6"/>
      <c r="B53" s="6"/>
      <c r="C53" s="6"/>
      <c r="D53" s="6"/>
      <c r="E53" s="26"/>
    </row>
    <row r="54" customFormat="false" ht="15" hidden="false" customHeight="false" outlineLevel="0" collapsed="false">
      <c r="A54" s="6"/>
      <c r="B54" s="6"/>
      <c r="C54" s="6"/>
      <c r="D54" s="6"/>
      <c r="E54" s="26"/>
    </row>
    <row r="55" customFormat="false" ht="15" hidden="false" customHeight="false" outlineLevel="0" collapsed="false">
      <c r="A55" s="6"/>
      <c r="B55" s="6"/>
      <c r="C55" s="6"/>
      <c r="D55" s="6"/>
      <c r="E55" s="26"/>
    </row>
    <row r="56" customFormat="false" ht="15" hidden="false" customHeight="false" outlineLevel="0" collapsed="false">
      <c r="A56" s="6"/>
      <c r="B56" s="6"/>
      <c r="C56" s="6"/>
      <c r="D56" s="6"/>
      <c r="E56" s="26"/>
    </row>
    <row r="57" customFormat="false" ht="15" hidden="false" customHeight="false" outlineLevel="0" collapsed="false">
      <c r="A57" s="6"/>
      <c r="B57" s="6"/>
      <c r="C57" s="6"/>
      <c r="D57" s="6"/>
      <c r="E57" s="26"/>
    </row>
    <row r="58" customFormat="false" ht="15" hidden="false" customHeight="false" outlineLevel="0" collapsed="false">
      <c r="A58" s="6"/>
      <c r="B58" s="6"/>
      <c r="C58" s="6"/>
      <c r="D58" s="6"/>
      <c r="E58" s="26"/>
    </row>
    <row r="59" customFormat="false" ht="15" hidden="false" customHeight="false" outlineLevel="0" collapsed="false">
      <c r="A59" s="6"/>
      <c r="B59" s="6"/>
      <c r="C59" s="6"/>
      <c r="D59" s="6"/>
      <c r="E59" s="26"/>
    </row>
    <row r="60" customFormat="false" ht="15" hidden="false" customHeight="false" outlineLevel="0" collapsed="false">
      <c r="A60" s="6"/>
      <c r="B60" s="6"/>
      <c r="C60" s="6"/>
      <c r="D60" s="6"/>
      <c r="E60" s="26"/>
    </row>
    <row r="61" customFormat="false" ht="15" hidden="false" customHeight="false" outlineLevel="0" collapsed="false">
      <c r="A61" s="6"/>
      <c r="B61" s="6"/>
      <c r="C61" s="6"/>
      <c r="D61" s="6"/>
      <c r="E61" s="26"/>
    </row>
    <row r="62" customFormat="false" ht="15" hidden="false" customHeight="false" outlineLevel="0" collapsed="false">
      <c r="A62" s="6"/>
      <c r="B62" s="6"/>
      <c r="C62" s="6"/>
      <c r="D62" s="6"/>
      <c r="E62" s="26"/>
    </row>
    <row r="63" customFormat="false" ht="15" hidden="false" customHeight="false" outlineLevel="0" collapsed="false">
      <c r="A63" s="6"/>
      <c r="B63" s="6"/>
      <c r="C63" s="6"/>
      <c r="D63" s="6"/>
      <c r="E63" s="26"/>
    </row>
    <row r="64" customFormat="false" ht="15" hidden="false" customHeight="false" outlineLevel="0" collapsed="false">
      <c r="A64" s="6"/>
      <c r="B64" s="6"/>
      <c r="C64" s="6"/>
      <c r="D64" s="6"/>
      <c r="E64" s="26"/>
    </row>
    <row r="65" customFormat="false" ht="15" hidden="false" customHeight="false" outlineLevel="0" collapsed="false">
      <c r="A65" s="6"/>
      <c r="B65" s="6"/>
      <c r="C65" s="6"/>
      <c r="D65" s="6"/>
      <c r="E65" s="26"/>
    </row>
    <row r="66" customFormat="false" ht="15" hidden="false" customHeight="false" outlineLevel="0" collapsed="false">
      <c r="A66" s="6"/>
      <c r="B66" s="6"/>
      <c r="C66" s="6"/>
      <c r="D66" s="6"/>
      <c r="E66" s="26"/>
    </row>
    <row r="67" customFormat="false" ht="15" hidden="false" customHeight="false" outlineLevel="0" collapsed="false">
      <c r="A67" s="6"/>
      <c r="B67" s="6"/>
      <c r="C67" s="6"/>
      <c r="D67" s="6"/>
      <c r="E67" s="26"/>
    </row>
    <row r="68" customFormat="false" ht="15" hidden="false" customHeight="false" outlineLevel="0" collapsed="false">
      <c r="A68" s="6"/>
      <c r="B68" s="6"/>
      <c r="C68" s="6"/>
      <c r="D68" s="6"/>
      <c r="E68" s="26"/>
    </row>
    <row r="69" customFormat="false" ht="15" hidden="false" customHeight="false" outlineLevel="0" collapsed="false">
      <c r="A69" s="6"/>
      <c r="B69" s="6"/>
      <c r="C69" s="6"/>
      <c r="D69" s="6"/>
      <c r="E69" s="26"/>
    </row>
    <row r="70" customFormat="false" ht="15" hidden="false" customHeight="false" outlineLevel="0" collapsed="false">
      <c r="A70" s="6"/>
      <c r="B70" s="6"/>
      <c r="C70" s="6"/>
      <c r="D70" s="6"/>
      <c r="E70" s="26"/>
    </row>
    <row r="71" customFormat="false" ht="15" hidden="false" customHeight="false" outlineLevel="0" collapsed="false">
      <c r="A71" s="6"/>
      <c r="B71" s="6"/>
      <c r="C71" s="6"/>
      <c r="D71" s="6"/>
      <c r="E71" s="26"/>
    </row>
    <row r="72" customFormat="false" ht="15" hidden="false" customHeight="false" outlineLevel="0" collapsed="false">
      <c r="A72" s="6"/>
      <c r="B72" s="6"/>
      <c r="C72" s="6"/>
      <c r="D72" s="6"/>
      <c r="E72" s="26"/>
    </row>
    <row r="73" customFormat="false" ht="15" hidden="false" customHeight="false" outlineLevel="0" collapsed="false">
      <c r="A73" s="6"/>
      <c r="B73" s="6"/>
      <c r="C73" s="6"/>
      <c r="D73" s="6"/>
      <c r="E73" s="26"/>
    </row>
    <row r="74" customFormat="false" ht="15" hidden="false" customHeight="false" outlineLevel="0" collapsed="false">
      <c r="A74" s="6"/>
      <c r="B74" s="6"/>
      <c r="C74" s="6"/>
      <c r="D74" s="6"/>
      <c r="E74" s="26"/>
    </row>
    <row r="75" customFormat="false" ht="15" hidden="false" customHeight="false" outlineLevel="0" collapsed="false">
      <c r="A75" s="6"/>
      <c r="B75" s="6"/>
      <c r="C75" s="6"/>
      <c r="D75" s="6"/>
      <c r="E75" s="26"/>
    </row>
    <row r="76" customFormat="false" ht="15" hidden="false" customHeight="false" outlineLevel="0" collapsed="false">
      <c r="A76" s="6"/>
      <c r="B76" s="6"/>
      <c r="C76" s="6"/>
      <c r="D76" s="6"/>
      <c r="E76" s="26"/>
    </row>
    <row r="77" customFormat="false" ht="15" hidden="false" customHeight="false" outlineLevel="0" collapsed="false">
      <c r="A77" s="6"/>
      <c r="B77" s="6"/>
      <c r="C77" s="6"/>
      <c r="D77" s="6"/>
      <c r="E77" s="26"/>
    </row>
    <row r="78" customFormat="false" ht="15" hidden="false" customHeight="false" outlineLevel="0" collapsed="false">
      <c r="A78" s="6"/>
      <c r="B78" s="6"/>
      <c r="C78" s="6"/>
      <c r="D78" s="6"/>
      <c r="E78" s="26"/>
    </row>
    <row r="79" customFormat="false" ht="15" hidden="false" customHeight="false" outlineLevel="0" collapsed="false">
      <c r="A79" s="6"/>
      <c r="B79" s="6"/>
      <c r="C79" s="6"/>
      <c r="D79" s="6"/>
      <c r="E79" s="26"/>
    </row>
    <row r="80" customFormat="false" ht="15" hidden="false" customHeight="false" outlineLevel="0" collapsed="false">
      <c r="A80" s="6"/>
      <c r="B80" s="6"/>
      <c r="C80" s="6"/>
      <c r="D80" s="6"/>
      <c r="E80" s="26"/>
    </row>
    <row r="81" customFormat="false" ht="15" hidden="false" customHeight="false" outlineLevel="0" collapsed="false">
      <c r="A81" s="6"/>
      <c r="B81" s="6"/>
      <c r="C81" s="6"/>
      <c r="D81" s="6"/>
      <c r="E81" s="26"/>
    </row>
    <row r="82" customFormat="false" ht="15" hidden="false" customHeight="false" outlineLevel="0" collapsed="false">
      <c r="A82" s="6"/>
      <c r="B82" s="6"/>
      <c r="C82" s="6"/>
      <c r="D82" s="6"/>
      <c r="E82" s="26"/>
    </row>
    <row r="83" customFormat="false" ht="15" hidden="false" customHeight="false" outlineLevel="0" collapsed="false">
      <c r="A83" s="6"/>
      <c r="B83" s="6"/>
      <c r="C83" s="6"/>
      <c r="D83" s="6"/>
      <c r="E83" s="26"/>
    </row>
    <row r="84" customFormat="false" ht="15" hidden="false" customHeight="false" outlineLevel="0" collapsed="false">
      <c r="A84" s="6"/>
      <c r="B84" s="6"/>
      <c r="C84" s="6"/>
      <c r="D84" s="6"/>
      <c r="E84" s="26"/>
    </row>
    <row r="85" customFormat="false" ht="15" hidden="false" customHeight="false" outlineLevel="0" collapsed="false">
      <c r="A85" s="6"/>
      <c r="B85" s="6"/>
      <c r="C85" s="6"/>
      <c r="D85" s="6"/>
      <c r="E85" s="26"/>
    </row>
    <row r="86" customFormat="false" ht="15" hidden="false" customHeight="false" outlineLevel="0" collapsed="false">
      <c r="A86" s="6"/>
      <c r="B86" s="6"/>
      <c r="C86" s="6"/>
      <c r="D86" s="6"/>
      <c r="E86" s="26"/>
    </row>
    <row r="87" customFormat="false" ht="15" hidden="false" customHeight="false" outlineLevel="0" collapsed="false">
      <c r="A87" s="6"/>
      <c r="B87" s="6"/>
      <c r="C87" s="6"/>
      <c r="D87" s="6"/>
      <c r="E87" s="26"/>
    </row>
    <row r="88" customFormat="false" ht="15" hidden="false" customHeight="false" outlineLevel="0" collapsed="false">
      <c r="A88" s="6"/>
      <c r="B88" s="6"/>
      <c r="C88" s="6"/>
      <c r="D88" s="6"/>
      <c r="E88" s="26"/>
    </row>
    <row r="89" customFormat="false" ht="15" hidden="false" customHeight="false" outlineLevel="0" collapsed="false">
      <c r="A89" s="6"/>
      <c r="B89" s="6"/>
      <c r="C89" s="6"/>
      <c r="D89" s="6"/>
      <c r="E89" s="26"/>
    </row>
    <row r="90" customFormat="false" ht="15" hidden="false" customHeight="false" outlineLevel="0" collapsed="false">
      <c r="A90" s="6"/>
      <c r="B90" s="6"/>
      <c r="C90" s="6"/>
      <c r="D90" s="6"/>
      <c r="E90" s="26"/>
    </row>
    <row r="91" customFormat="false" ht="15" hidden="false" customHeight="false" outlineLevel="0" collapsed="false">
      <c r="A91" s="6"/>
      <c r="B91" s="6"/>
      <c r="C91" s="6"/>
      <c r="D91" s="6"/>
      <c r="E91" s="26"/>
    </row>
    <row r="92" customFormat="false" ht="15" hidden="false" customHeight="false" outlineLevel="0" collapsed="false">
      <c r="A92" s="6"/>
      <c r="B92" s="6"/>
      <c r="C92" s="6"/>
      <c r="D92" s="6"/>
      <c r="E92" s="26"/>
    </row>
    <row r="93" customFormat="false" ht="15" hidden="false" customHeight="false" outlineLevel="0" collapsed="false">
      <c r="A93" s="6"/>
      <c r="B93" s="6"/>
      <c r="C93" s="6"/>
      <c r="D93" s="6"/>
      <c r="E93" s="26"/>
    </row>
    <row r="94" customFormat="false" ht="15" hidden="false" customHeight="false" outlineLevel="0" collapsed="false">
      <c r="A94" s="6"/>
      <c r="B94" s="6"/>
      <c r="C94" s="6"/>
      <c r="D94" s="6"/>
      <c r="E94" s="26"/>
    </row>
    <row r="95" customFormat="false" ht="15" hidden="false" customHeight="false" outlineLevel="0" collapsed="false">
      <c r="A95" s="6"/>
      <c r="B95" s="6"/>
      <c r="C95" s="6"/>
      <c r="D95" s="6"/>
      <c r="E95" s="26"/>
    </row>
    <row r="96" customFormat="false" ht="15" hidden="false" customHeight="false" outlineLevel="0" collapsed="false">
      <c r="A96" s="6"/>
      <c r="B96" s="6"/>
      <c r="C96" s="6"/>
      <c r="D96" s="6"/>
      <c r="E96" s="26"/>
    </row>
    <row r="97" customFormat="false" ht="15" hidden="false" customHeight="false" outlineLevel="0" collapsed="false">
      <c r="A97" s="6"/>
      <c r="B97" s="6"/>
      <c r="C97" s="6"/>
      <c r="D97" s="6"/>
      <c r="E97" s="26"/>
    </row>
    <row r="98" customFormat="false" ht="15" hidden="false" customHeight="false" outlineLevel="0" collapsed="false">
      <c r="A98" s="6"/>
      <c r="B98" s="6"/>
      <c r="C98" s="6"/>
      <c r="D98" s="6"/>
      <c r="E98" s="26"/>
    </row>
    <row r="99" customFormat="false" ht="15" hidden="false" customHeight="false" outlineLevel="0" collapsed="false">
      <c r="A99" s="6"/>
      <c r="B99" s="6"/>
      <c r="C99" s="6"/>
      <c r="D99" s="6"/>
      <c r="E99" s="26"/>
    </row>
    <row r="100" customFormat="false" ht="15" hidden="false" customHeight="false" outlineLevel="0" collapsed="false">
      <c r="A100" s="6"/>
      <c r="B100" s="6"/>
      <c r="C100" s="6"/>
      <c r="D100" s="6"/>
      <c r="E100" s="26"/>
    </row>
    <row r="101" customFormat="false" ht="15" hidden="false" customHeight="false" outlineLevel="0" collapsed="false">
      <c r="A101" s="6"/>
      <c r="B101" s="6"/>
      <c r="C101" s="6"/>
      <c r="D101" s="6"/>
      <c r="E101" s="26"/>
    </row>
    <row r="102" customFormat="false" ht="15" hidden="false" customHeight="false" outlineLevel="0" collapsed="false">
      <c r="A102" s="6"/>
      <c r="B102" s="6"/>
      <c r="C102" s="6"/>
      <c r="D102" s="6"/>
      <c r="E102" s="26"/>
    </row>
    <row r="103" customFormat="false" ht="15" hidden="false" customHeight="false" outlineLevel="0" collapsed="false">
      <c r="A103" s="6"/>
      <c r="B103" s="6"/>
      <c r="C103" s="6"/>
      <c r="D103" s="6"/>
      <c r="E103" s="26"/>
    </row>
    <row r="104" customFormat="false" ht="15" hidden="false" customHeight="false" outlineLevel="0" collapsed="false">
      <c r="A104" s="6"/>
      <c r="B104" s="6"/>
      <c r="C104" s="6"/>
      <c r="D104" s="6"/>
      <c r="E104" s="26"/>
    </row>
    <row r="105" customFormat="false" ht="15" hidden="false" customHeight="false" outlineLevel="0" collapsed="false">
      <c r="A105" s="6"/>
      <c r="B105" s="6"/>
      <c r="C105" s="6"/>
      <c r="D105" s="6"/>
      <c r="E105" s="26"/>
    </row>
    <row r="106" customFormat="false" ht="15" hidden="false" customHeight="false" outlineLevel="0" collapsed="false">
      <c r="A106" s="6"/>
      <c r="B106" s="6"/>
      <c r="C106" s="6"/>
      <c r="D106" s="6"/>
      <c r="E106" s="26"/>
    </row>
    <row r="107" customFormat="false" ht="15" hidden="false" customHeight="false" outlineLevel="0" collapsed="false">
      <c r="A107" s="6"/>
      <c r="B107" s="6"/>
      <c r="C107" s="6"/>
      <c r="D107" s="6"/>
      <c r="E107" s="26"/>
    </row>
    <row r="108" customFormat="false" ht="15" hidden="false" customHeight="false" outlineLevel="0" collapsed="false">
      <c r="A108" s="6"/>
      <c r="B108" s="6"/>
      <c r="C108" s="6"/>
      <c r="D108" s="6"/>
      <c r="E108" s="26"/>
    </row>
    <row r="109" customFormat="false" ht="15" hidden="false" customHeight="false" outlineLevel="0" collapsed="false">
      <c r="A109" s="6"/>
      <c r="B109" s="6"/>
      <c r="C109" s="6"/>
      <c r="D109" s="6"/>
      <c r="E109" s="26"/>
    </row>
    <row r="110" customFormat="false" ht="15" hidden="false" customHeight="false" outlineLevel="0" collapsed="false">
      <c r="A110" s="6"/>
      <c r="B110" s="6"/>
      <c r="C110" s="6"/>
      <c r="D110" s="6"/>
      <c r="E110" s="26"/>
    </row>
    <row r="111" customFormat="false" ht="15" hidden="false" customHeight="false" outlineLevel="0" collapsed="false">
      <c r="A111" s="6"/>
      <c r="B111" s="6"/>
      <c r="C111" s="6"/>
      <c r="D111" s="6"/>
      <c r="E111" s="26"/>
    </row>
    <row r="112" customFormat="false" ht="15" hidden="false" customHeight="false" outlineLevel="0" collapsed="false">
      <c r="A112" s="6"/>
      <c r="B112" s="6"/>
      <c r="C112" s="6"/>
      <c r="D112" s="6"/>
      <c r="E112" s="26"/>
    </row>
  </sheetData>
  <conditionalFormatting sqref="B13:D112">
    <cfRule type="cellIs" priority="2" operator="equal" aboveAverage="0" equalAverage="0" bottom="0" percent="0" rank="0" text="" dxfId="0">
      <formula>"Target"</formula>
    </cfRule>
    <cfRule type="cellIs" priority="3" operator="equal" aboveAverage="0" equalAverage="0" bottom="0" percent="0" rank="0" text="" dxfId="1">
      <formula>"Stop"</formula>
    </cfRule>
  </conditionalFormatting>
  <dataValidations count="1">
    <dataValidation allowBlank="true" errorStyle="stop" operator="between" showDropDown="false" showErrorMessage="false" showInputMessage="false" sqref="B13:D112" type="list">
      <formula1>"Target,Stop,No signal"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20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6" topLeftCell="A7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3" min="2" style="0" width="10"/>
    <col collapsed="false" customWidth="true" hidden="false" outlineLevel="0" max="5" min="4" style="0" width="11"/>
    <col collapsed="false" customWidth="true" hidden="false" outlineLevel="0" max="6" min="6" style="0" width="12"/>
    <col collapsed="false" customWidth="true" hidden="false" outlineLevel="0" max="7" min="7" style="0" width="11"/>
    <col collapsed="false" customWidth="true" hidden="false" outlineLevel="0" max="8" min="8" style="0" width="9"/>
    <col collapsed="false" customWidth="true" hidden="false" outlineLevel="0" max="9" min="9" style="0" width="7"/>
    <col collapsed="false" customWidth="true" hidden="false" outlineLevel="0" max="10" min="10" style="0" width="13"/>
    <col collapsed="false" customWidth="true" hidden="false" outlineLevel="0" max="11" min="11" style="0" width="11"/>
    <col collapsed="false" customWidth="true" hidden="false" outlineLevel="0" max="12" min="12" style="0" width="40"/>
    <col collapsed="false" customWidth="true" hidden="false" outlineLevel="0" max="13" min="13" style="0" width="14"/>
  </cols>
  <sheetData>
    <row r="1" customFormat="false" ht="25.5" hidden="false" customHeight="true" outlineLevel="0" collapsed="false">
      <c r="A1" s="1" t="s">
        <v>83</v>
      </c>
    </row>
    <row r="2" customFormat="false" ht="15" hidden="false" customHeight="false" outlineLevel="0" collapsed="false">
      <c r="L2" s="11" t="s">
        <v>84</v>
      </c>
      <c r="M2" s="27" t="n">
        <v>10000</v>
      </c>
    </row>
    <row r="3" customFormat="false" ht="15" hidden="false" customHeight="false" outlineLevel="0" collapsed="false">
      <c r="A3" s="4" t="s">
        <v>85</v>
      </c>
      <c r="L3" s="11" t="s">
        <v>86</v>
      </c>
      <c r="M3" s="28" t="n">
        <v>0.005</v>
      </c>
    </row>
    <row r="4" customFormat="false" ht="15" hidden="false" customHeight="false" outlineLevel="0" collapsed="false">
      <c r="A4" s="4" t="s">
        <v>87</v>
      </c>
      <c r="L4" s="11" t="s">
        <v>88</v>
      </c>
      <c r="M4" s="29" t="n">
        <f aca="false">M2+SUM(J7:J206)</f>
        <v>10000</v>
      </c>
    </row>
    <row r="6" customFormat="false" ht="31.5" hidden="false" customHeight="true" outlineLevel="0" collapsed="false">
      <c r="A6" s="17" t="s">
        <v>89</v>
      </c>
      <c r="B6" s="17" t="s">
        <v>35</v>
      </c>
      <c r="C6" s="17" t="s">
        <v>90</v>
      </c>
      <c r="D6" s="17" t="s">
        <v>11</v>
      </c>
      <c r="E6" s="17" t="s">
        <v>13</v>
      </c>
      <c r="F6" s="17" t="s">
        <v>91</v>
      </c>
      <c r="G6" s="17" t="s">
        <v>92</v>
      </c>
      <c r="H6" s="17" t="s">
        <v>93</v>
      </c>
      <c r="I6" s="17" t="s">
        <v>94</v>
      </c>
      <c r="J6" s="17" t="s">
        <v>95</v>
      </c>
      <c r="K6" s="17" t="s">
        <v>96</v>
      </c>
      <c r="L6" s="17" t="s">
        <v>54</v>
      </c>
    </row>
    <row r="7" customFormat="false" ht="15" hidden="false" customHeight="false" outlineLevel="0" collapsed="false">
      <c r="A7" s="30"/>
      <c r="B7" s="6"/>
      <c r="C7" s="8" t="str">
        <f aca="false">IF(OR(D7="",E7="",D7=E7),"",IF(E7&lt;D7,"BUY","SELL"))</f>
        <v/>
      </c>
      <c r="D7" s="7"/>
      <c r="E7" s="7"/>
      <c r="F7" s="13" t="str">
        <f aca="false">IF(C7="","",D7+1.5*(D7-E7))</f>
        <v/>
      </c>
      <c r="G7" s="7"/>
      <c r="H7" s="8" t="str">
        <f aca="false">IF(I7="","",IF(I7&gt;0,"WIN",IF(I7&lt;0,"LOSS","BE")))</f>
        <v/>
      </c>
      <c r="I7" s="31" t="str">
        <f aca="false">IF(OR(G7="",C7=""),"",ROUND((G7-D7)/(D7-E7),2))</f>
        <v/>
      </c>
      <c r="J7" s="32" t="str">
        <f aca="false">IF(I7="","",ROUND(I7*$M$2*$M$3,2))</f>
        <v/>
      </c>
      <c r="K7" s="6"/>
      <c r="L7" s="26"/>
    </row>
    <row r="8" customFormat="false" ht="15" hidden="false" customHeight="false" outlineLevel="0" collapsed="false">
      <c r="A8" s="30"/>
      <c r="B8" s="6"/>
      <c r="C8" s="8" t="str">
        <f aca="false">IF(OR(D8="",E8="",D8=E8),"",IF(E8&lt;D8,"BUY","SELL"))</f>
        <v/>
      </c>
      <c r="D8" s="7"/>
      <c r="E8" s="7"/>
      <c r="F8" s="13" t="str">
        <f aca="false">IF(C8="","",D8+1.5*(D8-E8))</f>
        <v/>
      </c>
      <c r="G8" s="7"/>
      <c r="H8" s="8" t="str">
        <f aca="false">IF(I8="","",IF(I8&gt;0,"WIN",IF(I8&lt;0,"LOSS","BE")))</f>
        <v/>
      </c>
      <c r="I8" s="31" t="str">
        <f aca="false">IF(OR(G8="",C8=""),"",ROUND((G8-D8)/(D8-E8),2))</f>
        <v/>
      </c>
      <c r="J8" s="32" t="str">
        <f aca="false">IF(I8="","",ROUND(I8*$M$2*$M$3,2))</f>
        <v/>
      </c>
      <c r="K8" s="6"/>
      <c r="L8" s="26"/>
    </row>
    <row r="9" customFormat="false" ht="15" hidden="false" customHeight="false" outlineLevel="0" collapsed="false">
      <c r="A9" s="30"/>
      <c r="B9" s="6"/>
      <c r="C9" s="8" t="str">
        <f aca="false">IF(OR(D9="",E9="",D9=E9),"",IF(E9&lt;D9,"BUY","SELL"))</f>
        <v/>
      </c>
      <c r="D9" s="7"/>
      <c r="E9" s="7"/>
      <c r="F9" s="13" t="str">
        <f aca="false">IF(C9="","",D9+1.5*(D9-E9))</f>
        <v/>
      </c>
      <c r="G9" s="7"/>
      <c r="H9" s="8" t="str">
        <f aca="false">IF(I9="","",IF(I9&gt;0,"WIN",IF(I9&lt;0,"LOSS","BE")))</f>
        <v/>
      </c>
      <c r="I9" s="31" t="str">
        <f aca="false">IF(OR(G9="",C9=""),"",ROUND((G9-D9)/(D9-E9),2))</f>
        <v/>
      </c>
      <c r="J9" s="32" t="str">
        <f aca="false">IF(I9="","",ROUND(I9*$M$2*$M$3,2))</f>
        <v/>
      </c>
      <c r="K9" s="6"/>
      <c r="L9" s="26"/>
    </row>
    <row r="10" customFormat="false" ht="15" hidden="false" customHeight="false" outlineLevel="0" collapsed="false">
      <c r="A10" s="30"/>
      <c r="B10" s="6"/>
      <c r="C10" s="8" t="str">
        <f aca="false">IF(OR(D10="",E10="",D10=E10),"",IF(E10&lt;D10,"BUY","SELL"))</f>
        <v/>
      </c>
      <c r="D10" s="7"/>
      <c r="E10" s="7"/>
      <c r="F10" s="13" t="str">
        <f aca="false">IF(C10="","",D10+1.5*(D10-E10))</f>
        <v/>
      </c>
      <c r="G10" s="7"/>
      <c r="H10" s="8" t="str">
        <f aca="false">IF(I10="","",IF(I10&gt;0,"WIN",IF(I10&lt;0,"LOSS","BE")))</f>
        <v/>
      </c>
      <c r="I10" s="31" t="str">
        <f aca="false">IF(OR(G10="",C10=""),"",ROUND((G10-D10)/(D10-E10),2))</f>
        <v/>
      </c>
      <c r="J10" s="32" t="str">
        <f aca="false">IF(I10="","",ROUND(I10*$M$2*$M$3,2))</f>
        <v/>
      </c>
      <c r="K10" s="6"/>
      <c r="L10" s="26"/>
    </row>
    <row r="11" customFormat="false" ht="15" hidden="false" customHeight="false" outlineLevel="0" collapsed="false">
      <c r="A11" s="30"/>
      <c r="B11" s="6"/>
      <c r="C11" s="8" t="str">
        <f aca="false">IF(OR(D11="",E11="",D11=E11),"",IF(E11&lt;D11,"BUY","SELL"))</f>
        <v/>
      </c>
      <c r="D11" s="7"/>
      <c r="E11" s="7"/>
      <c r="F11" s="13" t="str">
        <f aca="false">IF(C11="","",D11+1.5*(D11-E11))</f>
        <v/>
      </c>
      <c r="G11" s="7"/>
      <c r="H11" s="8" t="str">
        <f aca="false">IF(I11="","",IF(I11&gt;0,"WIN",IF(I11&lt;0,"LOSS","BE")))</f>
        <v/>
      </c>
      <c r="I11" s="31" t="str">
        <f aca="false">IF(OR(G11="",C11=""),"",ROUND((G11-D11)/(D11-E11),2))</f>
        <v/>
      </c>
      <c r="J11" s="32" t="str">
        <f aca="false">IF(I11="","",ROUND(I11*$M$2*$M$3,2))</f>
        <v/>
      </c>
      <c r="K11" s="6"/>
      <c r="L11" s="26"/>
    </row>
    <row r="12" customFormat="false" ht="15" hidden="false" customHeight="false" outlineLevel="0" collapsed="false">
      <c r="A12" s="30"/>
      <c r="B12" s="6"/>
      <c r="C12" s="8" t="str">
        <f aca="false">IF(OR(D12="",E12="",D12=E12),"",IF(E12&lt;D12,"BUY","SELL"))</f>
        <v/>
      </c>
      <c r="D12" s="7"/>
      <c r="E12" s="7"/>
      <c r="F12" s="13" t="str">
        <f aca="false">IF(C12="","",D12+1.5*(D12-E12))</f>
        <v/>
      </c>
      <c r="G12" s="7"/>
      <c r="H12" s="8" t="str">
        <f aca="false">IF(I12="","",IF(I12&gt;0,"WIN",IF(I12&lt;0,"LOSS","BE")))</f>
        <v/>
      </c>
      <c r="I12" s="31" t="str">
        <f aca="false">IF(OR(G12="",C12=""),"",ROUND((G12-D12)/(D12-E12),2))</f>
        <v/>
      </c>
      <c r="J12" s="32" t="str">
        <f aca="false">IF(I12="","",ROUND(I12*$M$2*$M$3,2))</f>
        <v/>
      </c>
      <c r="K12" s="6"/>
      <c r="L12" s="26"/>
    </row>
    <row r="13" customFormat="false" ht="15" hidden="false" customHeight="false" outlineLevel="0" collapsed="false">
      <c r="A13" s="30"/>
      <c r="B13" s="6"/>
      <c r="C13" s="8" t="str">
        <f aca="false">IF(OR(D13="",E13="",D13=E13),"",IF(E13&lt;D13,"BUY","SELL"))</f>
        <v/>
      </c>
      <c r="D13" s="7"/>
      <c r="E13" s="7"/>
      <c r="F13" s="13" t="str">
        <f aca="false">IF(C13="","",D13+1.5*(D13-E13))</f>
        <v/>
      </c>
      <c r="G13" s="7"/>
      <c r="H13" s="8" t="str">
        <f aca="false">IF(I13="","",IF(I13&gt;0,"WIN",IF(I13&lt;0,"LOSS","BE")))</f>
        <v/>
      </c>
      <c r="I13" s="31" t="str">
        <f aca="false">IF(OR(G13="",C13=""),"",ROUND((G13-D13)/(D13-E13),2))</f>
        <v/>
      </c>
      <c r="J13" s="32" t="str">
        <f aca="false">IF(I13="","",ROUND(I13*$M$2*$M$3,2))</f>
        <v/>
      </c>
      <c r="K13" s="6"/>
      <c r="L13" s="26"/>
    </row>
    <row r="14" customFormat="false" ht="15" hidden="false" customHeight="false" outlineLevel="0" collapsed="false">
      <c r="A14" s="30"/>
      <c r="B14" s="6"/>
      <c r="C14" s="8" t="str">
        <f aca="false">IF(OR(D14="",E14="",D14=E14),"",IF(E14&lt;D14,"BUY","SELL"))</f>
        <v/>
      </c>
      <c r="D14" s="7"/>
      <c r="E14" s="7"/>
      <c r="F14" s="13" t="str">
        <f aca="false">IF(C14="","",D14+1.5*(D14-E14))</f>
        <v/>
      </c>
      <c r="G14" s="7"/>
      <c r="H14" s="8" t="str">
        <f aca="false">IF(I14="","",IF(I14&gt;0,"WIN",IF(I14&lt;0,"LOSS","BE")))</f>
        <v/>
      </c>
      <c r="I14" s="31" t="str">
        <f aca="false">IF(OR(G14="",C14=""),"",ROUND((G14-D14)/(D14-E14),2))</f>
        <v/>
      </c>
      <c r="J14" s="32" t="str">
        <f aca="false">IF(I14="","",ROUND(I14*$M$2*$M$3,2))</f>
        <v/>
      </c>
      <c r="K14" s="6"/>
      <c r="L14" s="26"/>
    </row>
    <row r="15" customFormat="false" ht="15" hidden="false" customHeight="false" outlineLevel="0" collapsed="false">
      <c r="A15" s="30"/>
      <c r="B15" s="6"/>
      <c r="C15" s="8" t="str">
        <f aca="false">IF(OR(D15="",E15="",D15=E15),"",IF(E15&lt;D15,"BUY","SELL"))</f>
        <v/>
      </c>
      <c r="D15" s="7"/>
      <c r="E15" s="7"/>
      <c r="F15" s="13" t="str">
        <f aca="false">IF(C15="","",D15+1.5*(D15-E15))</f>
        <v/>
      </c>
      <c r="G15" s="7"/>
      <c r="H15" s="8" t="str">
        <f aca="false">IF(I15="","",IF(I15&gt;0,"WIN",IF(I15&lt;0,"LOSS","BE")))</f>
        <v/>
      </c>
      <c r="I15" s="31" t="str">
        <f aca="false">IF(OR(G15="",C15=""),"",ROUND((G15-D15)/(D15-E15),2))</f>
        <v/>
      </c>
      <c r="J15" s="32" t="str">
        <f aca="false">IF(I15="","",ROUND(I15*$M$2*$M$3,2))</f>
        <v/>
      </c>
      <c r="K15" s="6"/>
      <c r="L15" s="26"/>
    </row>
    <row r="16" customFormat="false" ht="15" hidden="false" customHeight="false" outlineLevel="0" collapsed="false">
      <c r="A16" s="30"/>
      <c r="B16" s="6"/>
      <c r="C16" s="8" t="str">
        <f aca="false">IF(OR(D16="",E16="",D16=E16),"",IF(E16&lt;D16,"BUY","SELL"))</f>
        <v/>
      </c>
      <c r="D16" s="7"/>
      <c r="E16" s="7"/>
      <c r="F16" s="13" t="str">
        <f aca="false">IF(C16="","",D16+1.5*(D16-E16))</f>
        <v/>
      </c>
      <c r="G16" s="7"/>
      <c r="H16" s="8" t="str">
        <f aca="false">IF(I16="","",IF(I16&gt;0,"WIN",IF(I16&lt;0,"LOSS","BE")))</f>
        <v/>
      </c>
      <c r="I16" s="31" t="str">
        <f aca="false">IF(OR(G16="",C16=""),"",ROUND((G16-D16)/(D16-E16),2))</f>
        <v/>
      </c>
      <c r="J16" s="32" t="str">
        <f aca="false">IF(I16="","",ROUND(I16*$M$2*$M$3,2))</f>
        <v/>
      </c>
      <c r="K16" s="6"/>
      <c r="L16" s="26"/>
    </row>
    <row r="17" customFormat="false" ht="15" hidden="false" customHeight="false" outlineLevel="0" collapsed="false">
      <c r="A17" s="30"/>
      <c r="B17" s="6"/>
      <c r="C17" s="8" t="str">
        <f aca="false">IF(OR(D17="",E17="",D17=E17),"",IF(E17&lt;D17,"BUY","SELL"))</f>
        <v/>
      </c>
      <c r="D17" s="7"/>
      <c r="E17" s="7"/>
      <c r="F17" s="13" t="str">
        <f aca="false">IF(C17="","",D17+1.5*(D17-E17))</f>
        <v/>
      </c>
      <c r="G17" s="7"/>
      <c r="H17" s="8" t="str">
        <f aca="false">IF(I17="","",IF(I17&gt;0,"WIN",IF(I17&lt;0,"LOSS","BE")))</f>
        <v/>
      </c>
      <c r="I17" s="31" t="str">
        <f aca="false">IF(OR(G17="",C17=""),"",ROUND((G17-D17)/(D17-E17),2))</f>
        <v/>
      </c>
      <c r="J17" s="32" t="str">
        <f aca="false">IF(I17="","",ROUND(I17*$M$2*$M$3,2))</f>
        <v/>
      </c>
      <c r="K17" s="6"/>
      <c r="L17" s="26"/>
    </row>
    <row r="18" customFormat="false" ht="15" hidden="false" customHeight="false" outlineLevel="0" collapsed="false">
      <c r="A18" s="30"/>
      <c r="B18" s="6"/>
      <c r="C18" s="8" t="str">
        <f aca="false">IF(OR(D18="",E18="",D18=E18),"",IF(E18&lt;D18,"BUY","SELL"))</f>
        <v/>
      </c>
      <c r="D18" s="7"/>
      <c r="E18" s="7"/>
      <c r="F18" s="13" t="str">
        <f aca="false">IF(C18="","",D18+1.5*(D18-E18))</f>
        <v/>
      </c>
      <c r="G18" s="7"/>
      <c r="H18" s="8" t="str">
        <f aca="false">IF(I18="","",IF(I18&gt;0,"WIN",IF(I18&lt;0,"LOSS","BE")))</f>
        <v/>
      </c>
      <c r="I18" s="31" t="str">
        <f aca="false">IF(OR(G18="",C18=""),"",ROUND((G18-D18)/(D18-E18),2))</f>
        <v/>
      </c>
      <c r="J18" s="32" t="str">
        <f aca="false">IF(I18="","",ROUND(I18*$M$2*$M$3,2))</f>
        <v/>
      </c>
      <c r="K18" s="6"/>
      <c r="L18" s="26"/>
    </row>
    <row r="19" customFormat="false" ht="15" hidden="false" customHeight="false" outlineLevel="0" collapsed="false">
      <c r="A19" s="30"/>
      <c r="B19" s="6"/>
      <c r="C19" s="8" t="str">
        <f aca="false">IF(OR(D19="",E19="",D19=E19),"",IF(E19&lt;D19,"BUY","SELL"))</f>
        <v/>
      </c>
      <c r="D19" s="7"/>
      <c r="E19" s="7"/>
      <c r="F19" s="13" t="str">
        <f aca="false">IF(C19="","",D19+1.5*(D19-E19))</f>
        <v/>
      </c>
      <c r="G19" s="7"/>
      <c r="H19" s="8" t="str">
        <f aca="false">IF(I19="","",IF(I19&gt;0,"WIN",IF(I19&lt;0,"LOSS","BE")))</f>
        <v/>
      </c>
      <c r="I19" s="31" t="str">
        <f aca="false">IF(OR(G19="",C19=""),"",ROUND((G19-D19)/(D19-E19),2))</f>
        <v/>
      </c>
      <c r="J19" s="32" t="str">
        <f aca="false">IF(I19="","",ROUND(I19*$M$2*$M$3,2))</f>
        <v/>
      </c>
      <c r="K19" s="6"/>
      <c r="L19" s="26"/>
    </row>
    <row r="20" customFormat="false" ht="15" hidden="false" customHeight="false" outlineLevel="0" collapsed="false">
      <c r="A20" s="30"/>
      <c r="B20" s="6"/>
      <c r="C20" s="8" t="str">
        <f aca="false">IF(OR(D20="",E20="",D20=E20),"",IF(E20&lt;D20,"BUY","SELL"))</f>
        <v/>
      </c>
      <c r="D20" s="7"/>
      <c r="E20" s="7"/>
      <c r="F20" s="13" t="str">
        <f aca="false">IF(C20="","",D20+1.5*(D20-E20))</f>
        <v/>
      </c>
      <c r="G20" s="7"/>
      <c r="H20" s="8" t="str">
        <f aca="false">IF(I20="","",IF(I20&gt;0,"WIN",IF(I20&lt;0,"LOSS","BE")))</f>
        <v/>
      </c>
      <c r="I20" s="31" t="str">
        <f aca="false">IF(OR(G20="",C20=""),"",ROUND((G20-D20)/(D20-E20),2))</f>
        <v/>
      </c>
      <c r="J20" s="32" t="str">
        <f aca="false">IF(I20="","",ROUND(I20*$M$2*$M$3,2))</f>
        <v/>
      </c>
      <c r="K20" s="6"/>
      <c r="L20" s="26"/>
    </row>
    <row r="21" customFormat="false" ht="15" hidden="false" customHeight="false" outlineLevel="0" collapsed="false">
      <c r="A21" s="30"/>
      <c r="B21" s="6"/>
      <c r="C21" s="8" t="str">
        <f aca="false">IF(OR(D21="",E21="",D21=E21),"",IF(E21&lt;D21,"BUY","SELL"))</f>
        <v/>
      </c>
      <c r="D21" s="7"/>
      <c r="E21" s="7"/>
      <c r="F21" s="13" t="str">
        <f aca="false">IF(C21="","",D21+1.5*(D21-E21))</f>
        <v/>
      </c>
      <c r="G21" s="7"/>
      <c r="H21" s="8" t="str">
        <f aca="false">IF(I21="","",IF(I21&gt;0,"WIN",IF(I21&lt;0,"LOSS","BE")))</f>
        <v/>
      </c>
      <c r="I21" s="31" t="str">
        <f aca="false">IF(OR(G21="",C21=""),"",ROUND((G21-D21)/(D21-E21),2))</f>
        <v/>
      </c>
      <c r="J21" s="32" t="str">
        <f aca="false">IF(I21="","",ROUND(I21*$M$2*$M$3,2))</f>
        <v/>
      </c>
      <c r="K21" s="6"/>
      <c r="L21" s="26"/>
    </row>
    <row r="22" customFormat="false" ht="15" hidden="false" customHeight="false" outlineLevel="0" collapsed="false">
      <c r="A22" s="30"/>
      <c r="B22" s="6"/>
      <c r="C22" s="8" t="str">
        <f aca="false">IF(OR(D22="",E22="",D22=E22),"",IF(E22&lt;D22,"BUY","SELL"))</f>
        <v/>
      </c>
      <c r="D22" s="7"/>
      <c r="E22" s="7"/>
      <c r="F22" s="13" t="str">
        <f aca="false">IF(C22="","",D22+1.5*(D22-E22))</f>
        <v/>
      </c>
      <c r="G22" s="7"/>
      <c r="H22" s="8" t="str">
        <f aca="false">IF(I22="","",IF(I22&gt;0,"WIN",IF(I22&lt;0,"LOSS","BE")))</f>
        <v/>
      </c>
      <c r="I22" s="31" t="str">
        <f aca="false">IF(OR(G22="",C22=""),"",ROUND((G22-D22)/(D22-E22),2))</f>
        <v/>
      </c>
      <c r="J22" s="32" t="str">
        <f aca="false">IF(I22="","",ROUND(I22*$M$2*$M$3,2))</f>
        <v/>
      </c>
      <c r="K22" s="6"/>
      <c r="L22" s="26"/>
    </row>
    <row r="23" customFormat="false" ht="15" hidden="false" customHeight="false" outlineLevel="0" collapsed="false">
      <c r="A23" s="30"/>
      <c r="B23" s="6"/>
      <c r="C23" s="8" t="str">
        <f aca="false">IF(OR(D23="",E23="",D23=E23),"",IF(E23&lt;D23,"BUY","SELL"))</f>
        <v/>
      </c>
      <c r="D23" s="7"/>
      <c r="E23" s="7"/>
      <c r="F23" s="13" t="str">
        <f aca="false">IF(C23="","",D23+1.5*(D23-E23))</f>
        <v/>
      </c>
      <c r="G23" s="7"/>
      <c r="H23" s="8" t="str">
        <f aca="false">IF(I23="","",IF(I23&gt;0,"WIN",IF(I23&lt;0,"LOSS","BE")))</f>
        <v/>
      </c>
      <c r="I23" s="31" t="str">
        <f aca="false">IF(OR(G23="",C23=""),"",ROUND((G23-D23)/(D23-E23),2))</f>
        <v/>
      </c>
      <c r="J23" s="32" t="str">
        <f aca="false">IF(I23="","",ROUND(I23*$M$2*$M$3,2))</f>
        <v/>
      </c>
      <c r="K23" s="6"/>
      <c r="L23" s="26"/>
    </row>
    <row r="24" customFormat="false" ht="15" hidden="false" customHeight="false" outlineLevel="0" collapsed="false">
      <c r="A24" s="30"/>
      <c r="B24" s="6"/>
      <c r="C24" s="8" t="str">
        <f aca="false">IF(OR(D24="",E24="",D24=E24),"",IF(E24&lt;D24,"BUY","SELL"))</f>
        <v/>
      </c>
      <c r="D24" s="7"/>
      <c r="E24" s="7"/>
      <c r="F24" s="13" t="str">
        <f aca="false">IF(C24="","",D24+1.5*(D24-E24))</f>
        <v/>
      </c>
      <c r="G24" s="7"/>
      <c r="H24" s="8" t="str">
        <f aca="false">IF(I24="","",IF(I24&gt;0,"WIN",IF(I24&lt;0,"LOSS","BE")))</f>
        <v/>
      </c>
      <c r="I24" s="31" t="str">
        <f aca="false">IF(OR(G24="",C24=""),"",ROUND((G24-D24)/(D24-E24),2))</f>
        <v/>
      </c>
      <c r="J24" s="32" t="str">
        <f aca="false">IF(I24="","",ROUND(I24*$M$2*$M$3,2))</f>
        <v/>
      </c>
      <c r="K24" s="6"/>
      <c r="L24" s="26"/>
    </row>
    <row r="25" customFormat="false" ht="15" hidden="false" customHeight="false" outlineLevel="0" collapsed="false">
      <c r="A25" s="30"/>
      <c r="B25" s="6"/>
      <c r="C25" s="8" t="str">
        <f aca="false">IF(OR(D25="",E25="",D25=E25),"",IF(E25&lt;D25,"BUY","SELL"))</f>
        <v/>
      </c>
      <c r="D25" s="7"/>
      <c r="E25" s="7"/>
      <c r="F25" s="13" t="str">
        <f aca="false">IF(C25="","",D25+1.5*(D25-E25))</f>
        <v/>
      </c>
      <c r="G25" s="7"/>
      <c r="H25" s="8" t="str">
        <f aca="false">IF(I25="","",IF(I25&gt;0,"WIN",IF(I25&lt;0,"LOSS","BE")))</f>
        <v/>
      </c>
      <c r="I25" s="31" t="str">
        <f aca="false">IF(OR(G25="",C25=""),"",ROUND((G25-D25)/(D25-E25),2))</f>
        <v/>
      </c>
      <c r="J25" s="32" t="str">
        <f aca="false">IF(I25="","",ROUND(I25*$M$2*$M$3,2))</f>
        <v/>
      </c>
      <c r="K25" s="6"/>
      <c r="L25" s="26"/>
    </row>
    <row r="26" customFormat="false" ht="15" hidden="false" customHeight="false" outlineLevel="0" collapsed="false">
      <c r="A26" s="30"/>
      <c r="B26" s="6"/>
      <c r="C26" s="8" t="str">
        <f aca="false">IF(OR(D26="",E26="",D26=E26),"",IF(E26&lt;D26,"BUY","SELL"))</f>
        <v/>
      </c>
      <c r="D26" s="7"/>
      <c r="E26" s="7"/>
      <c r="F26" s="13" t="str">
        <f aca="false">IF(C26="","",D26+1.5*(D26-E26))</f>
        <v/>
      </c>
      <c r="G26" s="7"/>
      <c r="H26" s="8" t="str">
        <f aca="false">IF(I26="","",IF(I26&gt;0,"WIN",IF(I26&lt;0,"LOSS","BE")))</f>
        <v/>
      </c>
      <c r="I26" s="31" t="str">
        <f aca="false">IF(OR(G26="",C26=""),"",ROUND((G26-D26)/(D26-E26),2))</f>
        <v/>
      </c>
      <c r="J26" s="32" t="str">
        <f aca="false">IF(I26="","",ROUND(I26*$M$2*$M$3,2))</f>
        <v/>
      </c>
      <c r="K26" s="6"/>
      <c r="L26" s="26"/>
    </row>
    <row r="27" customFormat="false" ht="15" hidden="false" customHeight="false" outlineLevel="0" collapsed="false">
      <c r="A27" s="30"/>
      <c r="B27" s="6"/>
      <c r="C27" s="8" t="str">
        <f aca="false">IF(OR(D27="",E27="",D27=E27),"",IF(E27&lt;D27,"BUY","SELL"))</f>
        <v/>
      </c>
      <c r="D27" s="7"/>
      <c r="E27" s="7"/>
      <c r="F27" s="13" t="str">
        <f aca="false">IF(C27="","",D27+1.5*(D27-E27))</f>
        <v/>
      </c>
      <c r="G27" s="7"/>
      <c r="H27" s="8" t="str">
        <f aca="false">IF(I27="","",IF(I27&gt;0,"WIN",IF(I27&lt;0,"LOSS","BE")))</f>
        <v/>
      </c>
      <c r="I27" s="31" t="str">
        <f aca="false">IF(OR(G27="",C27=""),"",ROUND((G27-D27)/(D27-E27),2))</f>
        <v/>
      </c>
      <c r="J27" s="32" t="str">
        <f aca="false">IF(I27="","",ROUND(I27*$M$2*$M$3,2))</f>
        <v/>
      </c>
      <c r="K27" s="6"/>
      <c r="L27" s="26"/>
    </row>
    <row r="28" customFormat="false" ht="15" hidden="false" customHeight="false" outlineLevel="0" collapsed="false">
      <c r="A28" s="30"/>
      <c r="B28" s="6"/>
      <c r="C28" s="8" t="str">
        <f aca="false">IF(OR(D28="",E28="",D28=E28),"",IF(E28&lt;D28,"BUY","SELL"))</f>
        <v/>
      </c>
      <c r="D28" s="7"/>
      <c r="E28" s="7"/>
      <c r="F28" s="13" t="str">
        <f aca="false">IF(C28="","",D28+1.5*(D28-E28))</f>
        <v/>
      </c>
      <c r="G28" s="7"/>
      <c r="H28" s="8" t="str">
        <f aca="false">IF(I28="","",IF(I28&gt;0,"WIN",IF(I28&lt;0,"LOSS","BE")))</f>
        <v/>
      </c>
      <c r="I28" s="31" t="str">
        <f aca="false">IF(OR(G28="",C28=""),"",ROUND((G28-D28)/(D28-E28),2))</f>
        <v/>
      </c>
      <c r="J28" s="32" t="str">
        <f aca="false">IF(I28="","",ROUND(I28*$M$2*$M$3,2))</f>
        <v/>
      </c>
      <c r="K28" s="6"/>
      <c r="L28" s="26"/>
    </row>
    <row r="29" customFormat="false" ht="15" hidden="false" customHeight="false" outlineLevel="0" collapsed="false">
      <c r="A29" s="30"/>
      <c r="B29" s="6"/>
      <c r="C29" s="8" t="str">
        <f aca="false">IF(OR(D29="",E29="",D29=E29),"",IF(E29&lt;D29,"BUY","SELL"))</f>
        <v/>
      </c>
      <c r="D29" s="7"/>
      <c r="E29" s="7"/>
      <c r="F29" s="13" t="str">
        <f aca="false">IF(C29="","",D29+1.5*(D29-E29))</f>
        <v/>
      </c>
      <c r="G29" s="7"/>
      <c r="H29" s="8" t="str">
        <f aca="false">IF(I29="","",IF(I29&gt;0,"WIN",IF(I29&lt;0,"LOSS","BE")))</f>
        <v/>
      </c>
      <c r="I29" s="31" t="str">
        <f aca="false">IF(OR(G29="",C29=""),"",ROUND((G29-D29)/(D29-E29),2))</f>
        <v/>
      </c>
      <c r="J29" s="32" t="str">
        <f aca="false">IF(I29="","",ROUND(I29*$M$2*$M$3,2))</f>
        <v/>
      </c>
      <c r="K29" s="6"/>
      <c r="L29" s="26"/>
    </row>
    <row r="30" customFormat="false" ht="15" hidden="false" customHeight="false" outlineLevel="0" collapsed="false">
      <c r="A30" s="30"/>
      <c r="B30" s="6"/>
      <c r="C30" s="8" t="str">
        <f aca="false">IF(OR(D30="",E30="",D30=E30),"",IF(E30&lt;D30,"BUY","SELL"))</f>
        <v/>
      </c>
      <c r="D30" s="7"/>
      <c r="E30" s="7"/>
      <c r="F30" s="13" t="str">
        <f aca="false">IF(C30="","",D30+1.5*(D30-E30))</f>
        <v/>
      </c>
      <c r="G30" s="7"/>
      <c r="H30" s="8" t="str">
        <f aca="false">IF(I30="","",IF(I30&gt;0,"WIN",IF(I30&lt;0,"LOSS","BE")))</f>
        <v/>
      </c>
      <c r="I30" s="31" t="str">
        <f aca="false">IF(OR(G30="",C30=""),"",ROUND((G30-D30)/(D30-E30),2))</f>
        <v/>
      </c>
      <c r="J30" s="32" t="str">
        <f aca="false">IF(I30="","",ROUND(I30*$M$2*$M$3,2))</f>
        <v/>
      </c>
      <c r="K30" s="6"/>
      <c r="L30" s="26"/>
    </row>
    <row r="31" customFormat="false" ht="15" hidden="false" customHeight="false" outlineLevel="0" collapsed="false">
      <c r="A31" s="30"/>
      <c r="B31" s="6"/>
      <c r="C31" s="8" t="str">
        <f aca="false">IF(OR(D31="",E31="",D31=E31),"",IF(E31&lt;D31,"BUY","SELL"))</f>
        <v/>
      </c>
      <c r="D31" s="7"/>
      <c r="E31" s="7"/>
      <c r="F31" s="13" t="str">
        <f aca="false">IF(C31="","",D31+1.5*(D31-E31))</f>
        <v/>
      </c>
      <c r="G31" s="7"/>
      <c r="H31" s="8" t="str">
        <f aca="false">IF(I31="","",IF(I31&gt;0,"WIN",IF(I31&lt;0,"LOSS","BE")))</f>
        <v/>
      </c>
      <c r="I31" s="31" t="str">
        <f aca="false">IF(OR(G31="",C31=""),"",ROUND((G31-D31)/(D31-E31),2))</f>
        <v/>
      </c>
      <c r="J31" s="32" t="str">
        <f aca="false">IF(I31="","",ROUND(I31*$M$2*$M$3,2))</f>
        <v/>
      </c>
      <c r="K31" s="6"/>
      <c r="L31" s="26"/>
    </row>
    <row r="32" customFormat="false" ht="15" hidden="false" customHeight="false" outlineLevel="0" collapsed="false">
      <c r="A32" s="30"/>
      <c r="B32" s="6"/>
      <c r="C32" s="8" t="str">
        <f aca="false">IF(OR(D32="",E32="",D32=E32),"",IF(E32&lt;D32,"BUY","SELL"))</f>
        <v/>
      </c>
      <c r="D32" s="7"/>
      <c r="E32" s="7"/>
      <c r="F32" s="13" t="str">
        <f aca="false">IF(C32="","",D32+1.5*(D32-E32))</f>
        <v/>
      </c>
      <c r="G32" s="7"/>
      <c r="H32" s="8" t="str">
        <f aca="false">IF(I32="","",IF(I32&gt;0,"WIN",IF(I32&lt;0,"LOSS","BE")))</f>
        <v/>
      </c>
      <c r="I32" s="31" t="str">
        <f aca="false">IF(OR(G32="",C32=""),"",ROUND((G32-D32)/(D32-E32),2))</f>
        <v/>
      </c>
      <c r="J32" s="32" t="str">
        <f aca="false">IF(I32="","",ROUND(I32*$M$2*$M$3,2))</f>
        <v/>
      </c>
      <c r="K32" s="6"/>
      <c r="L32" s="26"/>
    </row>
    <row r="33" customFormat="false" ht="15" hidden="false" customHeight="false" outlineLevel="0" collapsed="false">
      <c r="A33" s="30"/>
      <c r="B33" s="6"/>
      <c r="C33" s="8" t="str">
        <f aca="false">IF(OR(D33="",E33="",D33=E33),"",IF(E33&lt;D33,"BUY","SELL"))</f>
        <v/>
      </c>
      <c r="D33" s="7"/>
      <c r="E33" s="7"/>
      <c r="F33" s="13" t="str">
        <f aca="false">IF(C33="","",D33+1.5*(D33-E33))</f>
        <v/>
      </c>
      <c r="G33" s="7"/>
      <c r="H33" s="8" t="str">
        <f aca="false">IF(I33="","",IF(I33&gt;0,"WIN",IF(I33&lt;0,"LOSS","BE")))</f>
        <v/>
      </c>
      <c r="I33" s="31" t="str">
        <f aca="false">IF(OR(G33="",C33=""),"",ROUND((G33-D33)/(D33-E33),2))</f>
        <v/>
      </c>
      <c r="J33" s="32" t="str">
        <f aca="false">IF(I33="","",ROUND(I33*$M$2*$M$3,2))</f>
        <v/>
      </c>
      <c r="K33" s="6"/>
      <c r="L33" s="26"/>
    </row>
    <row r="34" customFormat="false" ht="15" hidden="false" customHeight="false" outlineLevel="0" collapsed="false">
      <c r="A34" s="30"/>
      <c r="B34" s="6"/>
      <c r="C34" s="8" t="str">
        <f aca="false">IF(OR(D34="",E34="",D34=E34),"",IF(E34&lt;D34,"BUY","SELL"))</f>
        <v/>
      </c>
      <c r="D34" s="7"/>
      <c r="E34" s="7"/>
      <c r="F34" s="13" t="str">
        <f aca="false">IF(C34="","",D34+1.5*(D34-E34))</f>
        <v/>
      </c>
      <c r="G34" s="7"/>
      <c r="H34" s="8" t="str">
        <f aca="false">IF(I34="","",IF(I34&gt;0,"WIN",IF(I34&lt;0,"LOSS","BE")))</f>
        <v/>
      </c>
      <c r="I34" s="31" t="str">
        <f aca="false">IF(OR(G34="",C34=""),"",ROUND((G34-D34)/(D34-E34),2))</f>
        <v/>
      </c>
      <c r="J34" s="32" t="str">
        <f aca="false">IF(I34="","",ROUND(I34*$M$2*$M$3,2))</f>
        <v/>
      </c>
      <c r="K34" s="6"/>
      <c r="L34" s="26"/>
    </row>
    <row r="35" customFormat="false" ht="15" hidden="false" customHeight="false" outlineLevel="0" collapsed="false">
      <c r="A35" s="30"/>
      <c r="B35" s="6"/>
      <c r="C35" s="8" t="str">
        <f aca="false">IF(OR(D35="",E35="",D35=E35),"",IF(E35&lt;D35,"BUY","SELL"))</f>
        <v/>
      </c>
      <c r="D35" s="7"/>
      <c r="E35" s="7"/>
      <c r="F35" s="13" t="str">
        <f aca="false">IF(C35="","",D35+1.5*(D35-E35))</f>
        <v/>
      </c>
      <c r="G35" s="7"/>
      <c r="H35" s="8" t="str">
        <f aca="false">IF(I35="","",IF(I35&gt;0,"WIN",IF(I35&lt;0,"LOSS","BE")))</f>
        <v/>
      </c>
      <c r="I35" s="31" t="str">
        <f aca="false">IF(OR(G35="",C35=""),"",ROUND((G35-D35)/(D35-E35),2))</f>
        <v/>
      </c>
      <c r="J35" s="32" t="str">
        <f aca="false">IF(I35="","",ROUND(I35*$M$2*$M$3,2))</f>
        <v/>
      </c>
      <c r="K35" s="6"/>
      <c r="L35" s="26"/>
    </row>
    <row r="36" customFormat="false" ht="15" hidden="false" customHeight="false" outlineLevel="0" collapsed="false">
      <c r="A36" s="30"/>
      <c r="B36" s="6"/>
      <c r="C36" s="8" t="str">
        <f aca="false">IF(OR(D36="",E36="",D36=E36),"",IF(E36&lt;D36,"BUY","SELL"))</f>
        <v/>
      </c>
      <c r="D36" s="7"/>
      <c r="E36" s="7"/>
      <c r="F36" s="13" t="str">
        <f aca="false">IF(C36="","",D36+1.5*(D36-E36))</f>
        <v/>
      </c>
      <c r="G36" s="7"/>
      <c r="H36" s="8" t="str">
        <f aca="false">IF(I36="","",IF(I36&gt;0,"WIN",IF(I36&lt;0,"LOSS","BE")))</f>
        <v/>
      </c>
      <c r="I36" s="31" t="str">
        <f aca="false">IF(OR(G36="",C36=""),"",ROUND((G36-D36)/(D36-E36),2))</f>
        <v/>
      </c>
      <c r="J36" s="32" t="str">
        <f aca="false">IF(I36="","",ROUND(I36*$M$2*$M$3,2))</f>
        <v/>
      </c>
      <c r="K36" s="6"/>
      <c r="L36" s="26"/>
    </row>
    <row r="37" customFormat="false" ht="15" hidden="false" customHeight="false" outlineLevel="0" collapsed="false">
      <c r="A37" s="30"/>
      <c r="B37" s="6"/>
      <c r="C37" s="8" t="str">
        <f aca="false">IF(OR(D37="",E37="",D37=E37),"",IF(E37&lt;D37,"BUY","SELL"))</f>
        <v/>
      </c>
      <c r="D37" s="7"/>
      <c r="E37" s="7"/>
      <c r="F37" s="13" t="str">
        <f aca="false">IF(C37="","",D37+1.5*(D37-E37))</f>
        <v/>
      </c>
      <c r="G37" s="7"/>
      <c r="H37" s="8" t="str">
        <f aca="false">IF(I37="","",IF(I37&gt;0,"WIN",IF(I37&lt;0,"LOSS","BE")))</f>
        <v/>
      </c>
      <c r="I37" s="31" t="str">
        <f aca="false">IF(OR(G37="",C37=""),"",ROUND((G37-D37)/(D37-E37),2))</f>
        <v/>
      </c>
      <c r="J37" s="32" t="str">
        <f aca="false">IF(I37="","",ROUND(I37*$M$2*$M$3,2))</f>
        <v/>
      </c>
      <c r="K37" s="6"/>
      <c r="L37" s="26"/>
    </row>
    <row r="38" customFormat="false" ht="15" hidden="false" customHeight="false" outlineLevel="0" collapsed="false">
      <c r="A38" s="30"/>
      <c r="B38" s="6"/>
      <c r="C38" s="8" t="str">
        <f aca="false">IF(OR(D38="",E38="",D38=E38),"",IF(E38&lt;D38,"BUY","SELL"))</f>
        <v/>
      </c>
      <c r="D38" s="7"/>
      <c r="E38" s="7"/>
      <c r="F38" s="13" t="str">
        <f aca="false">IF(C38="","",D38+1.5*(D38-E38))</f>
        <v/>
      </c>
      <c r="G38" s="7"/>
      <c r="H38" s="8" t="str">
        <f aca="false">IF(I38="","",IF(I38&gt;0,"WIN",IF(I38&lt;0,"LOSS","BE")))</f>
        <v/>
      </c>
      <c r="I38" s="31" t="str">
        <f aca="false">IF(OR(G38="",C38=""),"",ROUND((G38-D38)/(D38-E38),2))</f>
        <v/>
      </c>
      <c r="J38" s="32" t="str">
        <f aca="false">IF(I38="","",ROUND(I38*$M$2*$M$3,2))</f>
        <v/>
      </c>
      <c r="K38" s="6"/>
      <c r="L38" s="26"/>
    </row>
    <row r="39" customFormat="false" ht="15" hidden="false" customHeight="false" outlineLevel="0" collapsed="false">
      <c r="A39" s="30"/>
      <c r="B39" s="6"/>
      <c r="C39" s="8" t="str">
        <f aca="false">IF(OR(D39="",E39="",D39=E39),"",IF(E39&lt;D39,"BUY","SELL"))</f>
        <v/>
      </c>
      <c r="D39" s="7"/>
      <c r="E39" s="7"/>
      <c r="F39" s="13" t="str">
        <f aca="false">IF(C39="","",D39+1.5*(D39-E39))</f>
        <v/>
      </c>
      <c r="G39" s="7"/>
      <c r="H39" s="8" t="str">
        <f aca="false">IF(I39="","",IF(I39&gt;0,"WIN",IF(I39&lt;0,"LOSS","BE")))</f>
        <v/>
      </c>
      <c r="I39" s="31" t="str">
        <f aca="false">IF(OR(G39="",C39=""),"",ROUND((G39-D39)/(D39-E39),2))</f>
        <v/>
      </c>
      <c r="J39" s="32" t="str">
        <f aca="false">IF(I39="","",ROUND(I39*$M$2*$M$3,2))</f>
        <v/>
      </c>
      <c r="K39" s="6"/>
      <c r="L39" s="26"/>
    </row>
    <row r="40" customFormat="false" ht="15" hidden="false" customHeight="false" outlineLevel="0" collapsed="false">
      <c r="A40" s="30"/>
      <c r="B40" s="6"/>
      <c r="C40" s="8" t="str">
        <f aca="false">IF(OR(D40="",E40="",D40=E40),"",IF(E40&lt;D40,"BUY","SELL"))</f>
        <v/>
      </c>
      <c r="D40" s="7"/>
      <c r="E40" s="7"/>
      <c r="F40" s="13" t="str">
        <f aca="false">IF(C40="","",D40+1.5*(D40-E40))</f>
        <v/>
      </c>
      <c r="G40" s="7"/>
      <c r="H40" s="8" t="str">
        <f aca="false">IF(I40="","",IF(I40&gt;0,"WIN",IF(I40&lt;0,"LOSS","BE")))</f>
        <v/>
      </c>
      <c r="I40" s="31" t="str">
        <f aca="false">IF(OR(G40="",C40=""),"",ROUND((G40-D40)/(D40-E40),2))</f>
        <v/>
      </c>
      <c r="J40" s="32" t="str">
        <f aca="false">IF(I40="","",ROUND(I40*$M$2*$M$3,2))</f>
        <v/>
      </c>
      <c r="K40" s="6"/>
      <c r="L40" s="26"/>
    </row>
    <row r="41" customFormat="false" ht="15" hidden="false" customHeight="false" outlineLevel="0" collapsed="false">
      <c r="A41" s="30"/>
      <c r="B41" s="6"/>
      <c r="C41" s="8" t="str">
        <f aca="false">IF(OR(D41="",E41="",D41=E41),"",IF(E41&lt;D41,"BUY","SELL"))</f>
        <v/>
      </c>
      <c r="D41" s="7"/>
      <c r="E41" s="7"/>
      <c r="F41" s="13" t="str">
        <f aca="false">IF(C41="","",D41+1.5*(D41-E41))</f>
        <v/>
      </c>
      <c r="G41" s="7"/>
      <c r="H41" s="8" t="str">
        <f aca="false">IF(I41="","",IF(I41&gt;0,"WIN",IF(I41&lt;0,"LOSS","BE")))</f>
        <v/>
      </c>
      <c r="I41" s="31" t="str">
        <f aca="false">IF(OR(G41="",C41=""),"",ROUND((G41-D41)/(D41-E41),2))</f>
        <v/>
      </c>
      <c r="J41" s="32" t="str">
        <f aca="false">IF(I41="","",ROUND(I41*$M$2*$M$3,2))</f>
        <v/>
      </c>
      <c r="K41" s="6"/>
      <c r="L41" s="26"/>
    </row>
    <row r="42" customFormat="false" ht="15" hidden="false" customHeight="false" outlineLevel="0" collapsed="false">
      <c r="A42" s="30"/>
      <c r="B42" s="6"/>
      <c r="C42" s="8" t="str">
        <f aca="false">IF(OR(D42="",E42="",D42=E42),"",IF(E42&lt;D42,"BUY","SELL"))</f>
        <v/>
      </c>
      <c r="D42" s="7"/>
      <c r="E42" s="7"/>
      <c r="F42" s="13" t="str">
        <f aca="false">IF(C42="","",D42+1.5*(D42-E42))</f>
        <v/>
      </c>
      <c r="G42" s="7"/>
      <c r="H42" s="8" t="str">
        <f aca="false">IF(I42="","",IF(I42&gt;0,"WIN",IF(I42&lt;0,"LOSS","BE")))</f>
        <v/>
      </c>
      <c r="I42" s="31" t="str">
        <f aca="false">IF(OR(G42="",C42=""),"",ROUND((G42-D42)/(D42-E42),2))</f>
        <v/>
      </c>
      <c r="J42" s="32" t="str">
        <f aca="false">IF(I42="","",ROUND(I42*$M$2*$M$3,2))</f>
        <v/>
      </c>
      <c r="K42" s="6"/>
      <c r="L42" s="26"/>
    </row>
    <row r="43" customFormat="false" ht="15" hidden="false" customHeight="false" outlineLevel="0" collapsed="false">
      <c r="A43" s="30"/>
      <c r="B43" s="6"/>
      <c r="C43" s="8" t="str">
        <f aca="false">IF(OR(D43="",E43="",D43=E43),"",IF(E43&lt;D43,"BUY","SELL"))</f>
        <v/>
      </c>
      <c r="D43" s="7"/>
      <c r="E43" s="7"/>
      <c r="F43" s="13" t="str">
        <f aca="false">IF(C43="","",D43+1.5*(D43-E43))</f>
        <v/>
      </c>
      <c r="G43" s="7"/>
      <c r="H43" s="8" t="str">
        <f aca="false">IF(I43="","",IF(I43&gt;0,"WIN",IF(I43&lt;0,"LOSS","BE")))</f>
        <v/>
      </c>
      <c r="I43" s="31" t="str">
        <f aca="false">IF(OR(G43="",C43=""),"",ROUND((G43-D43)/(D43-E43),2))</f>
        <v/>
      </c>
      <c r="J43" s="32" t="str">
        <f aca="false">IF(I43="","",ROUND(I43*$M$2*$M$3,2))</f>
        <v/>
      </c>
      <c r="K43" s="6"/>
      <c r="L43" s="26"/>
    </row>
    <row r="44" customFormat="false" ht="15" hidden="false" customHeight="false" outlineLevel="0" collapsed="false">
      <c r="A44" s="30"/>
      <c r="B44" s="6"/>
      <c r="C44" s="8" t="str">
        <f aca="false">IF(OR(D44="",E44="",D44=E44),"",IF(E44&lt;D44,"BUY","SELL"))</f>
        <v/>
      </c>
      <c r="D44" s="7"/>
      <c r="E44" s="7"/>
      <c r="F44" s="13" t="str">
        <f aca="false">IF(C44="","",D44+1.5*(D44-E44))</f>
        <v/>
      </c>
      <c r="G44" s="7"/>
      <c r="H44" s="8" t="str">
        <f aca="false">IF(I44="","",IF(I44&gt;0,"WIN",IF(I44&lt;0,"LOSS","BE")))</f>
        <v/>
      </c>
      <c r="I44" s="31" t="str">
        <f aca="false">IF(OR(G44="",C44=""),"",ROUND((G44-D44)/(D44-E44),2))</f>
        <v/>
      </c>
      <c r="J44" s="32" t="str">
        <f aca="false">IF(I44="","",ROUND(I44*$M$2*$M$3,2))</f>
        <v/>
      </c>
      <c r="K44" s="6"/>
      <c r="L44" s="26"/>
    </row>
    <row r="45" customFormat="false" ht="15" hidden="false" customHeight="false" outlineLevel="0" collapsed="false">
      <c r="A45" s="30"/>
      <c r="B45" s="6"/>
      <c r="C45" s="8" t="str">
        <f aca="false">IF(OR(D45="",E45="",D45=E45),"",IF(E45&lt;D45,"BUY","SELL"))</f>
        <v/>
      </c>
      <c r="D45" s="7"/>
      <c r="E45" s="7"/>
      <c r="F45" s="13" t="str">
        <f aca="false">IF(C45="","",D45+1.5*(D45-E45))</f>
        <v/>
      </c>
      <c r="G45" s="7"/>
      <c r="H45" s="8" t="str">
        <f aca="false">IF(I45="","",IF(I45&gt;0,"WIN",IF(I45&lt;0,"LOSS","BE")))</f>
        <v/>
      </c>
      <c r="I45" s="31" t="str">
        <f aca="false">IF(OR(G45="",C45=""),"",ROUND((G45-D45)/(D45-E45),2))</f>
        <v/>
      </c>
      <c r="J45" s="32" t="str">
        <f aca="false">IF(I45="","",ROUND(I45*$M$2*$M$3,2))</f>
        <v/>
      </c>
      <c r="K45" s="6"/>
      <c r="L45" s="26"/>
    </row>
    <row r="46" customFormat="false" ht="15" hidden="false" customHeight="false" outlineLevel="0" collapsed="false">
      <c r="A46" s="30"/>
      <c r="B46" s="6"/>
      <c r="C46" s="8" t="str">
        <f aca="false">IF(OR(D46="",E46="",D46=E46),"",IF(E46&lt;D46,"BUY","SELL"))</f>
        <v/>
      </c>
      <c r="D46" s="7"/>
      <c r="E46" s="7"/>
      <c r="F46" s="13" t="str">
        <f aca="false">IF(C46="","",D46+1.5*(D46-E46))</f>
        <v/>
      </c>
      <c r="G46" s="7"/>
      <c r="H46" s="8" t="str">
        <f aca="false">IF(I46="","",IF(I46&gt;0,"WIN",IF(I46&lt;0,"LOSS","BE")))</f>
        <v/>
      </c>
      <c r="I46" s="31" t="str">
        <f aca="false">IF(OR(G46="",C46=""),"",ROUND((G46-D46)/(D46-E46),2))</f>
        <v/>
      </c>
      <c r="J46" s="32" t="str">
        <f aca="false">IF(I46="","",ROUND(I46*$M$2*$M$3,2))</f>
        <v/>
      </c>
      <c r="K46" s="6"/>
      <c r="L46" s="26"/>
    </row>
    <row r="47" customFormat="false" ht="15" hidden="false" customHeight="false" outlineLevel="0" collapsed="false">
      <c r="A47" s="30"/>
      <c r="B47" s="6"/>
      <c r="C47" s="8" t="str">
        <f aca="false">IF(OR(D47="",E47="",D47=E47),"",IF(E47&lt;D47,"BUY","SELL"))</f>
        <v/>
      </c>
      <c r="D47" s="7"/>
      <c r="E47" s="7"/>
      <c r="F47" s="13" t="str">
        <f aca="false">IF(C47="","",D47+1.5*(D47-E47))</f>
        <v/>
      </c>
      <c r="G47" s="7"/>
      <c r="H47" s="8" t="str">
        <f aca="false">IF(I47="","",IF(I47&gt;0,"WIN",IF(I47&lt;0,"LOSS","BE")))</f>
        <v/>
      </c>
      <c r="I47" s="31" t="str">
        <f aca="false">IF(OR(G47="",C47=""),"",ROUND((G47-D47)/(D47-E47),2))</f>
        <v/>
      </c>
      <c r="J47" s="32" t="str">
        <f aca="false">IF(I47="","",ROUND(I47*$M$2*$M$3,2))</f>
        <v/>
      </c>
      <c r="K47" s="6"/>
      <c r="L47" s="26"/>
    </row>
    <row r="48" customFormat="false" ht="15" hidden="false" customHeight="false" outlineLevel="0" collapsed="false">
      <c r="A48" s="30"/>
      <c r="B48" s="6"/>
      <c r="C48" s="8" t="str">
        <f aca="false">IF(OR(D48="",E48="",D48=E48),"",IF(E48&lt;D48,"BUY","SELL"))</f>
        <v/>
      </c>
      <c r="D48" s="7"/>
      <c r="E48" s="7"/>
      <c r="F48" s="13" t="str">
        <f aca="false">IF(C48="","",D48+1.5*(D48-E48))</f>
        <v/>
      </c>
      <c r="G48" s="7"/>
      <c r="H48" s="8" t="str">
        <f aca="false">IF(I48="","",IF(I48&gt;0,"WIN",IF(I48&lt;0,"LOSS","BE")))</f>
        <v/>
      </c>
      <c r="I48" s="31" t="str">
        <f aca="false">IF(OR(G48="",C48=""),"",ROUND((G48-D48)/(D48-E48),2))</f>
        <v/>
      </c>
      <c r="J48" s="32" t="str">
        <f aca="false">IF(I48="","",ROUND(I48*$M$2*$M$3,2))</f>
        <v/>
      </c>
      <c r="K48" s="6"/>
      <c r="L48" s="26"/>
    </row>
    <row r="49" customFormat="false" ht="15" hidden="false" customHeight="false" outlineLevel="0" collapsed="false">
      <c r="A49" s="30"/>
      <c r="B49" s="6"/>
      <c r="C49" s="8" t="str">
        <f aca="false">IF(OR(D49="",E49="",D49=E49),"",IF(E49&lt;D49,"BUY","SELL"))</f>
        <v/>
      </c>
      <c r="D49" s="7"/>
      <c r="E49" s="7"/>
      <c r="F49" s="13" t="str">
        <f aca="false">IF(C49="","",D49+1.5*(D49-E49))</f>
        <v/>
      </c>
      <c r="G49" s="7"/>
      <c r="H49" s="8" t="str">
        <f aca="false">IF(I49="","",IF(I49&gt;0,"WIN",IF(I49&lt;0,"LOSS","BE")))</f>
        <v/>
      </c>
      <c r="I49" s="31" t="str">
        <f aca="false">IF(OR(G49="",C49=""),"",ROUND((G49-D49)/(D49-E49),2))</f>
        <v/>
      </c>
      <c r="J49" s="32" t="str">
        <f aca="false">IF(I49="","",ROUND(I49*$M$2*$M$3,2))</f>
        <v/>
      </c>
      <c r="K49" s="6"/>
      <c r="L49" s="26"/>
    </row>
    <row r="50" customFormat="false" ht="15" hidden="false" customHeight="false" outlineLevel="0" collapsed="false">
      <c r="A50" s="30"/>
      <c r="B50" s="6"/>
      <c r="C50" s="8" t="str">
        <f aca="false">IF(OR(D50="",E50="",D50=E50),"",IF(E50&lt;D50,"BUY","SELL"))</f>
        <v/>
      </c>
      <c r="D50" s="7"/>
      <c r="E50" s="7"/>
      <c r="F50" s="13" t="str">
        <f aca="false">IF(C50="","",D50+1.5*(D50-E50))</f>
        <v/>
      </c>
      <c r="G50" s="7"/>
      <c r="H50" s="8" t="str">
        <f aca="false">IF(I50="","",IF(I50&gt;0,"WIN",IF(I50&lt;0,"LOSS","BE")))</f>
        <v/>
      </c>
      <c r="I50" s="31" t="str">
        <f aca="false">IF(OR(G50="",C50=""),"",ROUND((G50-D50)/(D50-E50),2))</f>
        <v/>
      </c>
      <c r="J50" s="32" t="str">
        <f aca="false">IF(I50="","",ROUND(I50*$M$2*$M$3,2))</f>
        <v/>
      </c>
      <c r="K50" s="6"/>
      <c r="L50" s="26"/>
    </row>
    <row r="51" customFormat="false" ht="15" hidden="false" customHeight="false" outlineLevel="0" collapsed="false">
      <c r="A51" s="30"/>
      <c r="B51" s="6"/>
      <c r="C51" s="8" t="str">
        <f aca="false">IF(OR(D51="",E51="",D51=E51),"",IF(E51&lt;D51,"BUY","SELL"))</f>
        <v/>
      </c>
      <c r="D51" s="7"/>
      <c r="E51" s="7"/>
      <c r="F51" s="13" t="str">
        <f aca="false">IF(C51="","",D51+1.5*(D51-E51))</f>
        <v/>
      </c>
      <c r="G51" s="7"/>
      <c r="H51" s="8" t="str">
        <f aca="false">IF(I51="","",IF(I51&gt;0,"WIN",IF(I51&lt;0,"LOSS","BE")))</f>
        <v/>
      </c>
      <c r="I51" s="31" t="str">
        <f aca="false">IF(OR(G51="",C51=""),"",ROUND((G51-D51)/(D51-E51),2))</f>
        <v/>
      </c>
      <c r="J51" s="32" t="str">
        <f aca="false">IF(I51="","",ROUND(I51*$M$2*$M$3,2))</f>
        <v/>
      </c>
      <c r="K51" s="6"/>
      <c r="L51" s="26"/>
    </row>
    <row r="52" customFormat="false" ht="15" hidden="false" customHeight="false" outlineLevel="0" collapsed="false">
      <c r="A52" s="30"/>
      <c r="B52" s="6"/>
      <c r="C52" s="8" t="str">
        <f aca="false">IF(OR(D52="",E52="",D52=E52),"",IF(E52&lt;D52,"BUY","SELL"))</f>
        <v/>
      </c>
      <c r="D52" s="7"/>
      <c r="E52" s="7"/>
      <c r="F52" s="13" t="str">
        <f aca="false">IF(C52="","",D52+1.5*(D52-E52))</f>
        <v/>
      </c>
      <c r="G52" s="7"/>
      <c r="H52" s="8" t="str">
        <f aca="false">IF(I52="","",IF(I52&gt;0,"WIN",IF(I52&lt;0,"LOSS","BE")))</f>
        <v/>
      </c>
      <c r="I52" s="31" t="str">
        <f aca="false">IF(OR(G52="",C52=""),"",ROUND((G52-D52)/(D52-E52),2))</f>
        <v/>
      </c>
      <c r="J52" s="32" t="str">
        <f aca="false">IF(I52="","",ROUND(I52*$M$2*$M$3,2))</f>
        <v/>
      </c>
      <c r="K52" s="6"/>
      <c r="L52" s="26"/>
    </row>
    <row r="53" customFormat="false" ht="15" hidden="false" customHeight="false" outlineLevel="0" collapsed="false">
      <c r="A53" s="30"/>
      <c r="B53" s="6"/>
      <c r="C53" s="8" t="str">
        <f aca="false">IF(OR(D53="",E53="",D53=E53),"",IF(E53&lt;D53,"BUY","SELL"))</f>
        <v/>
      </c>
      <c r="D53" s="7"/>
      <c r="E53" s="7"/>
      <c r="F53" s="13" t="str">
        <f aca="false">IF(C53="","",D53+1.5*(D53-E53))</f>
        <v/>
      </c>
      <c r="G53" s="7"/>
      <c r="H53" s="8" t="str">
        <f aca="false">IF(I53="","",IF(I53&gt;0,"WIN",IF(I53&lt;0,"LOSS","BE")))</f>
        <v/>
      </c>
      <c r="I53" s="31" t="str">
        <f aca="false">IF(OR(G53="",C53=""),"",ROUND((G53-D53)/(D53-E53),2))</f>
        <v/>
      </c>
      <c r="J53" s="32" t="str">
        <f aca="false">IF(I53="","",ROUND(I53*$M$2*$M$3,2))</f>
        <v/>
      </c>
      <c r="K53" s="6"/>
      <c r="L53" s="26"/>
    </row>
    <row r="54" customFormat="false" ht="15" hidden="false" customHeight="false" outlineLevel="0" collapsed="false">
      <c r="A54" s="30"/>
      <c r="B54" s="6"/>
      <c r="C54" s="8" t="str">
        <f aca="false">IF(OR(D54="",E54="",D54=E54),"",IF(E54&lt;D54,"BUY","SELL"))</f>
        <v/>
      </c>
      <c r="D54" s="7"/>
      <c r="E54" s="7"/>
      <c r="F54" s="13" t="str">
        <f aca="false">IF(C54="","",D54+1.5*(D54-E54))</f>
        <v/>
      </c>
      <c r="G54" s="7"/>
      <c r="H54" s="8" t="str">
        <f aca="false">IF(I54="","",IF(I54&gt;0,"WIN",IF(I54&lt;0,"LOSS","BE")))</f>
        <v/>
      </c>
      <c r="I54" s="31" t="str">
        <f aca="false">IF(OR(G54="",C54=""),"",ROUND((G54-D54)/(D54-E54),2))</f>
        <v/>
      </c>
      <c r="J54" s="32" t="str">
        <f aca="false">IF(I54="","",ROUND(I54*$M$2*$M$3,2))</f>
        <v/>
      </c>
      <c r="K54" s="6"/>
      <c r="L54" s="26"/>
    </row>
    <row r="55" customFormat="false" ht="15" hidden="false" customHeight="false" outlineLevel="0" collapsed="false">
      <c r="A55" s="30"/>
      <c r="B55" s="6"/>
      <c r="C55" s="8" t="str">
        <f aca="false">IF(OR(D55="",E55="",D55=E55),"",IF(E55&lt;D55,"BUY","SELL"))</f>
        <v/>
      </c>
      <c r="D55" s="7"/>
      <c r="E55" s="7"/>
      <c r="F55" s="13" t="str">
        <f aca="false">IF(C55="","",D55+1.5*(D55-E55))</f>
        <v/>
      </c>
      <c r="G55" s="7"/>
      <c r="H55" s="8" t="str">
        <f aca="false">IF(I55="","",IF(I55&gt;0,"WIN",IF(I55&lt;0,"LOSS","BE")))</f>
        <v/>
      </c>
      <c r="I55" s="31" t="str">
        <f aca="false">IF(OR(G55="",C55=""),"",ROUND((G55-D55)/(D55-E55),2))</f>
        <v/>
      </c>
      <c r="J55" s="32" t="str">
        <f aca="false">IF(I55="","",ROUND(I55*$M$2*$M$3,2))</f>
        <v/>
      </c>
      <c r="K55" s="6"/>
      <c r="L55" s="26"/>
    </row>
    <row r="56" customFormat="false" ht="15" hidden="false" customHeight="false" outlineLevel="0" collapsed="false">
      <c r="A56" s="30"/>
      <c r="B56" s="6"/>
      <c r="C56" s="8" t="str">
        <f aca="false">IF(OR(D56="",E56="",D56=E56),"",IF(E56&lt;D56,"BUY","SELL"))</f>
        <v/>
      </c>
      <c r="D56" s="7"/>
      <c r="E56" s="7"/>
      <c r="F56" s="13" t="str">
        <f aca="false">IF(C56="","",D56+1.5*(D56-E56))</f>
        <v/>
      </c>
      <c r="G56" s="7"/>
      <c r="H56" s="8" t="str">
        <f aca="false">IF(I56="","",IF(I56&gt;0,"WIN",IF(I56&lt;0,"LOSS","BE")))</f>
        <v/>
      </c>
      <c r="I56" s="31" t="str">
        <f aca="false">IF(OR(G56="",C56=""),"",ROUND((G56-D56)/(D56-E56),2))</f>
        <v/>
      </c>
      <c r="J56" s="32" t="str">
        <f aca="false">IF(I56="","",ROUND(I56*$M$2*$M$3,2))</f>
        <v/>
      </c>
      <c r="K56" s="6"/>
      <c r="L56" s="26"/>
    </row>
    <row r="57" customFormat="false" ht="15" hidden="false" customHeight="false" outlineLevel="0" collapsed="false">
      <c r="A57" s="30"/>
      <c r="B57" s="6"/>
      <c r="C57" s="8" t="str">
        <f aca="false">IF(OR(D57="",E57="",D57=E57),"",IF(E57&lt;D57,"BUY","SELL"))</f>
        <v/>
      </c>
      <c r="D57" s="7"/>
      <c r="E57" s="7"/>
      <c r="F57" s="13" t="str">
        <f aca="false">IF(C57="","",D57+1.5*(D57-E57))</f>
        <v/>
      </c>
      <c r="G57" s="7"/>
      <c r="H57" s="8" t="str">
        <f aca="false">IF(I57="","",IF(I57&gt;0,"WIN",IF(I57&lt;0,"LOSS","BE")))</f>
        <v/>
      </c>
      <c r="I57" s="31" t="str">
        <f aca="false">IF(OR(G57="",C57=""),"",ROUND((G57-D57)/(D57-E57),2))</f>
        <v/>
      </c>
      <c r="J57" s="32" t="str">
        <f aca="false">IF(I57="","",ROUND(I57*$M$2*$M$3,2))</f>
        <v/>
      </c>
      <c r="K57" s="6"/>
      <c r="L57" s="26"/>
    </row>
    <row r="58" customFormat="false" ht="15" hidden="false" customHeight="false" outlineLevel="0" collapsed="false">
      <c r="A58" s="30"/>
      <c r="B58" s="6"/>
      <c r="C58" s="8" t="str">
        <f aca="false">IF(OR(D58="",E58="",D58=E58),"",IF(E58&lt;D58,"BUY","SELL"))</f>
        <v/>
      </c>
      <c r="D58" s="7"/>
      <c r="E58" s="7"/>
      <c r="F58" s="13" t="str">
        <f aca="false">IF(C58="","",D58+1.5*(D58-E58))</f>
        <v/>
      </c>
      <c r="G58" s="7"/>
      <c r="H58" s="8" t="str">
        <f aca="false">IF(I58="","",IF(I58&gt;0,"WIN",IF(I58&lt;0,"LOSS","BE")))</f>
        <v/>
      </c>
      <c r="I58" s="31" t="str">
        <f aca="false">IF(OR(G58="",C58=""),"",ROUND((G58-D58)/(D58-E58),2))</f>
        <v/>
      </c>
      <c r="J58" s="32" t="str">
        <f aca="false">IF(I58="","",ROUND(I58*$M$2*$M$3,2))</f>
        <v/>
      </c>
      <c r="K58" s="6"/>
      <c r="L58" s="26"/>
    </row>
    <row r="59" customFormat="false" ht="15" hidden="false" customHeight="false" outlineLevel="0" collapsed="false">
      <c r="A59" s="30"/>
      <c r="B59" s="6"/>
      <c r="C59" s="8" t="str">
        <f aca="false">IF(OR(D59="",E59="",D59=E59),"",IF(E59&lt;D59,"BUY","SELL"))</f>
        <v/>
      </c>
      <c r="D59" s="7"/>
      <c r="E59" s="7"/>
      <c r="F59" s="13" t="str">
        <f aca="false">IF(C59="","",D59+1.5*(D59-E59))</f>
        <v/>
      </c>
      <c r="G59" s="7"/>
      <c r="H59" s="8" t="str">
        <f aca="false">IF(I59="","",IF(I59&gt;0,"WIN",IF(I59&lt;0,"LOSS","BE")))</f>
        <v/>
      </c>
      <c r="I59" s="31" t="str">
        <f aca="false">IF(OR(G59="",C59=""),"",ROUND((G59-D59)/(D59-E59),2))</f>
        <v/>
      </c>
      <c r="J59" s="32" t="str">
        <f aca="false">IF(I59="","",ROUND(I59*$M$2*$M$3,2))</f>
        <v/>
      </c>
      <c r="K59" s="6"/>
      <c r="L59" s="26"/>
    </row>
    <row r="60" customFormat="false" ht="15" hidden="false" customHeight="false" outlineLevel="0" collapsed="false">
      <c r="A60" s="30"/>
      <c r="B60" s="6"/>
      <c r="C60" s="8" t="str">
        <f aca="false">IF(OR(D60="",E60="",D60=E60),"",IF(E60&lt;D60,"BUY","SELL"))</f>
        <v/>
      </c>
      <c r="D60" s="7"/>
      <c r="E60" s="7"/>
      <c r="F60" s="13" t="str">
        <f aca="false">IF(C60="","",D60+1.5*(D60-E60))</f>
        <v/>
      </c>
      <c r="G60" s="7"/>
      <c r="H60" s="8" t="str">
        <f aca="false">IF(I60="","",IF(I60&gt;0,"WIN",IF(I60&lt;0,"LOSS","BE")))</f>
        <v/>
      </c>
      <c r="I60" s="31" t="str">
        <f aca="false">IF(OR(G60="",C60=""),"",ROUND((G60-D60)/(D60-E60),2))</f>
        <v/>
      </c>
      <c r="J60" s="32" t="str">
        <f aca="false">IF(I60="","",ROUND(I60*$M$2*$M$3,2))</f>
        <v/>
      </c>
      <c r="K60" s="6"/>
      <c r="L60" s="26"/>
    </row>
    <row r="61" customFormat="false" ht="15" hidden="false" customHeight="false" outlineLevel="0" collapsed="false">
      <c r="A61" s="30"/>
      <c r="B61" s="6"/>
      <c r="C61" s="8" t="str">
        <f aca="false">IF(OR(D61="",E61="",D61=E61),"",IF(E61&lt;D61,"BUY","SELL"))</f>
        <v/>
      </c>
      <c r="D61" s="7"/>
      <c r="E61" s="7"/>
      <c r="F61" s="13" t="str">
        <f aca="false">IF(C61="","",D61+1.5*(D61-E61))</f>
        <v/>
      </c>
      <c r="G61" s="7"/>
      <c r="H61" s="8" t="str">
        <f aca="false">IF(I61="","",IF(I61&gt;0,"WIN",IF(I61&lt;0,"LOSS","BE")))</f>
        <v/>
      </c>
      <c r="I61" s="31" t="str">
        <f aca="false">IF(OR(G61="",C61=""),"",ROUND((G61-D61)/(D61-E61),2))</f>
        <v/>
      </c>
      <c r="J61" s="32" t="str">
        <f aca="false">IF(I61="","",ROUND(I61*$M$2*$M$3,2))</f>
        <v/>
      </c>
      <c r="K61" s="6"/>
      <c r="L61" s="26"/>
    </row>
    <row r="62" customFormat="false" ht="15" hidden="false" customHeight="false" outlineLevel="0" collapsed="false">
      <c r="A62" s="30"/>
      <c r="B62" s="6"/>
      <c r="C62" s="8" t="str">
        <f aca="false">IF(OR(D62="",E62="",D62=E62),"",IF(E62&lt;D62,"BUY","SELL"))</f>
        <v/>
      </c>
      <c r="D62" s="7"/>
      <c r="E62" s="7"/>
      <c r="F62" s="13" t="str">
        <f aca="false">IF(C62="","",D62+1.5*(D62-E62))</f>
        <v/>
      </c>
      <c r="G62" s="7"/>
      <c r="H62" s="8" t="str">
        <f aca="false">IF(I62="","",IF(I62&gt;0,"WIN",IF(I62&lt;0,"LOSS","BE")))</f>
        <v/>
      </c>
      <c r="I62" s="31" t="str">
        <f aca="false">IF(OR(G62="",C62=""),"",ROUND((G62-D62)/(D62-E62),2))</f>
        <v/>
      </c>
      <c r="J62" s="32" t="str">
        <f aca="false">IF(I62="","",ROUND(I62*$M$2*$M$3,2))</f>
        <v/>
      </c>
      <c r="K62" s="6"/>
      <c r="L62" s="26"/>
    </row>
    <row r="63" customFormat="false" ht="15" hidden="false" customHeight="false" outlineLevel="0" collapsed="false">
      <c r="A63" s="30"/>
      <c r="B63" s="6"/>
      <c r="C63" s="8" t="str">
        <f aca="false">IF(OR(D63="",E63="",D63=E63),"",IF(E63&lt;D63,"BUY","SELL"))</f>
        <v/>
      </c>
      <c r="D63" s="7"/>
      <c r="E63" s="7"/>
      <c r="F63" s="13" t="str">
        <f aca="false">IF(C63="","",D63+1.5*(D63-E63))</f>
        <v/>
      </c>
      <c r="G63" s="7"/>
      <c r="H63" s="8" t="str">
        <f aca="false">IF(I63="","",IF(I63&gt;0,"WIN",IF(I63&lt;0,"LOSS","BE")))</f>
        <v/>
      </c>
      <c r="I63" s="31" t="str">
        <f aca="false">IF(OR(G63="",C63=""),"",ROUND((G63-D63)/(D63-E63),2))</f>
        <v/>
      </c>
      <c r="J63" s="32" t="str">
        <f aca="false">IF(I63="","",ROUND(I63*$M$2*$M$3,2))</f>
        <v/>
      </c>
      <c r="K63" s="6"/>
      <c r="L63" s="26"/>
    </row>
    <row r="64" customFormat="false" ht="15" hidden="false" customHeight="false" outlineLevel="0" collapsed="false">
      <c r="A64" s="30"/>
      <c r="B64" s="6"/>
      <c r="C64" s="8" t="str">
        <f aca="false">IF(OR(D64="",E64="",D64=E64),"",IF(E64&lt;D64,"BUY","SELL"))</f>
        <v/>
      </c>
      <c r="D64" s="7"/>
      <c r="E64" s="7"/>
      <c r="F64" s="13" t="str">
        <f aca="false">IF(C64="","",D64+1.5*(D64-E64))</f>
        <v/>
      </c>
      <c r="G64" s="7"/>
      <c r="H64" s="8" t="str">
        <f aca="false">IF(I64="","",IF(I64&gt;0,"WIN",IF(I64&lt;0,"LOSS","BE")))</f>
        <v/>
      </c>
      <c r="I64" s="31" t="str">
        <f aca="false">IF(OR(G64="",C64=""),"",ROUND((G64-D64)/(D64-E64),2))</f>
        <v/>
      </c>
      <c r="J64" s="32" t="str">
        <f aca="false">IF(I64="","",ROUND(I64*$M$2*$M$3,2))</f>
        <v/>
      </c>
      <c r="K64" s="6"/>
      <c r="L64" s="26"/>
    </row>
    <row r="65" customFormat="false" ht="15" hidden="false" customHeight="false" outlineLevel="0" collapsed="false">
      <c r="A65" s="30"/>
      <c r="B65" s="6"/>
      <c r="C65" s="8" t="str">
        <f aca="false">IF(OR(D65="",E65="",D65=E65),"",IF(E65&lt;D65,"BUY","SELL"))</f>
        <v/>
      </c>
      <c r="D65" s="7"/>
      <c r="E65" s="7"/>
      <c r="F65" s="13" t="str">
        <f aca="false">IF(C65="","",D65+1.5*(D65-E65))</f>
        <v/>
      </c>
      <c r="G65" s="7"/>
      <c r="H65" s="8" t="str">
        <f aca="false">IF(I65="","",IF(I65&gt;0,"WIN",IF(I65&lt;0,"LOSS","BE")))</f>
        <v/>
      </c>
      <c r="I65" s="31" t="str">
        <f aca="false">IF(OR(G65="",C65=""),"",ROUND((G65-D65)/(D65-E65),2))</f>
        <v/>
      </c>
      <c r="J65" s="32" t="str">
        <f aca="false">IF(I65="","",ROUND(I65*$M$2*$M$3,2))</f>
        <v/>
      </c>
      <c r="K65" s="6"/>
      <c r="L65" s="26"/>
    </row>
    <row r="66" customFormat="false" ht="15" hidden="false" customHeight="false" outlineLevel="0" collapsed="false">
      <c r="A66" s="30"/>
      <c r="B66" s="6"/>
      <c r="C66" s="8" t="str">
        <f aca="false">IF(OR(D66="",E66="",D66=E66),"",IF(E66&lt;D66,"BUY","SELL"))</f>
        <v/>
      </c>
      <c r="D66" s="7"/>
      <c r="E66" s="7"/>
      <c r="F66" s="13" t="str">
        <f aca="false">IF(C66="","",D66+1.5*(D66-E66))</f>
        <v/>
      </c>
      <c r="G66" s="7"/>
      <c r="H66" s="8" t="str">
        <f aca="false">IF(I66="","",IF(I66&gt;0,"WIN",IF(I66&lt;0,"LOSS","BE")))</f>
        <v/>
      </c>
      <c r="I66" s="31" t="str">
        <f aca="false">IF(OR(G66="",C66=""),"",ROUND((G66-D66)/(D66-E66),2))</f>
        <v/>
      </c>
      <c r="J66" s="32" t="str">
        <f aca="false">IF(I66="","",ROUND(I66*$M$2*$M$3,2))</f>
        <v/>
      </c>
      <c r="K66" s="6"/>
      <c r="L66" s="26"/>
    </row>
    <row r="67" customFormat="false" ht="15" hidden="false" customHeight="false" outlineLevel="0" collapsed="false">
      <c r="A67" s="30"/>
      <c r="B67" s="6"/>
      <c r="C67" s="8" t="str">
        <f aca="false">IF(OR(D67="",E67="",D67=E67),"",IF(E67&lt;D67,"BUY","SELL"))</f>
        <v/>
      </c>
      <c r="D67" s="7"/>
      <c r="E67" s="7"/>
      <c r="F67" s="13" t="str">
        <f aca="false">IF(C67="","",D67+1.5*(D67-E67))</f>
        <v/>
      </c>
      <c r="G67" s="7"/>
      <c r="H67" s="8" t="str">
        <f aca="false">IF(I67="","",IF(I67&gt;0,"WIN",IF(I67&lt;0,"LOSS","BE")))</f>
        <v/>
      </c>
      <c r="I67" s="31" t="str">
        <f aca="false">IF(OR(G67="",C67=""),"",ROUND((G67-D67)/(D67-E67),2))</f>
        <v/>
      </c>
      <c r="J67" s="32" t="str">
        <f aca="false">IF(I67="","",ROUND(I67*$M$2*$M$3,2))</f>
        <v/>
      </c>
      <c r="K67" s="6"/>
      <c r="L67" s="26"/>
    </row>
    <row r="68" customFormat="false" ht="15" hidden="false" customHeight="false" outlineLevel="0" collapsed="false">
      <c r="A68" s="30"/>
      <c r="B68" s="6"/>
      <c r="C68" s="8" t="str">
        <f aca="false">IF(OR(D68="",E68="",D68=E68),"",IF(E68&lt;D68,"BUY","SELL"))</f>
        <v/>
      </c>
      <c r="D68" s="7"/>
      <c r="E68" s="7"/>
      <c r="F68" s="13" t="str">
        <f aca="false">IF(C68="","",D68+1.5*(D68-E68))</f>
        <v/>
      </c>
      <c r="G68" s="7"/>
      <c r="H68" s="8" t="str">
        <f aca="false">IF(I68="","",IF(I68&gt;0,"WIN",IF(I68&lt;0,"LOSS","BE")))</f>
        <v/>
      </c>
      <c r="I68" s="31" t="str">
        <f aca="false">IF(OR(G68="",C68=""),"",ROUND((G68-D68)/(D68-E68),2))</f>
        <v/>
      </c>
      <c r="J68" s="32" t="str">
        <f aca="false">IF(I68="","",ROUND(I68*$M$2*$M$3,2))</f>
        <v/>
      </c>
      <c r="K68" s="6"/>
      <c r="L68" s="26"/>
    </row>
    <row r="69" customFormat="false" ht="15" hidden="false" customHeight="false" outlineLevel="0" collapsed="false">
      <c r="A69" s="30"/>
      <c r="B69" s="6"/>
      <c r="C69" s="8" t="str">
        <f aca="false">IF(OR(D69="",E69="",D69=E69),"",IF(E69&lt;D69,"BUY","SELL"))</f>
        <v/>
      </c>
      <c r="D69" s="7"/>
      <c r="E69" s="7"/>
      <c r="F69" s="13" t="str">
        <f aca="false">IF(C69="","",D69+1.5*(D69-E69))</f>
        <v/>
      </c>
      <c r="G69" s="7"/>
      <c r="H69" s="8" t="str">
        <f aca="false">IF(I69="","",IF(I69&gt;0,"WIN",IF(I69&lt;0,"LOSS","BE")))</f>
        <v/>
      </c>
      <c r="I69" s="31" t="str">
        <f aca="false">IF(OR(G69="",C69=""),"",ROUND((G69-D69)/(D69-E69),2))</f>
        <v/>
      </c>
      <c r="J69" s="32" t="str">
        <f aca="false">IF(I69="","",ROUND(I69*$M$2*$M$3,2))</f>
        <v/>
      </c>
      <c r="K69" s="6"/>
      <c r="L69" s="26"/>
    </row>
    <row r="70" customFormat="false" ht="15" hidden="false" customHeight="false" outlineLevel="0" collapsed="false">
      <c r="A70" s="30"/>
      <c r="B70" s="6"/>
      <c r="C70" s="8" t="str">
        <f aca="false">IF(OR(D70="",E70="",D70=E70),"",IF(E70&lt;D70,"BUY","SELL"))</f>
        <v/>
      </c>
      <c r="D70" s="7"/>
      <c r="E70" s="7"/>
      <c r="F70" s="13" t="str">
        <f aca="false">IF(C70="","",D70+1.5*(D70-E70))</f>
        <v/>
      </c>
      <c r="G70" s="7"/>
      <c r="H70" s="8" t="str">
        <f aca="false">IF(I70="","",IF(I70&gt;0,"WIN",IF(I70&lt;0,"LOSS","BE")))</f>
        <v/>
      </c>
      <c r="I70" s="31" t="str">
        <f aca="false">IF(OR(G70="",C70=""),"",ROUND((G70-D70)/(D70-E70),2))</f>
        <v/>
      </c>
      <c r="J70" s="32" t="str">
        <f aca="false">IF(I70="","",ROUND(I70*$M$2*$M$3,2))</f>
        <v/>
      </c>
      <c r="K70" s="6"/>
      <c r="L70" s="26"/>
    </row>
    <row r="71" customFormat="false" ht="15" hidden="false" customHeight="false" outlineLevel="0" collapsed="false">
      <c r="A71" s="30"/>
      <c r="B71" s="6"/>
      <c r="C71" s="8" t="str">
        <f aca="false">IF(OR(D71="",E71="",D71=E71),"",IF(E71&lt;D71,"BUY","SELL"))</f>
        <v/>
      </c>
      <c r="D71" s="7"/>
      <c r="E71" s="7"/>
      <c r="F71" s="13" t="str">
        <f aca="false">IF(C71="","",D71+1.5*(D71-E71))</f>
        <v/>
      </c>
      <c r="G71" s="7"/>
      <c r="H71" s="8" t="str">
        <f aca="false">IF(I71="","",IF(I71&gt;0,"WIN",IF(I71&lt;0,"LOSS","BE")))</f>
        <v/>
      </c>
      <c r="I71" s="31" t="str">
        <f aca="false">IF(OR(G71="",C71=""),"",ROUND((G71-D71)/(D71-E71),2))</f>
        <v/>
      </c>
      <c r="J71" s="32" t="str">
        <f aca="false">IF(I71="","",ROUND(I71*$M$2*$M$3,2))</f>
        <v/>
      </c>
      <c r="K71" s="6"/>
      <c r="L71" s="26"/>
    </row>
    <row r="72" customFormat="false" ht="15" hidden="false" customHeight="false" outlineLevel="0" collapsed="false">
      <c r="A72" s="30"/>
      <c r="B72" s="6"/>
      <c r="C72" s="8" t="str">
        <f aca="false">IF(OR(D72="",E72="",D72=E72),"",IF(E72&lt;D72,"BUY","SELL"))</f>
        <v/>
      </c>
      <c r="D72" s="7"/>
      <c r="E72" s="7"/>
      <c r="F72" s="13" t="str">
        <f aca="false">IF(C72="","",D72+1.5*(D72-E72))</f>
        <v/>
      </c>
      <c r="G72" s="7"/>
      <c r="H72" s="8" t="str">
        <f aca="false">IF(I72="","",IF(I72&gt;0,"WIN",IF(I72&lt;0,"LOSS","BE")))</f>
        <v/>
      </c>
      <c r="I72" s="31" t="str">
        <f aca="false">IF(OR(G72="",C72=""),"",ROUND((G72-D72)/(D72-E72),2))</f>
        <v/>
      </c>
      <c r="J72" s="32" t="str">
        <f aca="false">IF(I72="","",ROUND(I72*$M$2*$M$3,2))</f>
        <v/>
      </c>
      <c r="K72" s="6"/>
      <c r="L72" s="26"/>
    </row>
    <row r="73" customFormat="false" ht="15" hidden="false" customHeight="false" outlineLevel="0" collapsed="false">
      <c r="A73" s="30"/>
      <c r="B73" s="6"/>
      <c r="C73" s="8" t="str">
        <f aca="false">IF(OR(D73="",E73="",D73=E73),"",IF(E73&lt;D73,"BUY","SELL"))</f>
        <v/>
      </c>
      <c r="D73" s="7"/>
      <c r="E73" s="7"/>
      <c r="F73" s="13" t="str">
        <f aca="false">IF(C73="","",D73+1.5*(D73-E73))</f>
        <v/>
      </c>
      <c r="G73" s="7"/>
      <c r="H73" s="8" t="str">
        <f aca="false">IF(I73="","",IF(I73&gt;0,"WIN",IF(I73&lt;0,"LOSS","BE")))</f>
        <v/>
      </c>
      <c r="I73" s="31" t="str">
        <f aca="false">IF(OR(G73="",C73=""),"",ROUND((G73-D73)/(D73-E73),2))</f>
        <v/>
      </c>
      <c r="J73" s="32" t="str">
        <f aca="false">IF(I73="","",ROUND(I73*$M$2*$M$3,2))</f>
        <v/>
      </c>
      <c r="K73" s="6"/>
      <c r="L73" s="26"/>
    </row>
    <row r="74" customFormat="false" ht="15" hidden="false" customHeight="false" outlineLevel="0" collapsed="false">
      <c r="A74" s="30"/>
      <c r="B74" s="6"/>
      <c r="C74" s="8" t="str">
        <f aca="false">IF(OR(D74="",E74="",D74=E74),"",IF(E74&lt;D74,"BUY","SELL"))</f>
        <v/>
      </c>
      <c r="D74" s="7"/>
      <c r="E74" s="7"/>
      <c r="F74" s="13" t="str">
        <f aca="false">IF(C74="","",D74+1.5*(D74-E74))</f>
        <v/>
      </c>
      <c r="G74" s="7"/>
      <c r="H74" s="8" t="str">
        <f aca="false">IF(I74="","",IF(I74&gt;0,"WIN",IF(I74&lt;0,"LOSS","BE")))</f>
        <v/>
      </c>
      <c r="I74" s="31" t="str">
        <f aca="false">IF(OR(G74="",C74=""),"",ROUND((G74-D74)/(D74-E74),2))</f>
        <v/>
      </c>
      <c r="J74" s="32" t="str">
        <f aca="false">IF(I74="","",ROUND(I74*$M$2*$M$3,2))</f>
        <v/>
      </c>
      <c r="K74" s="6"/>
      <c r="L74" s="26"/>
    </row>
    <row r="75" customFormat="false" ht="15" hidden="false" customHeight="false" outlineLevel="0" collapsed="false">
      <c r="A75" s="30"/>
      <c r="B75" s="6"/>
      <c r="C75" s="8" t="str">
        <f aca="false">IF(OR(D75="",E75="",D75=E75),"",IF(E75&lt;D75,"BUY","SELL"))</f>
        <v/>
      </c>
      <c r="D75" s="7"/>
      <c r="E75" s="7"/>
      <c r="F75" s="13" t="str">
        <f aca="false">IF(C75="","",D75+1.5*(D75-E75))</f>
        <v/>
      </c>
      <c r="G75" s="7"/>
      <c r="H75" s="8" t="str">
        <f aca="false">IF(I75="","",IF(I75&gt;0,"WIN",IF(I75&lt;0,"LOSS","BE")))</f>
        <v/>
      </c>
      <c r="I75" s="31" t="str">
        <f aca="false">IF(OR(G75="",C75=""),"",ROUND((G75-D75)/(D75-E75),2))</f>
        <v/>
      </c>
      <c r="J75" s="32" t="str">
        <f aca="false">IF(I75="","",ROUND(I75*$M$2*$M$3,2))</f>
        <v/>
      </c>
      <c r="K75" s="6"/>
      <c r="L75" s="26"/>
    </row>
    <row r="76" customFormat="false" ht="15" hidden="false" customHeight="false" outlineLevel="0" collapsed="false">
      <c r="A76" s="30"/>
      <c r="B76" s="6"/>
      <c r="C76" s="8" t="str">
        <f aca="false">IF(OR(D76="",E76="",D76=E76),"",IF(E76&lt;D76,"BUY","SELL"))</f>
        <v/>
      </c>
      <c r="D76" s="7"/>
      <c r="E76" s="7"/>
      <c r="F76" s="13" t="str">
        <f aca="false">IF(C76="","",D76+1.5*(D76-E76))</f>
        <v/>
      </c>
      <c r="G76" s="7"/>
      <c r="H76" s="8" t="str">
        <f aca="false">IF(I76="","",IF(I76&gt;0,"WIN",IF(I76&lt;0,"LOSS","BE")))</f>
        <v/>
      </c>
      <c r="I76" s="31" t="str">
        <f aca="false">IF(OR(G76="",C76=""),"",ROUND((G76-D76)/(D76-E76),2))</f>
        <v/>
      </c>
      <c r="J76" s="32" t="str">
        <f aca="false">IF(I76="","",ROUND(I76*$M$2*$M$3,2))</f>
        <v/>
      </c>
      <c r="K76" s="6"/>
      <c r="L76" s="26"/>
    </row>
    <row r="77" customFormat="false" ht="15" hidden="false" customHeight="false" outlineLevel="0" collapsed="false">
      <c r="A77" s="30"/>
      <c r="B77" s="6"/>
      <c r="C77" s="8" t="str">
        <f aca="false">IF(OR(D77="",E77="",D77=E77),"",IF(E77&lt;D77,"BUY","SELL"))</f>
        <v/>
      </c>
      <c r="D77" s="7"/>
      <c r="E77" s="7"/>
      <c r="F77" s="13" t="str">
        <f aca="false">IF(C77="","",D77+1.5*(D77-E77))</f>
        <v/>
      </c>
      <c r="G77" s="7"/>
      <c r="H77" s="8" t="str">
        <f aca="false">IF(I77="","",IF(I77&gt;0,"WIN",IF(I77&lt;0,"LOSS","BE")))</f>
        <v/>
      </c>
      <c r="I77" s="31" t="str">
        <f aca="false">IF(OR(G77="",C77=""),"",ROUND((G77-D77)/(D77-E77),2))</f>
        <v/>
      </c>
      <c r="J77" s="32" t="str">
        <f aca="false">IF(I77="","",ROUND(I77*$M$2*$M$3,2))</f>
        <v/>
      </c>
      <c r="K77" s="6"/>
      <c r="L77" s="26"/>
    </row>
    <row r="78" customFormat="false" ht="15" hidden="false" customHeight="false" outlineLevel="0" collapsed="false">
      <c r="A78" s="30"/>
      <c r="B78" s="6"/>
      <c r="C78" s="8" t="str">
        <f aca="false">IF(OR(D78="",E78="",D78=E78),"",IF(E78&lt;D78,"BUY","SELL"))</f>
        <v/>
      </c>
      <c r="D78" s="7"/>
      <c r="E78" s="7"/>
      <c r="F78" s="13" t="str">
        <f aca="false">IF(C78="","",D78+1.5*(D78-E78))</f>
        <v/>
      </c>
      <c r="G78" s="7"/>
      <c r="H78" s="8" t="str">
        <f aca="false">IF(I78="","",IF(I78&gt;0,"WIN",IF(I78&lt;0,"LOSS","BE")))</f>
        <v/>
      </c>
      <c r="I78" s="31" t="str">
        <f aca="false">IF(OR(G78="",C78=""),"",ROUND((G78-D78)/(D78-E78),2))</f>
        <v/>
      </c>
      <c r="J78" s="32" t="str">
        <f aca="false">IF(I78="","",ROUND(I78*$M$2*$M$3,2))</f>
        <v/>
      </c>
      <c r="K78" s="6"/>
      <c r="L78" s="26"/>
    </row>
    <row r="79" customFormat="false" ht="15" hidden="false" customHeight="false" outlineLevel="0" collapsed="false">
      <c r="A79" s="30"/>
      <c r="B79" s="6"/>
      <c r="C79" s="8" t="str">
        <f aca="false">IF(OR(D79="",E79="",D79=E79),"",IF(E79&lt;D79,"BUY","SELL"))</f>
        <v/>
      </c>
      <c r="D79" s="7"/>
      <c r="E79" s="7"/>
      <c r="F79" s="13" t="str">
        <f aca="false">IF(C79="","",D79+1.5*(D79-E79))</f>
        <v/>
      </c>
      <c r="G79" s="7"/>
      <c r="H79" s="8" t="str">
        <f aca="false">IF(I79="","",IF(I79&gt;0,"WIN",IF(I79&lt;0,"LOSS","BE")))</f>
        <v/>
      </c>
      <c r="I79" s="31" t="str">
        <f aca="false">IF(OR(G79="",C79=""),"",ROUND((G79-D79)/(D79-E79),2))</f>
        <v/>
      </c>
      <c r="J79" s="32" t="str">
        <f aca="false">IF(I79="","",ROUND(I79*$M$2*$M$3,2))</f>
        <v/>
      </c>
      <c r="K79" s="6"/>
      <c r="L79" s="26"/>
    </row>
    <row r="80" customFormat="false" ht="15" hidden="false" customHeight="false" outlineLevel="0" collapsed="false">
      <c r="A80" s="30"/>
      <c r="B80" s="6"/>
      <c r="C80" s="8" t="str">
        <f aca="false">IF(OR(D80="",E80="",D80=E80),"",IF(E80&lt;D80,"BUY","SELL"))</f>
        <v/>
      </c>
      <c r="D80" s="7"/>
      <c r="E80" s="7"/>
      <c r="F80" s="13" t="str">
        <f aca="false">IF(C80="","",D80+1.5*(D80-E80))</f>
        <v/>
      </c>
      <c r="G80" s="7"/>
      <c r="H80" s="8" t="str">
        <f aca="false">IF(I80="","",IF(I80&gt;0,"WIN",IF(I80&lt;0,"LOSS","BE")))</f>
        <v/>
      </c>
      <c r="I80" s="31" t="str">
        <f aca="false">IF(OR(G80="",C80=""),"",ROUND((G80-D80)/(D80-E80),2))</f>
        <v/>
      </c>
      <c r="J80" s="32" t="str">
        <f aca="false">IF(I80="","",ROUND(I80*$M$2*$M$3,2))</f>
        <v/>
      </c>
      <c r="K80" s="6"/>
      <c r="L80" s="26"/>
    </row>
    <row r="81" customFormat="false" ht="15" hidden="false" customHeight="false" outlineLevel="0" collapsed="false">
      <c r="A81" s="30"/>
      <c r="B81" s="6"/>
      <c r="C81" s="8" t="str">
        <f aca="false">IF(OR(D81="",E81="",D81=E81),"",IF(E81&lt;D81,"BUY","SELL"))</f>
        <v/>
      </c>
      <c r="D81" s="7"/>
      <c r="E81" s="7"/>
      <c r="F81" s="13" t="str">
        <f aca="false">IF(C81="","",D81+1.5*(D81-E81))</f>
        <v/>
      </c>
      <c r="G81" s="7"/>
      <c r="H81" s="8" t="str">
        <f aca="false">IF(I81="","",IF(I81&gt;0,"WIN",IF(I81&lt;0,"LOSS","BE")))</f>
        <v/>
      </c>
      <c r="I81" s="31" t="str">
        <f aca="false">IF(OR(G81="",C81=""),"",ROUND((G81-D81)/(D81-E81),2))</f>
        <v/>
      </c>
      <c r="J81" s="32" t="str">
        <f aca="false">IF(I81="","",ROUND(I81*$M$2*$M$3,2))</f>
        <v/>
      </c>
      <c r="K81" s="6"/>
      <c r="L81" s="26"/>
    </row>
    <row r="82" customFormat="false" ht="15" hidden="false" customHeight="false" outlineLevel="0" collapsed="false">
      <c r="A82" s="30"/>
      <c r="B82" s="6"/>
      <c r="C82" s="8" t="str">
        <f aca="false">IF(OR(D82="",E82="",D82=E82),"",IF(E82&lt;D82,"BUY","SELL"))</f>
        <v/>
      </c>
      <c r="D82" s="7"/>
      <c r="E82" s="7"/>
      <c r="F82" s="13" t="str">
        <f aca="false">IF(C82="","",D82+1.5*(D82-E82))</f>
        <v/>
      </c>
      <c r="G82" s="7"/>
      <c r="H82" s="8" t="str">
        <f aca="false">IF(I82="","",IF(I82&gt;0,"WIN",IF(I82&lt;0,"LOSS","BE")))</f>
        <v/>
      </c>
      <c r="I82" s="31" t="str">
        <f aca="false">IF(OR(G82="",C82=""),"",ROUND((G82-D82)/(D82-E82),2))</f>
        <v/>
      </c>
      <c r="J82" s="32" t="str">
        <f aca="false">IF(I82="","",ROUND(I82*$M$2*$M$3,2))</f>
        <v/>
      </c>
      <c r="K82" s="6"/>
      <c r="L82" s="26"/>
    </row>
    <row r="83" customFormat="false" ht="15" hidden="false" customHeight="false" outlineLevel="0" collapsed="false">
      <c r="A83" s="30"/>
      <c r="B83" s="6"/>
      <c r="C83" s="8" t="str">
        <f aca="false">IF(OR(D83="",E83="",D83=E83),"",IF(E83&lt;D83,"BUY","SELL"))</f>
        <v/>
      </c>
      <c r="D83" s="7"/>
      <c r="E83" s="7"/>
      <c r="F83" s="13" t="str">
        <f aca="false">IF(C83="","",D83+1.5*(D83-E83))</f>
        <v/>
      </c>
      <c r="G83" s="7"/>
      <c r="H83" s="8" t="str">
        <f aca="false">IF(I83="","",IF(I83&gt;0,"WIN",IF(I83&lt;0,"LOSS","BE")))</f>
        <v/>
      </c>
      <c r="I83" s="31" t="str">
        <f aca="false">IF(OR(G83="",C83=""),"",ROUND((G83-D83)/(D83-E83),2))</f>
        <v/>
      </c>
      <c r="J83" s="32" t="str">
        <f aca="false">IF(I83="","",ROUND(I83*$M$2*$M$3,2))</f>
        <v/>
      </c>
      <c r="K83" s="6"/>
      <c r="L83" s="26"/>
    </row>
    <row r="84" customFormat="false" ht="15" hidden="false" customHeight="false" outlineLevel="0" collapsed="false">
      <c r="A84" s="30"/>
      <c r="B84" s="6"/>
      <c r="C84" s="8" t="str">
        <f aca="false">IF(OR(D84="",E84="",D84=E84),"",IF(E84&lt;D84,"BUY","SELL"))</f>
        <v/>
      </c>
      <c r="D84" s="7"/>
      <c r="E84" s="7"/>
      <c r="F84" s="13" t="str">
        <f aca="false">IF(C84="","",D84+1.5*(D84-E84))</f>
        <v/>
      </c>
      <c r="G84" s="7"/>
      <c r="H84" s="8" t="str">
        <f aca="false">IF(I84="","",IF(I84&gt;0,"WIN",IF(I84&lt;0,"LOSS","BE")))</f>
        <v/>
      </c>
      <c r="I84" s="31" t="str">
        <f aca="false">IF(OR(G84="",C84=""),"",ROUND((G84-D84)/(D84-E84),2))</f>
        <v/>
      </c>
      <c r="J84" s="32" t="str">
        <f aca="false">IF(I84="","",ROUND(I84*$M$2*$M$3,2))</f>
        <v/>
      </c>
      <c r="K84" s="6"/>
      <c r="L84" s="26"/>
    </row>
    <row r="85" customFormat="false" ht="15" hidden="false" customHeight="false" outlineLevel="0" collapsed="false">
      <c r="A85" s="30"/>
      <c r="B85" s="6"/>
      <c r="C85" s="8" t="str">
        <f aca="false">IF(OR(D85="",E85="",D85=E85),"",IF(E85&lt;D85,"BUY","SELL"))</f>
        <v/>
      </c>
      <c r="D85" s="7"/>
      <c r="E85" s="7"/>
      <c r="F85" s="13" t="str">
        <f aca="false">IF(C85="","",D85+1.5*(D85-E85))</f>
        <v/>
      </c>
      <c r="G85" s="7"/>
      <c r="H85" s="8" t="str">
        <f aca="false">IF(I85="","",IF(I85&gt;0,"WIN",IF(I85&lt;0,"LOSS","BE")))</f>
        <v/>
      </c>
      <c r="I85" s="31" t="str">
        <f aca="false">IF(OR(G85="",C85=""),"",ROUND((G85-D85)/(D85-E85),2))</f>
        <v/>
      </c>
      <c r="J85" s="32" t="str">
        <f aca="false">IF(I85="","",ROUND(I85*$M$2*$M$3,2))</f>
        <v/>
      </c>
      <c r="K85" s="6"/>
      <c r="L85" s="26"/>
    </row>
    <row r="86" customFormat="false" ht="15" hidden="false" customHeight="false" outlineLevel="0" collapsed="false">
      <c r="A86" s="30"/>
      <c r="B86" s="6"/>
      <c r="C86" s="8" t="str">
        <f aca="false">IF(OR(D86="",E86="",D86=E86),"",IF(E86&lt;D86,"BUY","SELL"))</f>
        <v/>
      </c>
      <c r="D86" s="7"/>
      <c r="E86" s="7"/>
      <c r="F86" s="13" t="str">
        <f aca="false">IF(C86="","",D86+1.5*(D86-E86))</f>
        <v/>
      </c>
      <c r="G86" s="7"/>
      <c r="H86" s="8" t="str">
        <f aca="false">IF(I86="","",IF(I86&gt;0,"WIN",IF(I86&lt;0,"LOSS","BE")))</f>
        <v/>
      </c>
      <c r="I86" s="31" t="str">
        <f aca="false">IF(OR(G86="",C86=""),"",ROUND((G86-D86)/(D86-E86),2))</f>
        <v/>
      </c>
      <c r="J86" s="32" t="str">
        <f aca="false">IF(I86="","",ROUND(I86*$M$2*$M$3,2))</f>
        <v/>
      </c>
      <c r="K86" s="6"/>
      <c r="L86" s="26"/>
    </row>
    <row r="87" customFormat="false" ht="15" hidden="false" customHeight="false" outlineLevel="0" collapsed="false">
      <c r="A87" s="30"/>
      <c r="B87" s="6"/>
      <c r="C87" s="8" t="str">
        <f aca="false">IF(OR(D87="",E87="",D87=E87),"",IF(E87&lt;D87,"BUY","SELL"))</f>
        <v/>
      </c>
      <c r="D87" s="7"/>
      <c r="E87" s="7"/>
      <c r="F87" s="13" t="str">
        <f aca="false">IF(C87="","",D87+1.5*(D87-E87))</f>
        <v/>
      </c>
      <c r="G87" s="7"/>
      <c r="H87" s="8" t="str">
        <f aca="false">IF(I87="","",IF(I87&gt;0,"WIN",IF(I87&lt;0,"LOSS","BE")))</f>
        <v/>
      </c>
      <c r="I87" s="31" t="str">
        <f aca="false">IF(OR(G87="",C87=""),"",ROUND((G87-D87)/(D87-E87),2))</f>
        <v/>
      </c>
      <c r="J87" s="32" t="str">
        <f aca="false">IF(I87="","",ROUND(I87*$M$2*$M$3,2))</f>
        <v/>
      </c>
      <c r="K87" s="6"/>
      <c r="L87" s="26"/>
    </row>
    <row r="88" customFormat="false" ht="15" hidden="false" customHeight="false" outlineLevel="0" collapsed="false">
      <c r="A88" s="30"/>
      <c r="B88" s="6"/>
      <c r="C88" s="8" t="str">
        <f aca="false">IF(OR(D88="",E88="",D88=E88),"",IF(E88&lt;D88,"BUY","SELL"))</f>
        <v/>
      </c>
      <c r="D88" s="7"/>
      <c r="E88" s="7"/>
      <c r="F88" s="13" t="str">
        <f aca="false">IF(C88="","",D88+1.5*(D88-E88))</f>
        <v/>
      </c>
      <c r="G88" s="7"/>
      <c r="H88" s="8" t="str">
        <f aca="false">IF(I88="","",IF(I88&gt;0,"WIN",IF(I88&lt;0,"LOSS","BE")))</f>
        <v/>
      </c>
      <c r="I88" s="31" t="str">
        <f aca="false">IF(OR(G88="",C88=""),"",ROUND((G88-D88)/(D88-E88),2))</f>
        <v/>
      </c>
      <c r="J88" s="32" t="str">
        <f aca="false">IF(I88="","",ROUND(I88*$M$2*$M$3,2))</f>
        <v/>
      </c>
      <c r="K88" s="6"/>
      <c r="L88" s="26"/>
    </row>
    <row r="89" customFormat="false" ht="15" hidden="false" customHeight="false" outlineLevel="0" collapsed="false">
      <c r="A89" s="30"/>
      <c r="B89" s="6"/>
      <c r="C89" s="8" t="str">
        <f aca="false">IF(OR(D89="",E89="",D89=E89),"",IF(E89&lt;D89,"BUY","SELL"))</f>
        <v/>
      </c>
      <c r="D89" s="7"/>
      <c r="E89" s="7"/>
      <c r="F89" s="13" t="str">
        <f aca="false">IF(C89="","",D89+1.5*(D89-E89))</f>
        <v/>
      </c>
      <c r="G89" s="7"/>
      <c r="H89" s="8" t="str">
        <f aca="false">IF(I89="","",IF(I89&gt;0,"WIN",IF(I89&lt;0,"LOSS","BE")))</f>
        <v/>
      </c>
      <c r="I89" s="31" t="str">
        <f aca="false">IF(OR(G89="",C89=""),"",ROUND((G89-D89)/(D89-E89),2))</f>
        <v/>
      </c>
      <c r="J89" s="32" t="str">
        <f aca="false">IF(I89="","",ROUND(I89*$M$2*$M$3,2))</f>
        <v/>
      </c>
      <c r="K89" s="6"/>
      <c r="L89" s="26"/>
    </row>
    <row r="90" customFormat="false" ht="15" hidden="false" customHeight="false" outlineLevel="0" collapsed="false">
      <c r="A90" s="30"/>
      <c r="B90" s="6"/>
      <c r="C90" s="8" t="str">
        <f aca="false">IF(OR(D90="",E90="",D90=E90),"",IF(E90&lt;D90,"BUY","SELL"))</f>
        <v/>
      </c>
      <c r="D90" s="7"/>
      <c r="E90" s="7"/>
      <c r="F90" s="13" t="str">
        <f aca="false">IF(C90="","",D90+1.5*(D90-E90))</f>
        <v/>
      </c>
      <c r="G90" s="7"/>
      <c r="H90" s="8" t="str">
        <f aca="false">IF(I90="","",IF(I90&gt;0,"WIN",IF(I90&lt;0,"LOSS","BE")))</f>
        <v/>
      </c>
      <c r="I90" s="31" t="str">
        <f aca="false">IF(OR(G90="",C90=""),"",ROUND((G90-D90)/(D90-E90),2))</f>
        <v/>
      </c>
      <c r="J90" s="32" t="str">
        <f aca="false">IF(I90="","",ROUND(I90*$M$2*$M$3,2))</f>
        <v/>
      </c>
      <c r="K90" s="6"/>
      <c r="L90" s="26"/>
    </row>
    <row r="91" customFormat="false" ht="15" hidden="false" customHeight="false" outlineLevel="0" collapsed="false">
      <c r="A91" s="30"/>
      <c r="B91" s="6"/>
      <c r="C91" s="8" t="str">
        <f aca="false">IF(OR(D91="",E91="",D91=E91),"",IF(E91&lt;D91,"BUY","SELL"))</f>
        <v/>
      </c>
      <c r="D91" s="7"/>
      <c r="E91" s="7"/>
      <c r="F91" s="13" t="str">
        <f aca="false">IF(C91="","",D91+1.5*(D91-E91))</f>
        <v/>
      </c>
      <c r="G91" s="7"/>
      <c r="H91" s="8" t="str">
        <f aca="false">IF(I91="","",IF(I91&gt;0,"WIN",IF(I91&lt;0,"LOSS","BE")))</f>
        <v/>
      </c>
      <c r="I91" s="31" t="str">
        <f aca="false">IF(OR(G91="",C91=""),"",ROUND((G91-D91)/(D91-E91),2))</f>
        <v/>
      </c>
      <c r="J91" s="32" t="str">
        <f aca="false">IF(I91="","",ROUND(I91*$M$2*$M$3,2))</f>
        <v/>
      </c>
      <c r="K91" s="6"/>
      <c r="L91" s="26"/>
    </row>
    <row r="92" customFormat="false" ht="15" hidden="false" customHeight="false" outlineLevel="0" collapsed="false">
      <c r="A92" s="30"/>
      <c r="B92" s="6"/>
      <c r="C92" s="8" t="str">
        <f aca="false">IF(OR(D92="",E92="",D92=E92),"",IF(E92&lt;D92,"BUY","SELL"))</f>
        <v/>
      </c>
      <c r="D92" s="7"/>
      <c r="E92" s="7"/>
      <c r="F92" s="13" t="str">
        <f aca="false">IF(C92="","",D92+1.5*(D92-E92))</f>
        <v/>
      </c>
      <c r="G92" s="7"/>
      <c r="H92" s="8" t="str">
        <f aca="false">IF(I92="","",IF(I92&gt;0,"WIN",IF(I92&lt;0,"LOSS","BE")))</f>
        <v/>
      </c>
      <c r="I92" s="31" t="str">
        <f aca="false">IF(OR(G92="",C92=""),"",ROUND((G92-D92)/(D92-E92),2))</f>
        <v/>
      </c>
      <c r="J92" s="32" t="str">
        <f aca="false">IF(I92="","",ROUND(I92*$M$2*$M$3,2))</f>
        <v/>
      </c>
      <c r="K92" s="6"/>
      <c r="L92" s="26"/>
    </row>
    <row r="93" customFormat="false" ht="15" hidden="false" customHeight="false" outlineLevel="0" collapsed="false">
      <c r="A93" s="30"/>
      <c r="B93" s="6"/>
      <c r="C93" s="8" t="str">
        <f aca="false">IF(OR(D93="",E93="",D93=E93),"",IF(E93&lt;D93,"BUY","SELL"))</f>
        <v/>
      </c>
      <c r="D93" s="7"/>
      <c r="E93" s="7"/>
      <c r="F93" s="13" t="str">
        <f aca="false">IF(C93="","",D93+1.5*(D93-E93))</f>
        <v/>
      </c>
      <c r="G93" s="7"/>
      <c r="H93" s="8" t="str">
        <f aca="false">IF(I93="","",IF(I93&gt;0,"WIN",IF(I93&lt;0,"LOSS","BE")))</f>
        <v/>
      </c>
      <c r="I93" s="31" t="str">
        <f aca="false">IF(OR(G93="",C93=""),"",ROUND((G93-D93)/(D93-E93),2))</f>
        <v/>
      </c>
      <c r="J93" s="32" t="str">
        <f aca="false">IF(I93="","",ROUND(I93*$M$2*$M$3,2))</f>
        <v/>
      </c>
      <c r="K93" s="6"/>
      <c r="L93" s="26"/>
    </row>
    <row r="94" customFormat="false" ht="15" hidden="false" customHeight="false" outlineLevel="0" collapsed="false">
      <c r="A94" s="30"/>
      <c r="B94" s="6"/>
      <c r="C94" s="8" t="str">
        <f aca="false">IF(OR(D94="",E94="",D94=E94),"",IF(E94&lt;D94,"BUY","SELL"))</f>
        <v/>
      </c>
      <c r="D94" s="7"/>
      <c r="E94" s="7"/>
      <c r="F94" s="13" t="str">
        <f aca="false">IF(C94="","",D94+1.5*(D94-E94))</f>
        <v/>
      </c>
      <c r="G94" s="7"/>
      <c r="H94" s="8" t="str">
        <f aca="false">IF(I94="","",IF(I94&gt;0,"WIN",IF(I94&lt;0,"LOSS","BE")))</f>
        <v/>
      </c>
      <c r="I94" s="31" t="str">
        <f aca="false">IF(OR(G94="",C94=""),"",ROUND((G94-D94)/(D94-E94),2))</f>
        <v/>
      </c>
      <c r="J94" s="32" t="str">
        <f aca="false">IF(I94="","",ROUND(I94*$M$2*$M$3,2))</f>
        <v/>
      </c>
      <c r="K94" s="6"/>
      <c r="L94" s="26"/>
    </row>
    <row r="95" customFormat="false" ht="15" hidden="false" customHeight="false" outlineLevel="0" collapsed="false">
      <c r="A95" s="30"/>
      <c r="B95" s="6"/>
      <c r="C95" s="8" t="str">
        <f aca="false">IF(OR(D95="",E95="",D95=E95),"",IF(E95&lt;D95,"BUY","SELL"))</f>
        <v/>
      </c>
      <c r="D95" s="7"/>
      <c r="E95" s="7"/>
      <c r="F95" s="13" t="str">
        <f aca="false">IF(C95="","",D95+1.5*(D95-E95))</f>
        <v/>
      </c>
      <c r="G95" s="7"/>
      <c r="H95" s="8" t="str">
        <f aca="false">IF(I95="","",IF(I95&gt;0,"WIN",IF(I95&lt;0,"LOSS","BE")))</f>
        <v/>
      </c>
      <c r="I95" s="31" t="str">
        <f aca="false">IF(OR(G95="",C95=""),"",ROUND((G95-D95)/(D95-E95),2))</f>
        <v/>
      </c>
      <c r="J95" s="32" t="str">
        <f aca="false">IF(I95="","",ROUND(I95*$M$2*$M$3,2))</f>
        <v/>
      </c>
      <c r="K95" s="6"/>
      <c r="L95" s="26"/>
    </row>
    <row r="96" customFormat="false" ht="15" hidden="false" customHeight="false" outlineLevel="0" collapsed="false">
      <c r="A96" s="30"/>
      <c r="B96" s="6"/>
      <c r="C96" s="8" t="str">
        <f aca="false">IF(OR(D96="",E96="",D96=E96),"",IF(E96&lt;D96,"BUY","SELL"))</f>
        <v/>
      </c>
      <c r="D96" s="7"/>
      <c r="E96" s="7"/>
      <c r="F96" s="13" t="str">
        <f aca="false">IF(C96="","",D96+1.5*(D96-E96))</f>
        <v/>
      </c>
      <c r="G96" s="7"/>
      <c r="H96" s="8" t="str">
        <f aca="false">IF(I96="","",IF(I96&gt;0,"WIN",IF(I96&lt;0,"LOSS","BE")))</f>
        <v/>
      </c>
      <c r="I96" s="31" t="str">
        <f aca="false">IF(OR(G96="",C96=""),"",ROUND((G96-D96)/(D96-E96),2))</f>
        <v/>
      </c>
      <c r="J96" s="32" t="str">
        <f aca="false">IF(I96="","",ROUND(I96*$M$2*$M$3,2))</f>
        <v/>
      </c>
      <c r="K96" s="6"/>
      <c r="L96" s="26"/>
    </row>
    <row r="97" customFormat="false" ht="15" hidden="false" customHeight="false" outlineLevel="0" collapsed="false">
      <c r="A97" s="30"/>
      <c r="B97" s="6"/>
      <c r="C97" s="8" t="str">
        <f aca="false">IF(OR(D97="",E97="",D97=E97),"",IF(E97&lt;D97,"BUY","SELL"))</f>
        <v/>
      </c>
      <c r="D97" s="7"/>
      <c r="E97" s="7"/>
      <c r="F97" s="13" t="str">
        <f aca="false">IF(C97="","",D97+1.5*(D97-E97))</f>
        <v/>
      </c>
      <c r="G97" s="7"/>
      <c r="H97" s="8" t="str">
        <f aca="false">IF(I97="","",IF(I97&gt;0,"WIN",IF(I97&lt;0,"LOSS","BE")))</f>
        <v/>
      </c>
      <c r="I97" s="31" t="str">
        <f aca="false">IF(OR(G97="",C97=""),"",ROUND((G97-D97)/(D97-E97),2))</f>
        <v/>
      </c>
      <c r="J97" s="32" t="str">
        <f aca="false">IF(I97="","",ROUND(I97*$M$2*$M$3,2))</f>
        <v/>
      </c>
      <c r="K97" s="6"/>
      <c r="L97" s="26"/>
    </row>
    <row r="98" customFormat="false" ht="15" hidden="false" customHeight="false" outlineLevel="0" collapsed="false">
      <c r="A98" s="30"/>
      <c r="B98" s="6"/>
      <c r="C98" s="8" t="str">
        <f aca="false">IF(OR(D98="",E98="",D98=E98),"",IF(E98&lt;D98,"BUY","SELL"))</f>
        <v/>
      </c>
      <c r="D98" s="7"/>
      <c r="E98" s="7"/>
      <c r="F98" s="13" t="str">
        <f aca="false">IF(C98="","",D98+1.5*(D98-E98))</f>
        <v/>
      </c>
      <c r="G98" s="7"/>
      <c r="H98" s="8" t="str">
        <f aca="false">IF(I98="","",IF(I98&gt;0,"WIN",IF(I98&lt;0,"LOSS","BE")))</f>
        <v/>
      </c>
      <c r="I98" s="31" t="str">
        <f aca="false">IF(OR(G98="",C98=""),"",ROUND((G98-D98)/(D98-E98),2))</f>
        <v/>
      </c>
      <c r="J98" s="32" t="str">
        <f aca="false">IF(I98="","",ROUND(I98*$M$2*$M$3,2))</f>
        <v/>
      </c>
      <c r="K98" s="6"/>
      <c r="L98" s="26"/>
    </row>
    <row r="99" customFormat="false" ht="15" hidden="false" customHeight="false" outlineLevel="0" collapsed="false">
      <c r="A99" s="30"/>
      <c r="B99" s="6"/>
      <c r="C99" s="8" t="str">
        <f aca="false">IF(OR(D99="",E99="",D99=E99),"",IF(E99&lt;D99,"BUY","SELL"))</f>
        <v/>
      </c>
      <c r="D99" s="7"/>
      <c r="E99" s="7"/>
      <c r="F99" s="13" t="str">
        <f aca="false">IF(C99="","",D99+1.5*(D99-E99))</f>
        <v/>
      </c>
      <c r="G99" s="7"/>
      <c r="H99" s="8" t="str">
        <f aca="false">IF(I99="","",IF(I99&gt;0,"WIN",IF(I99&lt;0,"LOSS","BE")))</f>
        <v/>
      </c>
      <c r="I99" s="31" t="str">
        <f aca="false">IF(OR(G99="",C99=""),"",ROUND((G99-D99)/(D99-E99),2))</f>
        <v/>
      </c>
      <c r="J99" s="32" t="str">
        <f aca="false">IF(I99="","",ROUND(I99*$M$2*$M$3,2))</f>
        <v/>
      </c>
      <c r="K99" s="6"/>
      <c r="L99" s="26"/>
    </row>
    <row r="100" customFormat="false" ht="15" hidden="false" customHeight="false" outlineLevel="0" collapsed="false">
      <c r="A100" s="30"/>
      <c r="B100" s="6"/>
      <c r="C100" s="8" t="str">
        <f aca="false">IF(OR(D100="",E100="",D100=E100),"",IF(E100&lt;D100,"BUY","SELL"))</f>
        <v/>
      </c>
      <c r="D100" s="7"/>
      <c r="E100" s="7"/>
      <c r="F100" s="13" t="str">
        <f aca="false">IF(C100="","",D100+1.5*(D100-E100))</f>
        <v/>
      </c>
      <c r="G100" s="7"/>
      <c r="H100" s="8" t="str">
        <f aca="false">IF(I100="","",IF(I100&gt;0,"WIN",IF(I100&lt;0,"LOSS","BE")))</f>
        <v/>
      </c>
      <c r="I100" s="31" t="str">
        <f aca="false">IF(OR(G100="",C100=""),"",ROUND((G100-D100)/(D100-E100),2))</f>
        <v/>
      </c>
      <c r="J100" s="32" t="str">
        <f aca="false">IF(I100="","",ROUND(I100*$M$2*$M$3,2))</f>
        <v/>
      </c>
      <c r="K100" s="6"/>
      <c r="L100" s="26"/>
    </row>
    <row r="101" customFormat="false" ht="15" hidden="false" customHeight="false" outlineLevel="0" collapsed="false">
      <c r="A101" s="30"/>
      <c r="B101" s="6"/>
      <c r="C101" s="8" t="str">
        <f aca="false">IF(OR(D101="",E101="",D101=E101),"",IF(E101&lt;D101,"BUY","SELL"))</f>
        <v/>
      </c>
      <c r="D101" s="7"/>
      <c r="E101" s="7"/>
      <c r="F101" s="13" t="str">
        <f aca="false">IF(C101="","",D101+1.5*(D101-E101))</f>
        <v/>
      </c>
      <c r="G101" s="7"/>
      <c r="H101" s="8" t="str">
        <f aca="false">IF(I101="","",IF(I101&gt;0,"WIN",IF(I101&lt;0,"LOSS","BE")))</f>
        <v/>
      </c>
      <c r="I101" s="31" t="str">
        <f aca="false">IF(OR(G101="",C101=""),"",ROUND((G101-D101)/(D101-E101),2))</f>
        <v/>
      </c>
      <c r="J101" s="32" t="str">
        <f aca="false">IF(I101="","",ROUND(I101*$M$2*$M$3,2))</f>
        <v/>
      </c>
      <c r="K101" s="6"/>
      <c r="L101" s="26"/>
    </row>
    <row r="102" customFormat="false" ht="15" hidden="false" customHeight="false" outlineLevel="0" collapsed="false">
      <c r="A102" s="30"/>
      <c r="B102" s="6"/>
      <c r="C102" s="8" t="str">
        <f aca="false">IF(OR(D102="",E102="",D102=E102),"",IF(E102&lt;D102,"BUY","SELL"))</f>
        <v/>
      </c>
      <c r="D102" s="7"/>
      <c r="E102" s="7"/>
      <c r="F102" s="13" t="str">
        <f aca="false">IF(C102="","",D102+1.5*(D102-E102))</f>
        <v/>
      </c>
      <c r="G102" s="7"/>
      <c r="H102" s="8" t="str">
        <f aca="false">IF(I102="","",IF(I102&gt;0,"WIN",IF(I102&lt;0,"LOSS","BE")))</f>
        <v/>
      </c>
      <c r="I102" s="31" t="str">
        <f aca="false">IF(OR(G102="",C102=""),"",ROUND((G102-D102)/(D102-E102),2))</f>
        <v/>
      </c>
      <c r="J102" s="32" t="str">
        <f aca="false">IF(I102="","",ROUND(I102*$M$2*$M$3,2))</f>
        <v/>
      </c>
      <c r="K102" s="6"/>
      <c r="L102" s="26"/>
    </row>
    <row r="103" customFormat="false" ht="15" hidden="false" customHeight="false" outlineLevel="0" collapsed="false">
      <c r="A103" s="30"/>
      <c r="B103" s="6"/>
      <c r="C103" s="8" t="str">
        <f aca="false">IF(OR(D103="",E103="",D103=E103),"",IF(E103&lt;D103,"BUY","SELL"))</f>
        <v/>
      </c>
      <c r="D103" s="7"/>
      <c r="E103" s="7"/>
      <c r="F103" s="13" t="str">
        <f aca="false">IF(C103="","",D103+1.5*(D103-E103))</f>
        <v/>
      </c>
      <c r="G103" s="7"/>
      <c r="H103" s="8" t="str">
        <f aca="false">IF(I103="","",IF(I103&gt;0,"WIN",IF(I103&lt;0,"LOSS","BE")))</f>
        <v/>
      </c>
      <c r="I103" s="31" t="str">
        <f aca="false">IF(OR(G103="",C103=""),"",ROUND((G103-D103)/(D103-E103),2))</f>
        <v/>
      </c>
      <c r="J103" s="32" t="str">
        <f aca="false">IF(I103="","",ROUND(I103*$M$2*$M$3,2))</f>
        <v/>
      </c>
      <c r="K103" s="6"/>
      <c r="L103" s="26"/>
    </row>
    <row r="104" customFormat="false" ht="15" hidden="false" customHeight="false" outlineLevel="0" collapsed="false">
      <c r="A104" s="30"/>
      <c r="B104" s="6"/>
      <c r="C104" s="8" t="str">
        <f aca="false">IF(OR(D104="",E104="",D104=E104),"",IF(E104&lt;D104,"BUY","SELL"))</f>
        <v/>
      </c>
      <c r="D104" s="7"/>
      <c r="E104" s="7"/>
      <c r="F104" s="13" t="str">
        <f aca="false">IF(C104="","",D104+1.5*(D104-E104))</f>
        <v/>
      </c>
      <c r="G104" s="7"/>
      <c r="H104" s="8" t="str">
        <f aca="false">IF(I104="","",IF(I104&gt;0,"WIN",IF(I104&lt;0,"LOSS","BE")))</f>
        <v/>
      </c>
      <c r="I104" s="31" t="str">
        <f aca="false">IF(OR(G104="",C104=""),"",ROUND((G104-D104)/(D104-E104),2))</f>
        <v/>
      </c>
      <c r="J104" s="32" t="str">
        <f aca="false">IF(I104="","",ROUND(I104*$M$2*$M$3,2))</f>
        <v/>
      </c>
      <c r="K104" s="6"/>
      <c r="L104" s="26"/>
    </row>
    <row r="105" customFormat="false" ht="15" hidden="false" customHeight="false" outlineLevel="0" collapsed="false">
      <c r="A105" s="30"/>
      <c r="B105" s="6"/>
      <c r="C105" s="8" t="str">
        <f aca="false">IF(OR(D105="",E105="",D105=E105),"",IF(E105&lt;D105,"BUY","SELL"))</f>
        <v/>
      </c>
      <c r="D105" s="7"/>
      <c r="E105" s="7"/>
      <c r="F105" s="13" t="str">
        <f aca="false">IF(C105="","",D105+1.5*(D105-E105))</f>
        <v/>
      </c>
      <c r="G105" s="7"/>
      <c r="H105" s="8" t="str">
        <f aca="false">IF(I105="","",IF(I105&gt;0,"WIN",IF(I105&lt;0,"LOSS","BE")))</f>
        <v/>
      </c>
      <c r="I105" s="31" t="str">
        <f aca="false">IF(OR(G105="",C105=""),"",ROUND((G105-D105)/(D105-E105),2))</f>
        <v/>
      </c>
      <c r="J105" s="32" t="str">
        <f aca="false">IF(I105="","",ROUND(I105*$M$2*$M$3,2))</f>
        <v/>
      </c>
      <c r="K105" s="6"/>
      <c r="L105" s="26"/>
    </row>
    <row r="106" customFormat="false" ht="15" hidden="false" customHeight="false" outlineLevel="0" collapsed="false">
      <c r="A106" s="30"/>
      <c r="B106" s="6"/>
      <c r="C106" s="8" t="str">
        <f aca="false">IF(OR(D106="",E106="",D106=E106),"",IF(E106&lt;D106,"BUY","SELL"))</f>
        <v/>
      </c>
      <c r="D106" s="7"/>
      <c r="E106" s="7"/>
      <c r="F106" s="13" t="str">
        <f aca="false">IF(C106="","",D106+1.5*(D106-E106))</f>
        <v/>
      </c>
      <c r="G106" s="7"/>
      <c r="H106" s="8" t="str">
        <f aca="false">IF(I106="","",IF(I106&gt;0,"WIN",IF(I106&lt;0,"LOSS","BE")))</f>
        <v/>
      </c>
      <c r="I106" s="31" t="str">
        <f aca="false">IF(OR(G106="",C106=""),"",ROUND((G106-D106)/(D106-E106),2))</f>
        <v/>
      </c>
      <c r="J106" s="32" t="str">
        <f aca="false">IF(I106="","",ROUND(I106*$M$2*$M$3,2))</f>
        <v/>
      </c>
      <c r="K106" s="6"/>
      <c r="L106" s="26"/>
    </row>
    <row r="107" customFormat="false" ht="15" hidden="false" customHeight="false" outlineLevel="0" collapsed="false">
      <c r="A107" s="30"/>
      <c r="B107" s="6"/>
      <c r="C107" s="8" t="str">
        <f aca="false">IF(OR(D107="",E107="",D107=E107),"",IF(E107&lt;D107,"BUY","SELL"))</f>
        <v/>
      </c>
      <c r="D107" s="7"/>
      <c r="E107" s="7"/>
      <c r="F107" s="13" t="str">
        <f aca="false">IF(C107="","",D107+1.5*(D107-E107))</f>
        <v/>
      </c>
      <c r="G107" s="7"/>
      <c r="H107" s="8" t="str">
        <f aca="false">IF(I107="","",IF(I107&gt;0,"WIN",IF(I107&lt;0,"LOSS","BE")))</f>
        <v/>
      </c>
      <c r="I107" s="31" t="str">
        <f aca="false">IF(OR(G107="",C107=""),"",ROUND((G107-D107)/(D107-E107),2))</f>
        <v/>
      </c>
      <c r="J107" s="32" t="str">
        <f aca="false">IF(I107="","",ROUND(I107*$M$2*$M$3,2))</f>
        <v/>
      </c>
      <c r="K107" s="6"/>
      <c r="L107" s="26"/>
    </row>
    <row r="108" customFormat="false" ht="15" hidden="false" customHeight="false" outlineLevel="0" collapsed="false">
      <c r="A108" s="30"/>
      <c r="B108" s="6"/>
      <c r="C108" s="8" t="str">
        <f aca="false">IF(OR(D108="",E108="",D108=E108),"",IF(E108&lt;D108,"BUY","SELL"))</f>
        <v/>
      </c>
      <c r="D108" s="7"/>
      <c r="E108" s="7"/>
      <c r="F108" s="13" t="str">
        <f aca="false">IF(C108="","",D108+1.5*(D108-E108))</f>
        <v/>
      </c>
      <c r="G108" s="7"/>
      <c r="H108" s="8" t="str">
        <f aca="false">IF(I108="","",IF(I108&gt;0,"WIN",IF(I108&lt;0,"LOSS","BE")))</f>
        <v/>
      </c>
      <c r="I108" s="31" t="str">
        <f aca="false">IF(OR(G108="",C108=""),"",ROUND((G108-D108)/(D108-E108),2))</f>
        <v/>
      </c>
      <c r="J108" s="32" t="str">
        <f aca="false">IF(I108="","",ROUND(I108*$M$2*$M$3,2))</f>
        <v/>
      </c>
      <c r="K108" s="6"/>
      <c r="L108" s="26"/>
    </row>
    <row r="109" customFormat="false" ht="15" hidden="false" customHeight="false" outlineLevel="0" collapsed="false">
      <c r="A109" s="30"/>
      <c r="B109" s="6"/>
      <c r="C109" s="8" t="str">
        <f aca="false">IF(OR(D109="",E109="",D109=E109),"",IF(E109&lt;D109,"BUY","SELL"))</f>
        <v/>
      </c>
      <c r="D109" s="7"/>
      <c r="E109" s="7"/>
      <c r="F109" s="13" t="str">
        <f aca="false">IF(C109="","",D109+1.5*(D109-E109))</f>
        <v/>
      </c>
      <c r="G109" s="7"/>
      <c r="H109" s="8" t="str">
        <f aca="false">IF(I109="","",IF(I109&gt;0,"WIN",IF(I109&lt;0,"LOSS","BE")))</f>
        <v/>
      </c>
      <c r="I109" s="31" t="str">
        <f aca="false">IF(OR(G109="",C109=""),"",ROUND((G109-D109)/(D109-E109),2))</f>
        <v/>
      </c>
      <c r="J109" s="32" t="str">
        <f aca="false">IF(I109="","",ROUND(I109*$M$2*$M$3,2))</f>
        <v/>
      </c>
      <c r="K109" s="6"/>
      <c r="L109" s="26"/>
    </row>
    <row r="110" customFormat="false" ht="15" hidden="false" customHeight="false" outlineLevel="0" collapsed="false">
      <c r="A110" s="30"/>
      <c r="B110" s="6"/>
      <c r="C110" s="8" t="str">
        <f aca="false">IF(OR(D110="",E110="",D110=E110),"",IF(E110&lt;D110,"BUY","SELL"))</f>
        <v/>
      </c>
      <c r="D110" s="7"/>
      <c r="E110" s="7"/>
      <c r="F110" s="13" t="str">
        <f aca="false">IF(C110="","",D110+1.5*(D110-E110))</f>
        <v/>
      </c>
      <c r="G110" s="7"/>
      <c r="H110" s="8" t="str">
        <f aca="false">IF(I110="","",IF(I110&gt;0,"WIN",IF(I110&lt;0,"LOSS","BE")))</f>
        <v/>
      </c>
      <c r="I110" s="31" t="str">
        <f aca="false">IF(OR(G110="",C110=""),"",ROUND((G110-D110)/(D110-E110),2))</f>
        <v/>
      </c>
      <c r="J110" s="32" t="str">
        <f aca="false">IF(I110="","",ROUND(I110*$M$2*$M$3,2))</f>
        <v/>
      </c>
      <c r="K110" s="6"/>
      <c r="L110" s="26"/>
    </row>
    <row r="111" customFormat="false" ht="15" hidden="false" customHeight="false" outlineLevel="0" collapsed="false">
      <c r="A111" s="30"/>
      <c r="B111" s="6"/>
      <c r="C111" s="8" t="str">
        <f aca="false">IF(OR(D111="",E111="",D111=E111),"",IF(E111&lt;D111,"BUY","SELL"))</f>
        <v/>
      </c>
      <c r="D111" s="7"/>
      <c r="E111" s="7"/>
      <c r="F111" s="13" t="str">
        <f aca="false">IF(C111="","",D111+1.5*(D111-E111))</f>
        <v/>
      </c>
      <c r="G111" s="7"/>
      <c r="H111" s="8" t="str">
        <f aca="false">IF(I111="","",IF(I111&gt;0,"WIN",IF(I111&lt;0,"LOSS","BE")))</f>
        <v/>
      </c>
      <c r="I111" s="31" t="str">
        <f aca="false">IF(OR(G111="",C111=""),"",ROUND((G111-D111)/(D111-E111),2))</f>
        <v/>
      </c>
      <c r="J111" s="32" t="str">
        <f aca="false">IF(I111="","",ROUND(I111*$M$2*$M$3,2))</f>
        <v/>
      </c>
      <c r="K111" s="6"/>
      <c r="L111" s="26"/>
    </row>
    <row r="112" customFormat="false" ht="15" hidden="false" customHeight="false" outlineLevel="0" collapsed="false">
      <c r="A112" s="30"/>
      <c r="B112" s="6"/>
      <c r="C112" s="8" t="str">
        <f aca="false">IF(OR(D112="",E112="",D112=E112),"",IF(E112&lt;D112,"BUY","SELL"))</f>
        <v/>
      </c>
      <c r="D112" s="7"/>
      <c r="E112" s="7"/>
      <c r="F112" s="13" t="str">
        <f aca="false">IF(C112="","",D112+1.5*(D112-E112))</f>
        <v/>
      </c>
      <c r="G112" s="7"/>
      <c r="H112" s="8" t="str">
        <f aca="false">IF(I112="","",IF(I112&gt;0,"WIN",IF(I112&lt;0,"LOSS","BE")))</f>
        <v/>
      </c>
      <c r="I112" s="31" t="str">
        <f aca="false">IF(OR(G112="",C112=""),"",ROUND((G112-D112)/(D112-E112),2))</f>
        <v/>
      </c>
      <c r="J112" s="32" t="str">
        <f aca="false">IF(I112="","",ROUND(I112*$M$2*$M$3,2))</f>
        <v/>
      </c>
      <c r="K112" s="6"/>
      <c r="L112" s="26"/>
    </row>
    <row r="113" customFormat="false" ht="15" hidden="false" customHeight="false" outlineLevel="0" collapsed="false">
      <c r="A113" s="30"/>
      <c r="B113" s="6"/>
      <c r="C113" s="8" t="str">
        <f aca="false">IF(OR(D113="",E113="",D113=E113),"",IF(E113&lt;D113,"BUY","SELL"))</f>
        <v/>
      </c>
      <c r="D113" s="7"/>
      <c r="E113" s="7"/>
      <c r="F113" s="13" t="str">
        <f aca="false">IF(C113="","",D113+1.5*(D113-E113))</f>
        <v/>
      </c>
      <c r="G113" s="7"/>
      <c r="H113" s="8" t="str">
        <f aca="false">IF(I113="","",IF(I113&gt;0,"WIN",IF(I113&lt;0,"LOSS","BE")))</f>
        <v/>
      </c>
      <c r="I113" s="31" t="str">
        <f aca="false">IF(OR(G113="",C113=""),"",ROUND((G113-D113)/(D113-E113),2))</f>
        <v/>
      </c>
      <c r="J113" s="32" t="str">
        <f aca="false">IF(I113="","",ROUND(I113*$M$2*$M$3,2))</f>
        <v/>
      </c>
      <c r="K113" s="6"/>
      <c r="L113" s="26"/>
    </row>
    <row r="114" customFormat="false" ht="15" hidden="false" customHeight="false" outlineLevel="0" collapsed="false">
      <c r="A114" s="30"/>
      <c r="B114" s="6"/>
      <c r="C114" s="8" t="str">
        <f aca="false">IF(OR(D114="",E114="",D114=E114),"",IF(E114&lt;D114,"BUY","SELL"))</f>
        <v/>
      </c>
      <c r="D114" s="7"/>
      <c r="E114" s="7"/>
      <c r="F114" s="13" t="str">
        <f aca="false">IF(C114="","",D114+1.5*(D114-E114))</f>
        <v/>
      </c>
      <c r="G114" s="7"/>
      <c r="H114" s="8" t="str">
        <f aca="false">IF(I114="","",IF(I114&gt;0,"WIN",IF(I114&lt;0,"LOSS","BE")))</f>
        <v/>
      </c>
      <c r="I114" s="31" t="str">
        <f aca="false">IF(OR(G114="",C114=""),"",ROUND((G114-D114)/(D114-E114),2))</f>
        <v/>
      </c>
      <c r="J114" s="32" t="str">
        <f aca="false">IF(I114="","",ROUND(I114*$M$2*$M$3,2))</f>
        <v/>
      </c>
      <c r="K114" s="6"/>
      <c r="L114" s="26"/>
    </row>
    <row r="115" customFormat="false" ht="15" hidden="false" customHeight="false" outlineLevel="0" collapsed="false">
      <c r="A115" s="30"/>
      <c r="B115" s="6"/>
      <c r="C115" s="8" t="str">
        <f aca="false">IF(OR(D115="",E115="",D115=E115),"",IF(E115&lt;D115,"BUY","SELL"))</f>
        <v/>
      </c>
      <c r="D115" s="7"/>
      <c r="E115" s="7"/>
      <c r="F115" s="13" t="str">
        <f aca="false">IF(C115="","",D115+1.5*(D115-E115))</f>
        <v/>
      </c>
      <c r="G115" s="7"/>
      <c r="H115" s="8" t="str">
        <f aca="false">IF(I115="","",IF(I115&gt;0,"WIN",IF(I115&lt;0,"LOSS","BE")))</f>
        <v/>
      </c>
      <c r="I115" s="31" t="str">
        <f aca="false">IF(OR(G115="",C115=""),"",ROUND((G115-D115)/(D115-E115),2))</f>
        <v/>
      </c>
      <c r="J115" s="32" t="str">
        <f aca="false">IF(I115="","",ROUND(I115*$M$2*$M$3,2))</f>
        <v/>
      </c>
      <c r="K115" s="6"/>
      <c r="L115" s="26"/>
    </row>
    <row r="116" customFormat="false" ht="15" hidden="false" customHeight="false" outlineLevel="0" collapsed="false">
      <c r="A116" s="30"/>
      <c r="B116" s="6"/>
      <c r="C116" s="8" t="str">
        <f aca="false">IF(OR(D116="",E116="",D116=E116),"",IF(E116&lt;D116,"BUY","SELL"))</f>
        <v/>
      </c>
      <c r="D116" s="7"/>
      <c r="E116" s="7"/>
      <c r="F116" s="13" t="str">
        <f aca="false">IF(C116="","",D116+1.5*(D116-E116))</f>
        <v/>
      </c>
      <c r="G116" s="7"/>
      <c r="H116" s="8" t="str">
        <f aca="false">IF(I116="","",IF(I116&gt;0,"WIN",IF(I116&lt;0,"LOSS","BE")))</f>
        <v/>
      </c>
      <c r="I116" s="31" t="str">
        <f aca="false">IF(OR(G116="",C116=""),"",ROUND((G116-D116)/(D116-E116),2))</f>
        <v/>
      </c>
      <c r="J116" s="32" t="str">
        <f aca="false">IF(I116="","",ROUND(I116*$M$2*$M$3,2))</f>
        <v/>
      </c>
      <c r="K116" s="6"/>
      <c r="L116" s="26"/>
    </row>
    <row r="117" customFormat="false" ht="15" hidden="false" customHeight="false" outlineLevel="0" collapsed="false">
      <c r="A117" s="30"/>
      <c r="B117" s="6"/>
      <c r="C117" s="8" t="str">
        <f aca="false">IF(OR(D117="",E117="",D117=E117),"",IF(E117&lt;D117,"BUY","SELL"))</f>
        <v/>
      </c>
      <c r="D117" s="7"/>
      <c r="E117" s="7"/>
      <c r="F117" s="13" t="str">
        <f aca="false">IF(C117="","",D117+1.5*(D117-E117))</f>
        <v/>
      </c>
      <c r="G117" s="7"/>
      <c r="H117" s="8" t="str">
        <f aca="false">IF(I117="","",IF(I117&gt;0,"WIN",IF(I117&lt;0,"LOSS","BE")))</f>
        <v/>
      </c>
      <c r="I117" s="31" t="str">
        <f aca="false">IF(OR(G117="",C117=""),"",ROUND((G117-D117)/(D117-E117),2))</f>
        <v/>
      </c>
      <c r="J117" s="32" t="str">
        <f aca="false">IF(I117="","",ROUND(I117*$M$2*$M$3,2))</f>
        <v/>
      </c>
      <c r="K117" s="6"/>
      <c r="L117" s="26"/>
    </row>
    <row r="118" customFormat="false" ht="15" hidden="false" customHeight="false" outlineLevel="0" collapsed="false">
      <c r="A118" s="30"/>
      <c r="B118" s="6"/>
      <c r="C118" s="8" t="str">
        <f aca="false">IF(OR(D118="",E118="",D118=E118),"",IF(E118&lt;D118,"BUY","SELL"))</f>
        <v/>
      </c>
      <c r="D118" s="7"/>
      <c r="E118" s="7"/>
      <c r="F118" s="13" t="str">
        <f aca="false">IF(C118="","",D118+1.5*(D118-E118))</f>
        <v/>
      </c>
      <c r="G118" s="7"/>
      <c r="H118" s="8" t="str">
        <f aca="false">IF(I118="","",IF(I118&gt;0,"WIN",IF(I118&lt;0,"LOSS","BE")))</f>
        <v/>
      </c>
      <c r="I118" s="31" t="str">
        <f aca="false">IF(OR(G118="",C118=""),"",ROUND((G118-D118)/(D118-E118),2))</f>
        <v/>
      </c>
      <c r="J118" s="32" t="str">
        <f aca="false">IF(I118="","",ROUND(I118*$M$2*$M$3,2))</f>
        <v/>
      </c>
      <c r="K118" s="6"/>
      <c r="L118" s="26"/>
    </row>
    <row r="119" customFormat="false" ht="15" hidden="false" customHeight="false" outlineLevel="0" collapsed="false">
      <c r="A119" s="30"/>
      <c r="B119" s="6"/>
      <c r="C119" s="8" t="str">
        <f aca="false">IF(OR(D119="",E119="",D119=E119),"",IF(E119&lt;D119,"BUY","SELL"))</f>
        <v/>
      </c>
      <c r="D119" s="7"/>
      <c r="E119" s="7"/>
      <c r="F119" s="13" t="str">
        <f aca="false">IF(C119="","",D119+1.5*(D119-E119))</f>
        <v/>
      </c>
      <c r="G119" s="7"/>
      <c r="H119" s="8" t="str">
        <f aca="false">IF(I119="","",IF(I119&gt;0,"WIN",IF(I119&lt;0,"LOSS","BE")))</f>
        <v/>
      </c>
      <c r="I119" s="31" t="str">
        <f aca="false">IF(OR(G119="",C119=""),"",ROUND((G119-D119)/(D119-E119),2))</f>
        <v/>
      </c>
      <c r="J119" s="32" t="str">
        <f aca="false">IF(I119="","",ROUND(I119*$M$2*$M$3,2))</f>
        <v/>
      </c>
      <c r="K119" s="6"/>
      <c r="L119" s="26"/>
    </row>
    <row r="120" customFormat="false" ht="15" hidden="false" customHeight="false" outlineLevel="0" collapsed="false">
      <c r="A120" s="30"/>
      <c r="B120" s="6"/>
      <c r="C120" s="8" t="str">
        <f aca="false">IF(OR(D120="",E120="",D120=E120),"",IF(E120&lt;D120,"BUY","SELL"))</f>
        <v/>
      </c>
      <c r="D120" s="7"/>
      <c r="E120" s="7"/>
      <c r="F120" s="13" t="str">
        <f aca="false">IF(C120="","",D120+1.5*(D120-E120))</f>
        <v/>
      </c>
      <c r="G120" s="7"/>
      <c r="H120" s="8" t="str">
        <f aca="false">IF(I120="","",IF(I120&gt;0,"WIN",IF(I120&lt;0,"LOSS","BE")))</f>
        <v/>
      </c>
      <c r="I120" s="31" t="str">
        <f aca="false">IF(OR(G120="",C120=""),"",ROUND((G120-D120)/(D120-E120),2))</f>
        <v/>
      </c>
      <c r="J120" s="32" t="str">
        <f aca="false">IF(I120="","",ROUND(I120*$M$2*$M$3,2))</f>
        <v/>
      </c>
      <c r="K120" s="6"/>
      <c r="L120" s="26"/>
    </row>
    <row r="121" customFormat="false" ht="15" hidden="false" customHeight="false" outlineLevel="0" collapsed="false">
      <c r="A121" s="30"/>
      <c r="B121" s="6"/>
      <c r="C121" s="8" t="str">
        <f aca="false">IF(OR(D121="",E121="",D121=E121),"",IF(E121&lt;D121,"BUY","SELL"))</f>
        <v/>
      </c>
      <c r="D121" s="7"/>
      <c r="E121" s="7"/>
      <c r="F121" s="13" t="str">
        <f aca="false">IF(C121="","",D121+1.5*(D121-E121))</f>
        <v/>
      </c>
      <c r="G121" s="7"/>
      <c r="H121" s="8" t="str">
        <f aca="false">IF(I121="","",IF(I121&gt;0,"WIN",IF(I121&lt;0,"LOSS","BE")))</f>
        <v/>
      </c>
      <c r="I121" s="31" t="str">
        <f aca="false">IF(OR(G121="",C121=""),"",ROUND((G121-D121)/(D121-E121),2))</f>
        <v/>
      </c>
      <c r="J121" s="32" t="str">
        <f aca="false">IF(I121="","",ROUND(I121*$M$2*$M$3,2))</f>
        <v/>
      </c>
      <c r="K121" s="6"/>
      <c r="L121" s="26"/>
    </row>
    <row r="122" customFormat="false" ht="15" hidden="false" customHeight="false" outlineLevel="0" collapsed="false">
      <c r="A122" s="30"/>
      <c r="B122" s="6"/>
      <c r="C122" s="8" t="str">
        <f aca="false">IF(OR(D122="",E122="",D122=E122),"",IF(E122&lt;D122,"BUY","SELL"))</f>
        <v/>
      </c>
      <c r="D122" s="7"/>
      <c r="E122" s="7"/>
      <c r="F122" s="13" t="str">
        <f aca="false">IF(C122="","",D122+1.5*(D122-E122))</f>
        <v/>
      </c>
      <c r="G122" s="7"/>
      <c r="H122" s="8" t="str">
        <f aca="false">IF(I122="","",IF(I122&gt;0,"WIN",IF(I122&lt;0,"LOSS","BE")))</f>
        <v/>
      </c>
      <c r="I122" s="31" t="str">
        <f aca="false">IF(OR(G122="",C122=""),"",ROUND((G122-D122)/(D122-E122),2))</f>
        <v/>
      </c>
      <c r="J122" s="32" t="str">
        <f aca="false">IF(I122="","",ROUND(I122*$M$2*$M$3,2))</f>
        <v/>
      </c>
      <c r="K122" s="6"/>
      <c r="L122" s="26"/>
    </row>
    <row r="123" customFormat="false" ht="15" hidden="false" customHeight="false" outlineLevel="0" collapsed="false">
      <c r="A123" s="30"/>
      <c r="B123" s="6"/>
      <c r="C123" s="8" t="str">
        <f aca="false">IF(OR(D123="",E123="",D123=E123),"",IF(E123&lt;D123,"BUY","SELL"))</f>
        <v/>
      </c>
      <c r="D123" s="7"/>
      <c r="E123" s="7"/>
      <c r="F123" s="13" t="str">
        <f aca="false">IF(C123="","",D123+1.5*(D123-E123))</f>
        <v/>
      </c>
      <c r="G123" s="7"/>
      <c r="H123" s="8" t="str">
        <f aca="false">IF(I123="","",IF(I123&gt;0,"WIN",IF(I123&lt;0,"LOSS","BE")))</f>
        <v/>
      </c>
      <c r="I123" s="31" t="str">
        <f aca="false">IF(OR(G123="",C123=""),"",ROUND((G123-D123)/(D123-E123),2))</f>
        <v/>
      </c>
      <c r="J123" s="32" t="str">
        <f aca="false">IF(I123="","",ROUND(I123*$M$2*$M$3,2))</f>
        <v/>
      </c>
      <c r="K123" s="6"/>
      <c r="L123" s="26"/>
    </row>
    <row r="124" customFormat="false" ht="15" hidden="false" customHeight="false" outlineLevel="0" collapsed="false">
      <c r="A124" s="30"/>
      <c r="B124" s="6"/>
      <c r="C124" s="8" t="str">
        <f aca="false">IF(OR(D124="",E124="",D124=E124),"",IF(E124&lt;D124,"BUY","SELL"))</f>
        <v/>
      </c>
      <c r="D124" s="7"/>
      <c r="E124" s="7"/>
      <c r="F124" s="13" t="str">
        <f aca="false">IF(C124="","",D124+1.5*(D124-E124))</f>
        <v/>
      </c>
      <c r="G124" s="7"/>
      <c r="H124" s="8" t="str">
        <f aca="false">IF(I124="","",IF(I124&gt;0,"WIN",IF(I124&lt;0,"LOSS","BE")))</f>
        <v/>
      </c>
      <c r="I124" s="31" t="str">
        <f aca="false">IF(OR(G124="",C124=""),"",ROUND((G124-D124)/(D124-E124),2))</f>
        <v/>
      </c>
      <c r="J124" s="32" t="str">
        <f aca="false">IF(I124="","",ROUND(I124*$M$2*$M$3,2))</f>
        <v/>
      </c>
      <c r="K124" s="6"/>
      <c r="L124" s="26"/>
    </row>
    <row r="125" customFormat="false" ht="15" hidden="false" customHeight="false" outlineLevel="0" collapsed="false">
      <c r="A125" s="30"/>
      <c r="B125" s="6"/>
      <c r="C125" s="8" t="str">
        <f aca="false">IF(OR(D125="",E125="",D125=E125),"",IF(E125&lt;D125,"BUY","SELL"))</f>
        <v/>
      </c>
      <c r="D125" s="7"/>
      <c r="E125" s="7"/>
      <c r="F125" s="13" t="str">
        <f aca="false">IF(C125="","",D125+1.5*(D125-E125))</f>
        <v/>
      </c>
      <c r="G125" s="7"/>
      <c r="H125" s="8" t="str">
        <f aca="false">IF(I125="","",IF(I125&gt;0,"WIN",IF(I125&lt;0,"LOSS","BE")))</f>
        <v/>
      </c>
      <c r="I125" s="31" t="str">
        <f aca="false">IF(OR(G125="",C125=""),"",ROUND((G125-D125)/(D125-E125),2))</f>
        <v/>
      </c>
      <c r="J125" s="32" t="str">
        <f aca="false">IF(I125="","",ROUND(I125*$M$2*$M$3,2))</f>
        <v/>
      </c>
      <c r="K125" s="6"/>
      <c r="L125" s="26"/>
    </row>
    <row r="126" customFormat="false" ht="15" hidden="false" customHeight="false" outlineLevel="0" collapsed="false">
      <c r="A126" s="30"/>
      <c r="B126" s="6"/>
      <c r="C126" s="8" t="str">
        <f aca="false">IF(OR(D126="",E126="",D126=E126),"",IF(E126&lt;D126,"BUY","SELL"))</f>
        <v/>
      </c>
      <c r="D126" s="7"/>
      <c r="E126" s="7"/>
      <c r="F126" s="13" t="str">
        <f aca="false">IF(C126="","",D126+1.5*(D126-E126))</f>
        <v/>
      </c>
      <c r="G126" s="7"/>
      <c r="H126" s="8" t="str">
        <f aca="false">IF(I126="","",IF(I126&gt;0,"WIN",IF(I126&lt;0,"LOSS","BE")))</f>
        <v/>
      </c>
      <c r="I126" s="31" t="str">
        <f aca="false">IF(OR(G126="",C126=""),"",ROUND((G126-D126)/(D126-E126),2))</f>
        <v/>
      </c>
      <c r="J126" s="32" t="str">
        <f aca="false">IF(I126="","",ROUND(I126*$M$2*$M$3,2))</f>
        <v/>
      </c>
      <c r="K126" s="6"/>
      <c r="L126" s="26"/>
    </row>
    <row r="127" customFormat="false" ht="15" hidden="false" customHeight="false" outlineLevel="0" collapsed="false">
      <c r="A127" s="30"/>
      <c r="B127" s="6"/>
      <c r="C127" s="8" t="str">
        <f aca="false">IF(OR(D127="",E127="",D127=E127),"",IF(E127&lt;D127,"BUY","SELL"))</f>
        <v/>
      </c>
      <c r="D127" s="7"/>
      <c r="E127" s="7"/>
      <c r="F127" s="13" t="str">
        <f aca="false">IF(C127="","",D127+1.5*(D127-E127))</f>
        <v/>
      </c>
      <c r="G127" s="7"/>
      <c r="H127" s="8" t="str">
        <f aca="false">IF(I127="","",IF(I127&gt;0,"WIN",IF(I127&lt;0,"LOSS","BE")))</f>
        <v/>
      </c>
      <c r="I127" s="31" t="str">
        <f aca="false">IF(OR(G127="",C127=""),"",ROUND((G127-D127)/(D127-E127),2))</f>
        <v/>
      </c>
      <c r="J127" s="32" t="str">
        <f aca="false">IF(I127="","",ROUND(I127*$M$2*$M$3,2))</f>
        <v/>
      </c>
      <c r="K127" s="6"/>
      <c r="L127" s="26"/>
    </row>
    <row r="128" customFormat="false" ht="15" hidden="false" customHeight="false" outlineLevel="0" collapsed="false">
      <c r="A128" s="30"/>
      <c r="B128" s="6"/>
      <c r="C128" s="8" t="str">
        <f aca="false">IF(OR(D128="",E128="",D128=E128),"",IF(E128&lt;D128,"BUY","SELL"))</f>
        <v/>
      </c>
      <c r="D128" s="7"/>
      <c r="E128" s="7"/>
      <c r="F128" s="13" t="str">
        <f aca="false">IF(C128="","",D128+1.5*(D128-E128))</f>
        <v/>
      </c>
      <c r="G128" s="7"/>
      <c r="H128" s="8" t="str">
        <f aca="false">IF(I128="","",IF(I128&gt;0,"WIN",IF(I128&lt;0,"LOSS","BE")))</f>
        <v/>
      </c>
      <c r="I128" s="31" t="str">
        <f aca="false">IF(OR(G128="",C128=""),"",ROUND((G128-D128)/(D128-E128),2))</f>
        <v/>
      </c>
      <c r="J128" s="32" t="str">
        <f aca="false">IF(I128="","",ROUND(I128*$M$2*$M$3,2))</f>
        <v/>
      </c>
      <c r="K128" s="6"/>
      <c r="L128" s="26"/>
    </row>
    <row r="129" customFormat="false" ht="15" hidden="false" customHeight="false" outlineLevel="0" collapsed="false">
      <c r="A129" s="30"/>
      <c r="B129" s="6"/>
      <c r="C129" s="8" t="str">
        <f aca="false">IF(OR(D129="",E129="",D129=E129),"",IF(E129&lt;D129,"BUY","SELL"))</f>
        <v/>
      </c>
      <c r="D129" s="7"/>
      <c r="E129" s="7"/>
      <c r="F129" s="13" t="str">
        <f aca="false">IF(C129="","",D129+1.5*(D129-E129))</f>
        <v/>
      </c>
      <c r="G129" s="7"/>
      <c r="H129" s="8" t="str">
        <f aca="false">IF(I129="","",IF(I129&gt;0,"WIN",IF(I129&lt;0,"LOSS","BE")))</f>
        <v/>
      </c>
      <c r="I129" s="31" t="str">
        <f aca="false">IF(OR(G129="",C129=""),"",ROUND((G129-D129)/(D129-E129),2))</f>
        <v/>
      </c>
      <c r="J129" s="32" t="str">
        <f aca="false">IF(I129="","",ROUND(I129*$M$2*$M$3,2))</f>
        <v/>
      </c>
      <c r="K129" s="6"/>
      <c r="L129" s="26"/>
    </row>
    <row r="130" customFormat="false" ht="15" hidden="false" customHeight="false" outlineLevel="0" collapsed="false">
      <c r="A130" s="30"/>
      <c r="B130" s="6"/>
      <c r="C130" s="8" t="str">
        <f aca="false">IF(OR(D130="",E130="",D130=E130),"",IF(E130&lt;D130,"BUY","SELL"))</f>
        <v/>
      </c>
      <c r="D130" s="7"/>
      <c r="E130" s="7"/>
      <c r="F130" s="13" t="str">
        <f aca="false">IF(C130="","",D130+1.5*(D130-E130))</f>
        <v/>
      </c>
      <c r="G130" s="7"/>
      <c r="H130" s="8" t="str">
        <f aca="false">IF(I130="","",IF(I130&gt;0,"WIN",IF(I130&lt;0,"LOSS","BE")))</f>
        <v/>
      </c>
      <c r="I130" s="31" t="str">
        <f aca="false">IF(OR(G130="",C130=""),"",ROUND((G130-D130)/(D130-E130),2))</f>
        <v/>
      </c>
      <c r="J130" s="32" t="str">
        <f aca="false">IF(I130="","",ROUND(I130*$M$2*$M$3,2))</f>
        <v/>
      </c>
      <c r="K130" s="6"/>
      <c r="L130" s="26"/>
    </row>
    <row r="131" customFormat="false" ht="15" hidden="false" customHeight="false" outlineLevel="0" collapsed="false">
      <c r="A131" s="30"/>
      <c r="B131" s="6"/>
      <c r="C131" s="8" t="str">
        <f aca="false">IF(OR(D131="",E131="",D131=E131),"",IF(E131&lt;D131,"BUY","SELL"))</f>
        <v/>
      </c>
      <c r="D131" s="7"/>
      <c r="E131" s="7"/>
      <c r="F131" s="13" t="str">
        <f aca="false">IF(C131="","",D131+1.5*(D131-E131))</f>
        <v/>
      </c>
      <c r="G131" s="7"/>
      <c r="H131" s="8" t="str">
        <f aca="false">IF(I131="","",IF(I131&gt;0,"WIN",IF(I131&lt;0,"LOSS","BE")))</f>
        <v/>
      </c>
      <c r="I131" s="31" t="str">
        <f aca="false">IF(OR(G131="",C131=""),"",ROUND((G131-D131)/(D131-E131),2))</f>
        <v/>
      </c>
      <c r="J131" s="32" t="str">
        <f aca="false">IF(I131="","",ROUND(I131*$M$2*$M$3,2))</f>
        <v/>
      </c>
      <c r="K131" s="6"/>
      <c r="L131" s="26"/>
    </row>
    <row r="132" customFormat="false" ht="15" hidden="false" customHeight="false" outlineLevel="0" collapsed="false">
      <c r="A132" s="30"/>
      <c r="B132" s="6"/>
      <c r="C132" s="8" t="str">
        <f aca="false">IF(OR(D132="",E132="",D132=E132),"",IF(E132&lt;D132,"BUY","SELL"))</f>
        <v/>
      </c>
      <c r="D132" s="7"/>
      <c r="E132" s="7"/>
      <c r="F132" s="13" t="str">
        <f aca="false">IF(C132="","",D132+1.5*(D132-E132))</f>
        <v/>
      </c>
      <c r="G132" s="7"/>
      <c r="H132" s="8" t="str">
        <f aca="false">IF(I132="","",IF(I132&gt;0,"WIN",IF(I132&lt;0,"LOSS","BE")))</f>
        <v/>
      </c>
      <c r="I132" s="31" t="str">
        <f aca="false">IF(OR(G132="",C132=""),"",ROUND((G132-D132)/(D132-E132),2))</f>
        <v/>
      </c>
      <c r="J132" s="32" t="str">
        <f aca="false">IF(I132="","",ROUND(I132*$M$2*$M$3,2))</f>
        <v/>
      </c>
      <c r="K132" s="6"/>
      <c r="L132" s="26"/>
    </row>
    <row r="133" customFormat="false" ht="15" hidden="false" customHeight="false" outlineLevel="0" collapsed="false">
      <c r="A133" s="30"/>
      <c r="B133" s="6"/>
      <c r="C133" s="8" t="str">
        <f aca="false">IF(OR(D133="",E133="",D133=E133),"",IF(E133&lt;D133,"BUY","SELL"))</f>
        <v/>
      </c>
      <c r="D133" s="7"/>
      <c r="E133" s="7"/>
      <c r="F133" s="13" t="str">
        <f aca="false">IF(C133="","",D133+1.5*(D133-E133))</f>
        <v/>
      </c>
      <c r="G133" s="7"/>
      <c r="H133" s="8" t="str">
        <f aca="false">IF(I133="","",IF(I133&gt;0,"WIN",IF(I133&lt;0,"LOSS","BE")))</f>
        <v/>
      </c>
      <c r="I133" s="31" t="str">
        <f aca="false">IF(OR(G133="",C133=""),"",ROUND((G133-D133)/(D133-E133),2))</f>
        <v/>
      </c>
      <c r="J133" s="32" t="str">
        <f aca="false">IF(I133="","",ROUND(I133*$M$2*$M$3,2))</f>
        <v/>
      </c>
      <c r="K133" s="6"/>
      <c r="L133" s="26"/>
    </row>
    <row r="134" customFormat="false" ht="15" hidden="false" customHeight="false" outlineLevel="0" collapsed="false">
      <c r="A134" s="30"/>
      <c r="B134" s="6"/>
      <c r="C134" s="8" t="str">
        <f aca="false">IF(OR(D134="",E134="",D134=E134),"",IF(E134&lt;D134,"BUY","SELL"))</f>
        <v/>
      </c>
      <c r="D134" s="7"/>
      <c r="E134" s="7"/>
      <c r="F134" s="13" t="str">
        <f aca="false">IF(C134="","",D134+1.5*(D134-E134))</f>
        <v/>
      </c>
      <c r="G134" s="7"/>
      <c r="H134" s="8" t="str">
        <f aca="false">IF(I134="","",IF(I134&gt;0,"WIN",IF(I134&lt;0,"LOSS","BE")))</f>
        <v/>
      </c>
      <c r="I134" s="31" t="str">
        <f aca="false">IF(OR(G134="",C134=""),"",ROUND((G134-D134)/(D134-E134),2))</f>
        <v/>
      </c>
      <c r="J134" s="32" t="str">
        <f aca="false">IF(I134="","",ROUND(I134*$M$2*$M$3,2))</f>
        <v/>
      </c>
      <c r="K134" s="6"/>
      <c r="L134" s="26"/>
    </row>
    <row r="135" customFormat="false" ht="15" hidden="false" customHeight="false" outlineLevel="0" collapsed="false">
      <c r="A135" s="30"/>
      <c r="B135" s="6"/>
      <c r="C135" s="8" t="str">
        <f aca="false">IF(OR(D135="",E135="",D135=E135),"",IF(E135&lt;D135,"BUY","SELL"))</f>
        <v/>
      </c>
      <c r="D135" s="7"/>
      <c r="E135" s="7"/>
      <c r="F135" s="13" t="str">
        <f aca="false">IF(C135="","",D135+1.5*(D135-E135))</f>
        <v/>
      </c>
      <c r="G135" s="7"/>
      <c r="H135" s="8" t="str">
        <f aca="false">IF(I135="","",IF(I135&gt;0,"WIN",IF(I135&lt;0,"LOSS","BE")))</f>
        <v/>
      </c>
      <c r="I135" s="31" t="str">
        <f aca="false">IF(OR(G135="",C135=""),"",ROUND((G135-D135)/(D135-E135),2))</f>
        <v/>
      </c>
      <c r="J135" s="32" t="str">
        <f aca="false">IF(I135="","",ROUND(I135*$M$2*$M$3,2))</f>
        <v/>
      </c>
      <c r="K135" s="6"/>
      <c r="L135" s="26"/>
    </row>
    <row r="136" customFormat="false" ht="15" hidden="false" customHeight="false" outlineLevel="0" collapsed="false">
      <c r="A136" s="30"/>
      <c r="B136" s="6"/>
      <c r="C136" s="8" t="str">
        <f aca="false">IF(OR(D136="",E136="",D136=E136),"",IF(E136&lt;D136,"BUY","SELL"))</f>
        <v/>
      </c>
      <c r="D136" s="7"/>
      <c r="E136" s="7"/>
      <c r="F136" s="13" t="str">
        <f aca="false">IF(C136="","",D136+1.5*(D136-E136))</f>
        <v/>
      </c>
      <c r="G136" s="7"/>
      <c r="H136" s="8" t="str">
        <f aca="false">IF(I136="","",IF(I136&gt;0,"WIN",IF(I136&lt;0,"LOSS","BE")))</f>
        <v/>
      </c>
      <c r="I136" s="31" t="str">
        <f aca="false">IF(OR(G136="",C136=""),"",ROUND((G136-D136)/(D136-E136),2))</f>
        <v/>
      </c>
      <c r="J136" s="32" t="str">
        <f aca="false">IF(I136="","",ROUND(I136*$M$2*$M$3,2))</f>
        <v/>
      </c>
      <c r="K136" s="6"/>
      <c r="L136" s="26"/>
    </row>
    <row r="137" customFormat="false" ht="15" hidden="false" customHeight="false" outlineLevel="0" collapsed="false">
      <c r="A137" s="30"/>
      <c r="B137" s="6"/>
      <c r="C137" s="8" t="str">
        <f aca="false">IF(OR(D137="",E137="",D137=E137),"",IF(E137&lt;D137,"BUY","SELL"))</f>
        <v/>
      </c>
      <c r="D137" s="7"/>
      <c r="E137" s="7"/>
      <c r="F137" s="13" t="str">
        <f aca="false">IF(C137="","",D137+1.5*(D137-E137))</f>
        <v/>
      </c>
      <c r="G137" s="7"/>
      <c r="H137" s="8" t="str">
        <f aca="false">IF(I137="","",IF(I137&gt;0,"WIN",IF(I137&lt;0,"LOSS","BE")))</f>
        <v/>
      </c>
      <c r="I137" s="31" t="str">
        <f aca="false">IF(OR(G137="",C137=""),"",ROUND((G137-D137)/(D137-E137),2))</f>
        <v/>
      </c>
      <c r="J137" s="32" t="str">
        <f aca="false">IF(I137="","",ROUND(I137*$M$2*$M$3,2))</f>
        <v/>
      </c>
      <c r="K137" s="6"/>
      <c r="L137" s="26"/>
    </row>
    <row r="138" customFormat="false" ht="15" hidden="false" customHeight="false" outlineLevel="0" collapsed="false">
      <c r="A138" s="30"/>
      <c r="B138" s="6"/>
      <c r="C138" s="8" t="str">
        <f aca="false">IF(OR(D138="",E138="",D138=E138),"",IF(E138&lt;D138,"BUY","SELL"))</f>
        <v/>
      </c>
      <c r="D138" s="7"/>
      <c r="E138" s="7"/>
      <c r="F138" s="13" t="str">
        <f aca="false">IF(C138="","",D138+1.5*(D138-E138))</f>
        <v/>
      </c>
      <c r="G138" s="7"/>
      <c r="H138" s="8" t="str">
        <f aca="false">IF(I138="","",IF(I138&gt;0,"WIN",IF(I138&lt;0,"LOSS","BE")))</f>
        <v/>
      </c>
      <c r="I138" s="31" t="str">
        <f aca="false">IF(OR(G138="",C138=""),"",ROUND((G138-D138)/(D138-E138),2))</f>
        <v/>
      </c>
      <c r="J138" s="32" t="str">
        <f aca="false">IF(I138="","",ROUND(I138*$M$2*$M$3,2))</f>
        <v/>
      </c>
      <c r="K138" s="6"/>
      <c r="L138" s="26"/>
    </row>
    <row r="139" customFormat="false" ht="15" hidden="false" customHeight="false" outlineLevel="0" collapsed="false">
      <c r="A139" s="30"/>
      <c r="B139" s="6"/>
      <c r="C139" s="8" t="str">
        <f aca="false">IF(OR(D139="",E139="",D139=E139),"",IF(E139&lt;D139,"BUY","SELL"))</f>
        <v/>
      </c>
      <c r="D139" s="7"/>
      <c r="E139" s="7"/>
      <c r="F139" s="13" t="str">
        <f aca="false">IF(C139="","",D139+1.5*(D139-E139))</f>
        <v/>
      </c>
      <c r="G139" s="7"/>
      <c r="H139" s="8" t="str">
        <f aca="false">IF(I139="","",IF(I139&gt;0,"WIN",IF(I139&lt;0,"LOSS","BE")))</f>
        <v/>
      </c>
      <c r="I139" s="31" t="str">
        <f aca="false">IF(OR(G139="",C139=""),"",ROUND((G139-D139)/(D139-E139),2))</f>
        <v/>
      </c>
      <c r="J139" s="32" t="str">
        <f aca="false">IF(I139="","",ROUND(I139*$M$2*$M$3,2))</f>
        <v/>
      </c>
      <c r="K139" s="6"/>
      <c r="L139" s="26"/>
    </row>
    <row r="140" customFormat="false" ht="15" hidden="false" customHeight="false" outlineLevel="0" collapsed="false">
      <c r="A140" s="30"/>
      <c r="B140" s="6"/>
      <c r="C140" s="8" t="str">
        <f aca="false">IF(OR(D140="",E140="",D140=E140),"",IF(E140&lt;D140,"BUY","SELL"))</f>
        <v/>
      </c>
      <c r="D140" s="7"/>
      <c r="E140" s="7"/>
      <c r="F140" s="13" t="str">
        <f aca="false">IF(C140="","",D140+1.5*(D140-E140))</f>
        <v/>
      </c>
      <c r="G140" s="7"/>
      <c r="H140" s="8" t="str">
        <f aca="false">IF(I140="","",IF(I140&gt;0,"WIN",IF(I140&lt;0,"LOSS","BE")))</f>
        <v/>
      </c>
      <c r="I140" s="31" t="str">
        <f aca="false">IF(OR(G140="",C140=""),"",ROUND((G140-D140)/(D140-E140),2))</f>
        <v/>
      </c>
      <c r="J140" s="32" t="str">
        <f aca="false">IF(I140="","",ROUND(I140*$M$2*$M$3,2))</f>
        <v/>
      </c>
      <c r="K140" s="6"/>
      <c r="L140" s="26"/>
    </row>
    <row r="141" customFormat="false" ht="15" hidden="false" customHeight="false" outlineLevel="0" collapsed="false">
      <c r="A141" s="30"/>
      <c r="B141" s="6"/>
      <c r="C141" s="8" t="str">
        <f aca="false">IF(OR(D141="",E141="",D141=E141),"",IF(E141&lt;D141,"BUY","SELL"))</f>
        <v/>
      </c>
      <c r="D141" s="7"/>
      <c r="E141" s="7"/>
      <c r="F141" s="13" t="str">
        <f aca="false">IF(C141="","",D141+1.5*(D141-E141))</f>
        <v/>
      </c>
      <c r="G141" s="7"/>
      <c r="H141" s="8" t="str">
        <f aca="false">IF(I141="","",IF(I141&gt;0,"WIN",IF(I141&lt;0,"LOSS","BE")))</f>
        <v/>
      </c>
      <c r="I141" s="31" t="str">
        <f aca="false">IF(OR(G141="",C141=""),"",ROUND((G141-D141)/(D141-E141),2))</f>
        <v/>
      </c>
      <c r="J141" s="32" t="str">
        <f aca="false">IF(I141="","",ROUND(I141*$M$2*$M$3,2))</f>
        <v/>
      </c>
      <c r="K141" s="6"/>
      <c r="L141" s="26"/>
    </row>
    <row r="142" customFormat="false" ht="15" hidden="false" customHeight="false" outlineLevel="0" collapsed="false">
      <c r="A142" s="30"/>
      <c r="B142" s="6"/>
      <c r="C142" s="8" t="str">
        <f aca="false">IF(OR(D142="",E142="",D142=E142),"",IF(E142&lt;D142,"BUY","SELL"))</f>
        <v/>
      </c>
      <c r="D142" s="7"/>
      <c r="E142" s="7"/>
      <c r="F142" s="13" t="str">
        <f aca="false">IF(C142="","",D142+1.5*(D142-E142))</f>
        <v/>
      </c>
      <c r="G142" s="7"/>
      <c r="H142" s="8" t="str">
        <f aca="false">IF(I142="","",IF(I142&gt;0,"WIN",IF(I142&lt;0,"LOSS","BE")))</f>
        <v/>
      </c>
      <c r="I142" s="31" t="str">
        <f aca="false">IF(OR(G142="",C142=""),"",ROUND((G142-D142)/(D142-E142),2))</f>
        <v/>
      </c>
      <c r="J142" s="32" t="str">
        <f aca="false">IF(I142="","",ROUND(I142*$M$2*$M$3,2))</f>
        <v/>
      </c>
      <c r="K142" s="6"/>
      <c r="L142" s="26"/>
    </row>
    <row r="143" customFormat="false" ht="15" hidden="false" customHeight="false" outlineLevel="0" collapsed="false">
      <c r="A143" s="30"/>
      <c r="B143" s="6"/>
      <c r="C143" s="8" t="str">
        <f aca="false">IF(OR(D143="",E143="",D143=E143),"",IF(E143&lt;D143,"BUY","SELL"))</f>
        <v/>
      </c>
      <c r="D143" s="7"/>
      <c r="E143" s="7"/>
      <c r="F143" s="13" t="str">
        <f aca="false">IF(C143="","",D143+1.5*(D143-E143))</f>
        <v/>
      </c>
      <c r="G143" s="7"/>
      <c r="H143" s="8" t="str">
        <f aca="false">IF(I143="","",IF(I143&gt;0,"WIN",IF(I143&lt;0,"LOSS","BE")))</f>
        <v/>
      </c>
      <c r="I143" s="31" t="str">
        <f aca="false">IF(OR(G143="",C143=""),"",ROUND((G143-D143)/(D143-E143),2))</f>
        <v/>
      </c>
      <c r="J143" s="32" t="str">
        <f aca="false">IF(I143="","",ROUND(I143*$M$2*$M$3,2))</f>
        <v/>
      </c>
      <c r="K143" s="6"/>
      <c r="L143" s="26"/>
    </row>
    <row r="144" customFormat="false" ht="15" hidden="false" customHeight="false" outlineLevel="0" collapsed="false">
      <c r="A144" s="30"/>
      <c r="B144" s="6"/>
      <c r="C144" s="8" t="str">
        <f aca="false">IF(OR(D144="",E144="",D144=E144),"",IF(E144&lt;D144,"BUY","SELL"))</f>
        <v/>
      </c>
      <c r="D144" s="7"/>
      <c r="E144" s="7"/>
      <c r="F144" s="13" t="str">
        <f aca="false">IF(C144="","",D144+1.5*(D144-E144))</f>
        <v/>
      </c>
      <c r="G144" s="7"/>
      <c r="H144" s="8" t="str">
        <f aca="false">IF(I144="","",IF(I144&gt;0,"WIN",IF(I144&lt;0,"LOSS","BE")))</f>
        <v/>
      </c>
      <c r="I144" s="31" t="str">
        <f aca="false">IF(OR(G144="",C144=""),"",ROUND((G144-D144)/(D144-E144),2))</f>
        <v/>
      </c>
      <c r="J144" s="32" t="str">
        <f aca="false">IF(I144="","",ROUND(I144*$M$2*$M$3,2))</f>
        <v/>
      </c>
      <c r="K144" s="6"/>
      <c r="L144" s="26"/>
    </row>
    <row r="145" customFormat="false" ht="15" hidden="false" customHeight="false" outlineLevel="0" collapsed="false">
      <c r="A145" s="30"/>
      <c r="B145" s="6"/>
      <c r="C145" s="8" t="str">
        <f aca="false">IF(OR(D145="",E145="",D145=E145),"",IF(E145&lt;D145,"BUY","SELL"))</f>
        <v/>
      </c>
      <c r="D145" s="7"/>
      <c r="E145" s="7"/>
      <c r="F145" s="13" t="str">
        <f aca="false">IF(C145="","",D145+1.5*(D145-E145))</f>
        <v/>
      </c>
      <c r="G145" s="7"/>
      <c r="H145" s="8" t="str">
        <f aca="false">IF(I145="","",IF(I145&gt;0,"WIN",IF(I145&lt;0,"LOSS","BE")))</f>
        <v/>
      </c>
      <c r="I145" s="31" t="str">
        <f aca="false">IF(OR(G145="",C145=""),"",ROUND((G145-D145)/(D145-E145),2))</f>
        <v/>
      </c>
      <c r="J145" s="32" t="str">
        <f aca="false">IF(I145="","",ROUND(I145*$M$2*$M$3,2))</f>
        <v/>
      </c>
      <c r="K145" s="6"/>
      <c r="L145" s="26"/>
    </row>
    <row r="146" customFormat="false" ht="15" hidden="false" customHeight="false" outlineLevel="0" collapsed="false">
      <c r="A146" s="30"/>
      <c r="B146" s="6"/>
      <c r="C146" s="8" t="str">
        <f aca="false">IF(OR(D146="",E146="",D146=E146),"",IF(E146&lt;D146,"BUY","SELL"))</f>
        <v/>
      </c>
      <c r="D146" s="7"/>
      <c r="E146" s="7"/>
      <c r="F146" s="13" t="str">
        <f aca="false">IF(C146="","",D146+1.5*(D146-E146))</f>
        <v/>
      </c>
      <c r="G146" s="7"/>
      <c r="H146" s="8" t="str">
        <f aca="false">IF(I146="","",IF(I146&gt;0,"WIN",IF(I146&lt;0,"LOSS","BE")))</f>
        <v/>
      </c>
      <c r="I146" s="31" t="str">
        <f aca="false">IF(OR(G146="",C146=""),"",ROUND((G146-D146)/(D146-E146),2))</f>
        <v/>
      </c>
      <c r="J146" s="32" t="str">
        <f aca="false">IF(I146="","",ROUND(I146*$M$2*$M$3,2))</f>
        <v/>
      </c>
      <c r="K146" s="6"/>
      <c r="L146" s="26"/>
    </row>
    <row r="147" customFormat="false" ht="15" hidden="false" customHeight="false" outlineLevel="0" collapsed="false">
      <c r="A147" s="30"/>
      <c r="B147" s="6"/>
      <c r="C147" s="8" t="str">
        <f aca="false">IF(OR(D147="",E147="",D147=E147),"",IF(E147&lt;D147,"BUY","SELL"))</f>
        <v/>
      </c>
      <c r="D147" s="7"/>
      <c r="E147" s="7"/>
      <c r="F147" s="13" t="str">
        <f aca="false">IF(C147="","",D147+1.5*(D147-E147))</f>
        <v/>
      </c>
      <c r="G147" s="7"/>
      <c r="H147" s="8" t="str">
        <f aca="false">IF(I147="","",IF(I147&gt;0,"WIN",IF(I147&lt;0,"LOSS","BE")))</f>
        <v/>
      </c>
      <c r="I147" s="31" t="str">
        <f aca="false">IF(OR(G147="",C147=""),"",ROUND((G147-D147)/(D147-E147),2))</f>
        <v/>
      </c>
      <c r="J147" s="32" t="str">
        <f aca="false">IF(I147="","",ROUND(I147*$M$2*$M$3,2))</f>
        <v/>
      </c>
      <c r="K147" s="6"/>
      <c r="L147" s="26"/>
    </row>
    <row r="148" customFormat="false" ht="15" hidden="false" customHeight="false" outlineLevel="0" collapsed="false">
      <c r="A148" s="30"/>
      <c r="B148" s="6"/>
      <c r="C148" s="8" t="str">
        <f aca="false">IF(OR(D148="",E148="",D148=E148),"",IF(E148&lt;D148,"BUY","SELL"))</f>
        <v/>
      </c>
      <c r="D148" s="7"/>
      <c r="E148" s="7"/>
      <c r="F148" s="13" t="str">
        <f aca="false">IF(C148="","",D148+1.5*(D148-E148))</f>
        <v/>
      </c>
      <c r="G148" s="7"/>
      <c r="H148" s="8" t="str">
        <f aca="false">IF(I148="","",IF(I148&gt;0,"WIN",IF(I148&lt;0,"LOSS","BE")))</f>
        <v/>
      </c>
      <c r="I148" s="31" t="str">
        <f aca="false">IF(OR(G148="",C148=""),"",ROUND((G148-D148)/(D148-E148),2))</f>
        <v/>
      </c>
      <c r="J148" s="32" t="str">
        <f aca="false">IF(I148="","",ROUND(I148*$M$2*$M$3,2))</f>
        <v/>
      </c>
      <c r="K148" s="6"/>
      <c r="L148" s="26"/>
    </row>
    <row r="149" customFormat="false" ht="15" hidden="false" customHeight="false" outlineLevel="0" collapsed="false">
      <c r="A149" s="30"/>
      <c r="B149" s="6"/>
      <c r="C149" s="8" t="str">
        <f aca="false">IF(OR(D149="",E149="",D149=E149),"",IF(E149&lt;D149,"BUY","SELL"))</f>
        <v/>
      </c>
      <c r="D149" s="7"/>
      <c r="E149" s="7"/>
      <c r="F149" s="13" t="str">
        <f aca="false">IF(C149="","",D149+1.5*(D149-E149))</f>
        <v/>
      </c>
      <c r="G149" s="7"/>
      <c r="H149" s="8" t="str">
        <f aca="false">IF(I149="","",IF(I149&gt;0,"WIN",IF(I149&lt;0,"LOSS","BE")))</f>
        <v/>
      </c>
      <c r="I149" s="31" t="str">
        <f aca="false">IF(OR(G149="",C149=""),"",ROUND((G149-D149)/(D149-E149),2))</f>
        <v/>
      </c>
      <c r="J149" s="32" t="str">
        <f aca="false">IF(I149="","",ROUND(I149*$M$2*$M$3,2))</f>
        <v/>
      </c>
      <c r="K149" s="6"/>
      <c r="L149" s="26"/>
    </row>
    <row r="150" customFormat="false" ht="15" hidden="false" customHeight="false" outlineLevel="0" collapsed="false">
      <c r="A150" s="30"/>
      <c r="B150" s="6"/>
      <c r="C150" s="8" t="str">
        <f aca="false">IF(OR(D150="",E150="",D150=E150),"",IF(E150&lt;D150,"BUY","SELL"))</f>
        <v/>
      </c>
      <c r="D150" s="7"/>
      <c r="E150" s="7"/>
      <c r="F150" s="13" t="str">
        <f aca="false">IF(C150="","",D150+1.5*(D150-E150))</f>
        <v/>
      </c>
      <c r="G150" s="7"/>
      <c r="H150" s="8" t="str">
        <f aca="false">IF(I150="","",IF(I150&gt;0,"WIN",IF(I150&lt;0,"LOSS","BE")))</f>
        <v/>
      </c>
      <c r="I150" s="31" t="str">
        <f aca="false">IF(OR(G150="",C150=""),"",ROUND((G150-D150)/(D150-E150),2))</f>
        <v/>
      </c>
      <c r="J150" s="32" t="str">
        <f aca="false">IF(I150="","",ROUND(I150*$M$2*$M$3,2))</f>
        <v/>
      </c>
      <c r="K150" s="6"/>
      <c r="L150" s="26"/>
    </row>
    <row r="151" customFormat="false" ht="15" hidden="false" customHeight="false" outlineLevel="0" collapsed="false">
      <c r="A151" s="30"/>
      <c r="B151" s="6"/>
      <c r="C151" s="8" t="str">
        <f aca="false">IF(OR(D151="",E151="",D151=E151),"",IF(E151&lt;D151,"BUY","SELL"))</f>
        <v/>
      </c>
      <c r="D151" s="7"/>
      <c r="E151" s="7"/>
      <c r="F151" s="13" t="str">
        <f aca="false">IF(C151="","",D151+1.5*(D151-E151))</f>
        <v/>
      </c>
      <c r="G151" s="7"/>
      <c r="H151" s="8" t="str">
        <f aca="false">IF(I151="","",IF(I151&gt;0,"WIN",IF(I151&lt;0,"LOSS","BE")))</f>
        <v/>
      </c>
      <c r="I151" s="31" t="str">
        <f aca="false">IF(OR(G151="",C151=""),"",ROUND((G151-D151)/(D151-E151),2))</f>
        <v/>
      </c>
      <c r="J151" s="32" t="str">
        <f aca="false">IF(I151="","",ROUND(I151*$M$2*$M$3,2))</f>
        <v/>
      </c>
      <c r="K151" s="6"/>
      <c r="L151" s="26"/>
    </row>
    <row r="152" customFormat="false" ht="15" hidden="false" customHeight="false" outlineLevel="0" collapsed="false">
      <c r="A152" s="30"/>
      <c r="B152" s="6"/>
      <c r="C152" s="8" t="str">
        <f aca="false">IF(OR(D152="",E152="",D152=E152),"",IF(E152&lt;D152,"BUY","SELL"))</f>
        <v/>
      </c>
      <c r="D152" s="7"/>
      <c r="E152" s="7"/>
      <c r="F152" s="13" t="str">
        <f aca="false">IF(C152="","",D152+1.5*(D152-E152))</f>
        <v/>
      </c>
      <c r="G152" s="7"/>
      <c r="H152" s="8" t="str">
        <f aca="false">IF(I152="","",IF(I152&gt;0,"WIN",IF(I152&lt;0,"LOSS","BE")))</f>
        <v/>
      </c>
      <c r="I152" s="31" t="str">
        <f aca="false">IF(OR(G152="",C152=""),"",ROUND((G152-D152)/(D152-E152),2))</f>
        <v/>
      </c>
      <c r="J152" s="32" t="str">
        <f aca="false">IF(I152="","",ROUND(I152*$M$2*$M$3,2))</f>
        <v/>
      </c>
      <c r="K152" s="6"/>
      <c r="L152" s="26"/>
    </row>
    <row r="153" customFormat="false" ht="15" hidden="false" customHeight="false" outlineLevel="0" collapsed="false">
      <c r="A153" s="30"/>
      <c r="B153" s="6"/>
      <c r="C153" s="8" t="str">
        <f aca="false">IF(OR(D153="",E153="",D153=E153),"",IF(E153&lt;D153,"BUY","SELL"))</f>
        <v/>
      </c>
      <c r="D153" s="7"/>
      <c r="E153" s="7"/>
      <c r="F153" s="13" t="str">
        <f aca="false">IF(C153="","",D153+1.5*(D153-E153))</f>
        <v/>
      </c>
      <c r="G153" s="7"/>
      <c r="H153" s="8" t="str">
        <f aca="false">IF(I153="","",IF(I153&gt;0,"WIN",IF(I153&lt;0,"LOSS","BE")))</f>
        <v/>
      </c>
      <c r="I153" s="31" t="str">
        <f aca="false">IF(OR(G153="",C153=""),"",ROUND((G153-D153)/(D153-E153),2))</f>
        <v/>
      </c>
      <c r="J153" s="32" t="str">
        <f aca="false">IF(I153="","",ROUND(I153*$M$2*$M$3,2))</f>
        <v/>
      </c>
      <c r="K153" s="6"/>
      <c r="L153" s="26"/>
    </row>
    <row r="154" customFormat="false" ht="15" hidden="false" customHeight="false" outlineLevel="0" collapsed="false">
      <c r="A154" s="30"/>
      <c r="B154" s="6"/>
      <c r="C154" s="8" t="str">
        <f aca="false">IF(OR(D154="",E154="",D154=E154),"",IF(E154&lt;D154,"BUY","SELL"))</f>
        <v/>
      </c>
      <c r="D154" s="7"/>
      <c r="E154" s="7"/>
      <c r="F154" s="13" t="str">
        <f aca="false">IF(C154="","",D154+1.5*(D154-E154))</f>
        <v/>
      </c>
      <c r="G154" s="7"/>
      <c r="H154" s="8" t="str">
        <f aca="false">IF(I154="","",IF(I154&gt;0,"WIN",IF(I154&lt;0,"LOSS","BE")))</f>
        <v/>
      </c>
      <c r="I154" s="31" t="str">
        <f aca="false">IF(OR(G154="",C154=""),"",ROUND((G154-D154)/(D154-E154),2))</f>
        <v/>
      </c>
      <c r="J154" s="32" t="str">
        <f aca="false">IF(I154="","",ROUND(I154*$M$2*$M$3,2))</f>
        <v/>
      </c>
      <c r="K154" s="6"/>
      <c r="L154" s="26"/>
    </row>
    <row r="155" customFormat="false" ht="15" hidden="false" customHeight="false" outlineLevel="0" collapsed="false">
      <c r="A155" s="30"/>
      <c r="B155" s="6"/>
      <c r="C155" s="8" t="str">
        <f aca="false">IF(OR(D155="",E155="",D155=E155),"",IF(E155&lt;D155,"BUY","SELL"))</f>
        <v/>
      </c>
      <c r="D155" s="7"/>
      <c r="E155" s="7"/>
      <c r="F155" s="13" t="str">
        <f aca="false">IF(C155="","",D155+1.5*(D155-E155))</f>
        <v/>
      </c>
      <c r="G155" s="7"/>
      <c r="H155" s="8" t="str">
        <f aca="false">IF(I155="","",IF(I155&gt;0,"WIN",IF(I155&lt;0,"LOSS","BE")))</f>
        <v/>
      </c>
      <c r="I155" s="31" t="str">
        <f aca="false">IF(OR(G155="",C155=""),"",ROUND((G155-D155)/(D155-E155),2))</f>
        <v/>
      </c>
      <c r="J155" s="32" t="str">
        <f aca="false">IF(I155="","",ROUND(I155*$M$2*$M$3,2))</f>
        <v/>
      </c>
      <c r="K155" s="6"/>
      <c r="L155" s="26"/>
    </row>
    <row r="156" customFormat="false" ht="15" hidden="false" customHeight="false" outlineLevel="0" collapsed="false">
      <c r="A156" s="30"/>
      <c r="B156" s="6"/>
      <c r="C156" s="8" t="str">
        <f aca="false">IF(OR(D156="",E156="",D156=E156),"",IF(E156&lt;D156,"BUY","SELL"))</f>
        <v/>
      </c>
      <c r="D156" s="7"/>
      <c r="E156" s="7"/>
      <c r="F156" s="13" t="str">
        <f aca="false">IF(C156="","",D156+1.5*(D156-E156))</f>
        <v/>
      </c>
      <c r="G156" s="7"/>
      <c r="H156" s="8" t="str">
        <f aca="false">IF(I156="","",IF(I156&gt;0,"WIN",IF(I156&lt;0,"LOSS","BE")))</f>
        <v/>
      </c>
      <c r="I156" s="31" t="str">
        <f aca="false">IF(OR(G156="",C156=""),"",ROUND((G156-D156)/(D156-E156),2))</f>
        <v/>
      </c>
      <c r="J156" s="32" t="str">
        <f aca="false">IF(I156="","",ROUND(I156*$M$2*$M$3,2))</f>
        <v/>
      </c>
      <c r="K156" s="6"/>
      <c r="L156" s="26"/>
    </row>
    <row r="157" customFormat="false" ht="15" hidden="false" customHeight="false" outlineLevel="0" collapsed="false">
      <c r="A157" s="30"/>
      <c r="B157" s="6"/>
      <c r="C157" s="8" t="str">
        <f aca="false">IF(OR(D157="",E157="",D157=E157),"",IF(E157&lt;D157,"BUY","SELL"))</f>
        <v/>
      </c>
      <c r="D157" s="7"/>
      <c r="E157" s="7"/>
      <c r="F157" s="13" t="str">
        <f aca="false">IF(C157="","",D157+1.5*(D157-E157))</f>
        <v/>
      </c>
      <c r="G157" s="7"/>
      <c r="H157" s="8" t="str">
        <f aca="false">IF(I157="","",IF(I157&gt;0,"WIN",IF(I157&lt;0,"LOSS","BE")))</f>
        <v/>
      </c>
      <c r="I157" s="31" t="str">
        <f aca="false">IF(OR(G157="",C157=""),"",ROUND((G157-D157)/(D157-E157),2))</f>
        <v/>
      </c>
      <c r="J157" s="32" t="str">
        <f aca="false">IF(I157="","",ROUND(I157*$M$2*$M$3,2))</f>
        <v/>
      </c>
      <c r="K157" s="6"/>
      <c r="L157" s="26"/>
    </row>
    <row r="158" customFormat="false" ht="15" hidden="false" customHeight="false" outlineLevel="0" collapsed="false">
      <c r="A158" s="30"/>
      <c r="B158" s="6"/>
      <c r="C158" s="8" t="str">
        <f aca="false">IF(OR(D158="",E158="",D158=E158),"",IF(E158&lt;D158,"BUY","SELL"))</f>
        <v/>
      </c>
      <c r="D158" s="7"/>
      <c r="E158" s="7"/>
      <c r="F158" s="13" t="str">
        <f aca="false">IF(C158="","",D158+1.5*(D158-E158))</f>
        <v/>
      </c>
      <c r="G158" s="7"/>
      <c r="H158" s="8" t="str">
        <f aca="false">IF(I158="","",IF(I158&gt;0,"WIN",IF(I158&lt;0,"LOSS","BE")))</f>
        <v/>
      </c>
      <c r="I158" s="31" t="str">
        <f aca="false">IF(OR(G158="",C158=""),"",ROUND((G158-D158)/(D158-E158),2))</f>
        <v/>
      </c>
      <c r="J158" s="32" t="str">
        <f aca="false">IF(I158="","",ROUND(I158*$M$2*$M$3,2))</f>
        <v/>
      </c>
      <c r="K158" s="6"/>
      <c r="L158" s="26"/>
    </row>
    <row r="159" customFormat="false" ht="15" hidden="false" customHeight="false" outlineLevel="0" collapsed="false">
      <c r="A159" s="30"/>
      <c r="B159" s="6"/>
      <c r="C159" s="8" t="str">
        <f aca="false">IF(OR(D159="",E159="",D159=E159),"",IF(E159&lt;D159,"BUY","SELL"))</f>
        <v/>
      </c>
      <c r="D159" s="7"/>
      <c r="E159" s="7"/>
      <c r="F159" s="13" t="str">
        <f aca="false">IF(C159="","",D159+1.5*(D159-E159))</f>
        <v/>
      </c>
      <c r="G159" s="7"/>
      <c r="H159" s="8" t="str">
        <f aca="false">IF(I159="","",IF(I159&gt;0,"WIN",IF(I159&lt;0,"LOSS","BE")))</f>
        <v/>
      </c>
      <c r="I159" s="31" t="str">
        <f aca="false">IF(OR(G159="",C159=""),"",ROUND((G159-D159)/(D159-E159),2))</f>
        <v/>
      </c>
      <c r="J159" s="32" t="str">
        <f aca="false">IF(I159="","",ROUND(I159*$M$2*$M$3,2))</f>
        <v/>
      </c>
      <c r="K159" s="6"/>
      <c r="L159" s="26"/>
    </row>
    <row r="160" customFormat="false" ht="15" hidden="false" customHeight="false" outlineLevel="0" collapsed="false">
      <c r="A160" s="30"/>
      <c r="B160" s="6"/>
      <c r="C160" s="8" t="str">
        <f aca="false">IF(OR(D160="",E160="",D160=E160),"",IF(E160&lt;D160,"BUY","SELL"))</f>
        <v/>
      </c>
      <c r="D160" s="7"/>
      <c r="E160" s="7"/>
      <c r="F160" s="13" t="str">
        <f aca="false">IF(C160="","",D160+1.5*(D160-E160))</f>
        <v/>
      </c>
      <c r="G160" s="7"/>
      <c r="H160" s="8" t="str">
        <f aca="false">IF(I160="","",IF(I160&gt;0,"WIN",IF(I160&lt;0,"LOSS","BE")))</f>
        <v/>
      </c>
      <c r="I160" s="31" t="str">
        <f aca="false">IF(OR(G160="",C160=""),"",ROUND((G160-D160)/(D160-E160),2))</f>
        <v/>
      </c>
      <c r="J160" s="32" t="str">
        <f aca="false">IF(I160="","",ROUND(I160*$M$2*$M$3,2))</f>
        <v/>
      </c>
      <c r="K160" s="6"/>
      <c r="L160" s="26"/>
    </row>
    <row r="161" customFormat="false" ht="15" hidden="false" customHeight="false" outlineLevel="0" collapsed="false">
      <c r="A161" s="30"/>
      <c r="B161" s="6"/>
      <c r="C161" s="8" t="str">
        <f aca="false">IF(OR(D161="",E161="",D161=E161),"",IF(E161&lt;D161,"BUY","SELL"))</f>
        <v/>
      </c>
      <c r="D161" s="7"/>
      <c r="E161" s="7"/>
      <c r="F161" s="13" t="str">
        <f aca="false">IF(C161="","",D161+1.5*(D161-E161))</f>
        <v/>
      </c>
      <c r="G161" s="7"/>
      <c r="H161" s="8" t="str">
        <f aca="false">IF(I161="","",IF(I161&gt;0,"WIN",IF(I161&lt;0,"LOSS","BE")))</f>
        <v/>
      </c>
      <c r="I161" s="31" t="str">
        <f aca="false">IF(OR(G161="",C161=""),"",ROUND((G161-D161)/(D161-E161),2))</f>
        <v/>
      </c>
      <c r="J161" s="32" t="str">
        <f aca="false">IF(I161="","",ROUND(I161*$M$2*$M$3,2))</f>
        <v/>
      </c>
      <c r="K161" s="6"/>
      <c r="L161" s="26"/>
    </row>
    <row r="162" customFormat="false" ht="15" hidden="false" customHeight="false" outlineLevel="0" collapsed="false">
      <c r="A162" s="30"/>
      <c r="B162" s="6"/>
      <c r="C162" s="8" t="str">
        <f aca="false">IF(OR(D162="",E162="",D162=E162),"",IF(E162&lt;D162,"BUY","SELL"))</f>
        <v/>
      </c>
      <c r="D162" s="7"/>
      <c r="E162" s="7"/>
      <c r="F162" s="13" t="str">
        <f aca="false">IF(C162="","",D162+1.5*(D162-E162))</f>
        <v/>
      </c>
      <c r="G162" s="7"/>
      <c r="H162" s="8" t="str">
        <f aca="false">IF(I162="","",IF(I162&gt;0,"WIN",IF(I162&lt;0,"LOSS","BE")))</f>
        <v/>
      </c>
      <c r="I162" s="31" t="str">
        <f aca="false">IF(OR(G162="",C162=""),"",ROUND((G162-D162)/(D162-E162),2))</f>
        <v/>
      </c>
      <c r="J162" s="32" t="str">
        <f aca="false">IF(I162="","",ROUND(I162*$M$2*$M$3,2))</f>
        <v/>
      </c>
      <c r="K162" s="6"/>
      <c r="L162" s="26"/>
    </row>
    <row r="163" customFormat="false" ht="15" hidden="false" customHeight="false" outlineLevel="0" collapsed="false">
      <c r="A163" s="30"/>
      <c r="B163" s="6"/>
      <c r="C163" s="8" t="str">
        <f aca="false">IF(OR(D163="",E163="",D163=E163),"",IF(E163&lt;D163,"BUY","SELL"))</f>
        <v/>
      </c>
      <c r="D163" s="7"/>
      <c r="E163" s="7"/>
      <c r="F163" s="13" t="str">
        <f aca="false">IF(C163="","",D163+1.5*(D163-E163))</f>
        <v/>
      </c>
      <c r="G163" s="7"/>
      <c r="H163" s="8" t="str">
        <f aca="false">IF(I163="","",IF(I163&gt;0,"WIN",IF(I163&lt;0,"LOSS","BE")))</f>
        <v/>
      </c>
      <c r="I163" s="31" t="str">
        <f aca="false">IF(OR(G163="",C163=""),"",ROUND((G163-D163)/(D163-E163),2))</f>
        <v/>
      </c>
      <c r="J163" s="32" t="str">
        <f aca="false">IF(I163="","",ROUND(I163*$M$2*$M$3,2))</f>
        <v/>
      </c>
      <c r="K163" s="6"/>
      <c r="L163" s="26"/>
    </row>
    <row r="164" customFormat="false" ht="15" hidden="false" customHeight="false" outlineLevel="0" collapsed="false">
      <c r="A164" s="30"/>
      <c r="B164" s="6"/>
      <c r="C164" s="8" t="str">
        <f aca="false">IF(OR(D164="",E164="",D164=E164),"",IF(E164&lt;D164,"BUY","SELL"))</f>
        <v/>
      </c>
      <c r="D164" s="7"/>
      <c r="E164" s="7"/>
      <c r="F164" s="13" t="str">
        <f aca="false">IF(C164="","",D164+1.5*(D164-E164))</f>
        <v/>
      </c>
      <c r="G164" s="7"/>
      <c r="H164" s="8" t="str">
        <f aca="false">IF(I164="","",IF(I164&gt;0,"WIN",IF(I164&lt;0,"LOSS","BE")))</f>
        <v/>
      </c>
      <c r="I164" s="31" t="str">
        <f aca="false">IF(OR(G164="",C164=""),"",ROUND((G164-D164)/(D164-E164),2))</f>
        <v/>
      </c>
      <c r="J164" s="32" t="str">
        <f aca="false">IF(I164="","",ROUND(I164*$M$2*$M$3,2))</f>
        <v/>
      </c>
      <c r="K164" s="6"/>
      <c r="L164" s="26"/>
    </row>
    <row r="165" customFormat="false" ht="15" hidden="false" customHeight="false" outlineLevel="0" collapsed="false">
      <c r="A165" s="30"/>
      <c r="B165" s="6"/>
      <c r="C165" s="8" t="str">
        <f aca="false">IF(OR(D165="",E165="",D165=E165),"",IF(E165&lt;D165,"BUY","SELL"))</f>
        <v/>
      </c>
      <c r="D165" s="7"/>
      <c r="E165" s="7"/>
      <c r="F165" s="13" t="str">
        <f aca="false">IF(C165="","",D165+1.5*(D165-E165))</f>
        <v/>
      </c>
      <c r="G165" s="7"/>
      <c r="H165" s="8" t="str">
        <f aca="false">IF(I165="","",IF(I165&gt;0,"WIN",IF(I165&lt;0,"LOSS","BE")))</f>
        <v/>
      </c>
      <c r="I165" s="31" t="str">
        <f aca="false">IF(OR(G165="",C165=""),"",ROUND((G165-D165)/(D165-E165),2))</f>
        <v/>
      </c>
      <c r="J165" s="32" t="str">
        <f aca="false">IF(I165="","",ROUND(I165*$M$2*$M$3,2))</f>
        <v/>
      </c>
      <c r="K165" s="6"/>
      <c r="L165" s="26"/>
    </row>
    <row r="166" customFormat="false" ht="15" hidden="false" customHeight="false" outlineLevel="0" collapsed="false">
      <c r="A166" s="30"/>
      <c r="B166" s="6"/>
      <c r="C166" s="8" t="str">
        <f aca="false">IF(OR(D166="",E166="",D166=E166),"",IF(E166&lt;D166,"BUY","SELL"))</f>
        <v/>
      </c>
      <c r="D166" s="7"/>
      <c r="E166" s="7"/>
      <c r="F166" s="13" t="str">
        <f aca="false">IF(C166="","",D166+1.5*(D166-E166))</f>
        <v/>
      </c>
      <c r="G166" s="7"/>
      <c r="H166" s="8" t="str">
        <f aca="false">IF(I166="","",IF(I166&gt;0,"WIN",IF(I166&lt;0,"LOSS","BE")))</f>
        <v/>
      </c>
      <c r="I166" s="31" t="str">
        <f aca="false">IF(OR(G166="",C166=""),"",ROUND((G166-D166)/(D166-E166),2))</f>
        <v/>
      </c>
      <c r="J166" s="32" t="str">
        <f aca="false">IF(I166="","",ROUND(I166*$M$2*$M$3,2))</f>
        <v/>
      </c>
      <c r="K166" s="6"/>
      <c r="L166" s="26"/>
    </row>
    <row r="167" customFormat="false" ht="15" hidden="false" customHeight="false" outlineLevel="0" collapsed="false">
      <c r="A167" s="30"/>
      <c r="B167" s="6"/>
      <c r="C167" s="8" t="str">
        <f aca="false">IF(OR(D167="",E167="",D167=E167),"",IF(E167&lt;D167,"BUY","SELL"))</f>
        <v/>
      </c>
      <c r="D167" s="7"/>
      <c r="E167" s="7"/>
      <c r="F167" s="13" t="str">
        <f aca="false">IF(C167="","",D167+1.5*(D167-E167))</f>
        <v/>
      </c>
      <c r="G167" s="7"/>
      <c r="H167" s="8" t="str">
        <f aca="false">IF(I167="","",IF(I167&gt;0,"WIN",IF(I167&lt;0,"LOSS","BE")))</f>
        <v/>
      </c>
      <c r="I167" s="31" t="str">
        <f aca="false">IF(OR(G167="",C167=""),"",ROUND((G167-D167)/(D167-E167),2))</f>
        <v/>
      </c>
      <c r="J167" s="32" t="str">
        <f aca="false">IF(I167="","",ROUND(I167*$M$2*$M$3,2))</f>
        <v/>
      </c>
      <c r="K167" s="6"/>
      <c r="L167" s="26"/>
    </row>
    <row r="168" customFormat="false" ht="15" hidden="false" customHeight="false" outlineLevel="0" collapsed="false">
      <c r="A168" s="30"/>
      <c r="B168" s="6"/>
      <c r="C168" s="8" t="str">
        <f aca="false">IF(OR(D168="",E168="",D168=E168),"",IF(E168&lt;D168,"BUY","SELL"))</f>
        <v/>
      </c>
      <c r="D168" s="7"/>
      <c r="E168" s="7"/>
      <c r="F168" s="13" t="str">
        <f aca="false">IF(C168="","",D168+1.5*(D168-E168))</f>
        <v/>
      </c>
      <c r="G168" s="7"/>
      <c r="H168" s="8" t="str">
        <f aca="false">IF(I168="","",IF(I168&gt;0,"WIN",IF(I168&lt;0,"LOSS","BE")))</f>
        <v/>
      </c>
      <c r="I168" s="31" t="str">
        <f aca="false">IF(OR(G168="",C168=""),"",ROUND((G168-D168)/(D168-E168),2))</f>
        <v/>
      </c>
      <c r="J168" s="32" t="str">
        <f aca="false">IF(I168="","",ROUND(I168*$M$2*$M$3,2))</f>
        <v/>
      </c>
      <c r="K168" s="6"/>
      <c r="L168" s="26"/>
    </row>
    <row r="169" customFormat="false" ht="15" hidden="false" customHeight="false" outlineLevel="0" collapsed="false">
      <c r="A169" s="30"/>
      <c r="B169" s="6"/>
      <c r="C169" s="8" t="str">
        <f aca="false">IF(OR(D169="",E169="",D169=E169),"",IF(E169&lt;D169,"BUY","SELL"))</f>
        <v/>
      </c>
      <c r="D169" s="7"/>
      <c r="E169" s="7"/>
      <c r="F169" s="13" t="str">
        <f aca="false">IF(C169="","",D169+1.5*(D169-E169))</f>
        <v/>
      </c>
      <c r="G169" s="7"/>
      <c r="H169" s="8" t="str">
        <f aca="false">IF(I169="","",IF(I169&gt;0,"WIN",IF(I169&lt;0,"LOSS","BE")))</f>
        <v/>
      </c>
      <c r="I169" s="31" t="str">
        <f aca="false">IF(OR(G169="",C169=""),"",ROUND((G169-D169)/(D169-E169),2))</f>
        <v/>
      </c>
      <c r="J169" s="32" t="str">
        <f aca="false">IF(I169="","",ROUND(I169*$M$2*$M$3,2))</f>
        <v/>
      </c>
      <c r="K169" s="6"/>
      <c r="L169" s="26"/>
    </row>
    <row r="170" customFormat="false" ht="15" hidden="false" customHeight="false" outlineLevel="0" collapsed="false">
      <c r="A170" s="30"/>
      <c r="B170" s="6"/>
      <c r="C170" s="8" t="str">
        <f aca="false">IF(OR(D170="",E170="",D170=E170),"",IF(E170&lt;D170,"BUY","SELL"))</f>
        <v/>
      </c>
      <c r="D170" s="7"/>
      <c r="E170" s="7"/>
      <c r="F170" s="13" t="str">
        <f aca="false">IF(C170="","",D170+1.5*(D170-E170))</f>
        <v/>
      </c>
      <c r="G170" s="7"/>
      <c r="H170" s="8" t="str">
        <f aca="false">IF(I170="","",IF(I170&gt;0,"WIN",IF(I170&lt;0,"LOSS","BE")))</f>
        <v/>
      </c>
      <c r="I170" s="31" t="str">
        <f aca="false">IF(OR(G170="",C170=""),"",ROUND((G170-D170)/(D170-E170),2))</f>
        <v/>
      </c>
      <c r="J170" s="32" t="str">
        <f aca="false">IF(I170="","",ROUND(I170*$M$2*$M$3,2))</f>
        <v/>
      </c>
      <c r="K170" s="6"/>
      <c r="L170" s="26"/>
    </row>
    <row r="171" customFormat="false" ht="15" hidden="false" customHeight="false" outlineLevel="0" collapsed="false">
      <c r="A171" s="30"/>
      <c r="B171" s="6"/>
      <c r="C171" s="8" t="str">
        <f aca="false">IF(OR(D171="",E171="",D171=E171),"",IF(E171&lt;D171,"BUY","SELL"))</f>
        <v/>
      </c>
      <c r="D171" s="7"/>
      <c r="E171" s="7"/>
      <c r="F171" s="13" t="str">
        <f aca="false">IF(C171="","",D171+1.5*(D171-E171))</f>
        <v/>
      </c>
      <c r="G171" s="7"/>
      <c r="H171" s="8" t="str">
        <f aca="false">IF(I171="","",IF(I171&gt;0,"WIN",IF(I171&lt;0,"LOSS","BE")))</f>
        <v/>
      </c>
      <c r="I171" s="31" t="str">
        <f aca="false">IF(OR(G171="",C171=""),"",ROUND((G171-D171)/(D171-E171),2))</f>
        <v/>
      </c>
      <c r="J171" s="32" t="str">
        <f aca="false">IF(I171="","",ROUND(I171*$M$2*$M$3,2))</f>
        <v/>
      </c>
      <c r="K171" s="6"/>
      <c r="L171" s="26"/>
    </row>
    <row r="172" customFormat="false" ht="15" hidden="false" customHeight="false" outlineLevel="0" collapsed="false">
      <c r="A172" s="30"/>
      <c r="B172" s="6"/>
      <c r="C172" s="8" t="str">
        <f aca="false">IF(OR(D172="",E172="",D172=E172),"",IF(E172&lt;D172,"BUY","SELL"))</f>
        <v/>
      </c>
      <c r="D172" s="7"/>
      <c r="E172" s="7"/>
      <c r="F172" s="13" t="str">
        <f aca="false">IF(C172="","",D172+1.5*(D172-E172))</f>
        <v/>
      </c>
      <c r="G172" s="7"/>
      <c r="H172" s="8" t="str">
        <f aca="false">IF(I172="","",IF(I172&gt;0,"WIN",IF(I172&lt;0,"LOSS","BE")))</f>
        <v/>
      </c>
      <c r="I172" s="31" t="str">
        <f aca="false">IF(OR(G172="",C172=""),"",ROUND((G172-D172)/(D172-E172),2))</f>
        <v/>
      </c>
      <c r="J172" s="32" t="str">
        <f aca="false">IF(I172="","",ROUND(I172*$M$2*$M$3,2))</f>
        <v/>
      </c>
      <c r="K172" s="6"/>
      <c r="L172" s="26"/>
    </row>
    <row r="173" customFormat="false" ht="15" hidden="false" customHeight="false" outlineLevel="0" collapsed="false">
      <c r="A173" s="30"/>
      <c r="B173" s="6"/>
      <c r="C173" s="8" t="str">
        <f aca="false">IF(OR(D173="",E173="",D173=E173),"",IF(E173&lt;D173,"BUY","SELL"))</f>
        <v/>
      </c>
      <c r="D173" s="7"/>
      <c r="E173" s="7"/>
      <c r="F173" s="13" t="str">
        <f aca="false">IF(C173="","",D173+1.5*(D173-E173))</f>
        <v/>
      </c>
      <c r="G173" s="7"/>
      <c r="H173" s="8" t="str">
        <f aca="false">IF(I173="","",IF(I173&gt;0,"WIN",IF(I173&lt;0,"LOSS","BE")))</f>
        <v/>
      </c>
      <c r="I173" s="31" t="str">
        <f aca="false">IF(OR(G173="",C173=""),"",ROUND((G173-D173)/(D173-E173),2))</f>
        <v/>
      </c>
      <c r="J173" s="32" t="str">
        <f aca="false">IF(I173="","",ROUND(I173*$M$2*$M$3,2))</f>
        <v/>
      </c>
      <c r="K173" s="6"/>
      <c r="L173" s="26"/>
    </row>
    <row r="174" customFormat="false" ht="15" hidden="false" customHeight="false" outlineLevel="0" collapsed="false">
      <c r="A174" s="30"/>
      <c r="B174" s="6"/>
      <c r="C174" s="8" t="str">
        <f aca="false">IF(OR(D174="",E174="",D174=E174),"",IF(E174&lt;D174,"BUY","SELL"))</f>
        <v/>
      </c>
      <c r="D174" s="7"/>
      <c r="E174" s="7"/>
      <c r="F174" s="13" t="str">
        <f aca="false">IF(C174="","",D174+1.5*(D174-E174))</f>
        <v/>
      </c>
      <c r="G174" s="7"/>
      <c r="H174" s="8" t="str">
        <f aca="false">IF(I174="","",IF(I174&gt;0,"WIN",IF(I174&lt;0,"LOSS","BE")))</f>
        <v/>
      </c>
      <c r="I174" s="31" t="str">
        <f aca="false">IF(OR(G174="",C174=""),"",ROUND((G174-D174)/(D174-E174),2))</f>
        <v/>
      </c>
      <c r="J174" s="32" t="str">
        <f aca="false">IF(I174="","",ROUND(I174*$M$2*$M$3,2))</f>
        <v/>
      </c>
      <c r="K174" s="6"/>
      <c r="L174" s="26"/>
    </row>
    <row r="175" customFormat="false" ht="15" hidden="false" customHeight="false" outlineLevel="0" collapsed="false">
      <c r="A175" s="30"/>
      <c r="B175" s="6"/>
      <c r="C175" s="8" t="str">
        <f aca="false">IF(OR(D175="",E175="",D175=E175),"",IF(E175&lt;D175,"BUY","SELL"))</f>
        <v/>
      </c>
      <c r="D175" s="7"/>
      <c r="E175" s="7"/>
      <c r="F175" s="13" t="str">
        <f aca="false">IF(C175="","",D175+1.5*(D175-E175))</f>
        <v/>
      </c>
      <c r="G175" s="7"/>
      <c r="H175" s="8" t="str">
        <f aca="false">IF(I175="","",IF(I175&gt;0,"WIN",IF(I175&lt;0,"LOSS","BE")))</f>
        <v/>
      </c>
      <c r="I175" s="31" t="str">
        <f aca="false">IF(OR(G175="",C175=""),"",ROUND((G175-D175)/(D175-E175),2))</f>
        <v/>
      </c>
      <c r="J175" s="32" t="str">
        <f aca="false">IF(I175="","",ROUND(I175*$M$2*$M$3,2))</f>
        <v/>
      </c>
      <c r="K175" s="6"/>
      <c r="L175" s="26"/>
    </row>
    <row r="176" customFormat="false" ht="15" hidden="false" customHeight="false" outlineLevel="0" collapsed="false">
      <c r="A176" s="30"/>
      <c r="B176" s="6"/>
      <c r="C176" s="8" t="str">
        <f aca="false">IF(OR(D176="",E176="",D176=E176),"",IF(E176&lt;D176,"BUY","SELL"))</f>
        <v/>
      </c>
      <c r="D176" s="7"/>
      <c r="E176" s="7"/>
      <c r="F176" s="13" t="str">
        <f aca="false">IF(C176="","",D176+1.5*(D176-E176))</f>
        <v/>
      </c>
      <c r="G176" s="7"/>
      <c r="H176" s="8" t="str">
        <f aca="false">IF(I176="","",IF(I176&gt;0,"WIN",IF(I176&lt;0,"LOSS","BE")))</f>
        <v/>
      </c>
      <c r="I176" s="31" t="str">
        <f aca="false">IF(OR(G176="",C176=""),"",ROUND((G176-D176)/(D176-E176),2))</f>
        <v/>
      </c>
      <c r="J176" s="32" t="str">
        <f aca="false">IF(I176="","",ROUND(I176*$M$2*$M$3,2))</f>
        <v/>
      </c>
      <c r="K176" s="6"/>
      <c r="L176" s="26"/>
    </row>
    <row r="177" customFormat="false" ht="15" hidden="false" customHeight="false" outlineLevel="0" collapsed="false">
      <c r="A177" s="30"/>
      <c r="B177" s="6"/>
      <c r="C177" s="8" t="str">
        <f aca="false">IF(OR(D177="",E177="",D177=E177),"",IF(E177&lt;D177,"BUY","SELL"))</f>
        <v/>
      </c>
      <c r="D177" s="7"/>
      <c r="E177" s="7"/>
      <c r="F177" s="13" t="str">
        <f aca="false">IF(C177="","",D177+1.5*(D177-E177))</f>
        <v/>
      </c>
      <c r="G177" s="7"/>
      <c r="H177" s="8" t="str">
        <f aca="false">IF(I177="","",IF(I177&gt;0,"WIN",IF(I177&lt;0,"LOSS","BE")))</f>
        <v/>
      </c>
      <c r="I177" s="31" t="str">
        <f aca="false">IF(OR(G177="",C177=""),"",ROUND((G177-D177)/(D177-E177),2))</f>
        <v/>
      </c>
      <c r="J177" s="32" t="str">
        <f aca="false">IF(I177="","",ROUND(I177*$M$2*$M$3,2))</f>
        <v/>
      </c>
      <c r="K177" s="6"/>
      <c r="L177" s="26"/>
    </row>
    <row r="178" customFormat="false" ht="15" hidden="false" customHeight="false" outlineLevel="0" collapsed="false">
      <c r="A178" s="30"/>
      <c r="B178" s="6"/>
      <c r="C178" s="8" t="str">
        <f aca="false">IF(OR(D178="",E178="",D178=E178),"",IF(E178&lt;D178,"BUY","SELL"))</f>
        <v/>
      </c>
      <c r="D178" s="7"/>
      <c r="E178" s="7"/>
      <c r="F178" s="13" t="str">
        <f aca="false">IF(C178="","",D178+1.5*(D178-E178))</f>
        <v/>
      </c>
      <c r="G178" s="7"/>
      <c r="H178" s="8" t="str">
        <f aca="false">IF(I178="","",IF(I178&gt;0,"WIN",IF(I178&lt;0,"LOSS","BE")))</f>
        <v/>
      </c>
      <c r="I178" s="31" t="str">
        <f aca="false">IF(OR(G178="",C178=""),"",ROUND((G178-D178)/(D178-E178),2))</f>
        <v/>
      </c>
      <c r="J178" s="32" t="str">
        <f aca="false">IF(I178="","",ROUND(I178*$M$2*$M$3,2))</f>
        <v/>
      </c>
      <c r="K178" s="6"/>
      <c r="L178" s="26"/>
    </row>
    <row r="179" customFormat="false" ht="15" hidden="false" customHeight="false" outlineLevel="0" collapsed="false">
      <c r="A179" s="30"/>
      <c r="B179" s="6"/>
      <c r="C179" s="8" t="str">
        <f aca="false">IF(OR(D179="",E179="",D179=E179),"",IF(E179&lt;D179,"BUY","SELL"))</f>
        <v/>
      </c>
      <c r="D179" s="7"/>
      <c r="E179" s="7"/>
      <c r="F179" s="13" t="str">
        <f aca="false">IF(C179="","",D179+1.5*(D179-E179))</f>
        <v/>
      </c>
      <c r="G179" s="7"/>
      <c r="H179" s="8" t="str">
        <f aca="false">IF(I179="","",IF(I179&gt;0,"WIN",IF(I179&lt;0,"LOSS","BE")))</f>
        <v/>
      </c>
      <c r="I179" s="31" t="str">
        <f aca="false">IF(OR(G179="",C179=""),"",ROUND((G179-D179)/(D179-E179),2))</f>
        <v/>
      </c>
      <c r="J179" s="32" t="str">
        <f aca="false">IF(I179="","",ROUND(I179*$M$2*$M$3,2))</f>
        <v/>
      </c>
      <c r="K179" s="6"/>
      <c r="L179" s="26"/>
    </row>
    <row r="180" customFormat="false" ht="15" hidden="false" customHeight="false" outlineLevel="0" collapsed="false">
      <c r="A180" s="30"/>
      <c r="B180" s="6"/>
      <c r="C180" s="8" t="str">
        <f aca="false">IF(OR(D180="",E180="",D180=E180),"",IF(E180&lt;D180,"BUY","SELL"))</f>
        <v/>
      </c>
      <c r="D180" s="7"/>
      <c r="E180" s="7"/>
      <c r="F180" s="13" t="str">
        <f aca="false">IF(C180="","",D180+1.5*(D180-E180))</f>
        <v/>
      </c>
      <c r="G180" s="7"/>
      <c r="H180" s="8" t="str">
        <f aca="false">IF(I180="","",IF(I180&gt;0,"WIN",IF(I180&lt;0,"LOSS","BE")))</f>
        <v/>
      </c>
      <c r="I180" s="31" t="str">
        <f aca="false">IF(OR(G180="",C180=""),"",ROUND((G180-D180)/(D180-E180),2))</f>
        <v/>
      </c>
      <c r="J180" s="32" t="str">
        <f aca="false">IF(I180="","",ROUND(I180*$M$2*$M$3,2))</f>
        <v/>
      </c>
      <c r="K180" s="6"/>
      <c r="L180" s="26"/>
    </row>
    <row r="181" customFormat="false" ht="15" hidden="false" customHeight="false" outlineLevel="0" collapsed="false">
      <c r="A181" s="30"/>
      <c r="B181" s="6"/>
      <c r="C181" s="8" t="str">
        <f aca="false">IF(OR(D181="",E181="",D181=E181),"",IF(E181&lt;D181,"BUY","SELL"))</f>
        <v/>
      </c>
      <c r="D181" s="7"/>
      <c r="E181" s="7"/>
      <c r="F181" s="13" t="str">
        <f aca="false">IF(C181="","",D181+1.5*(D181-E181))</f>
        <v/>
      </c>
      <c r="G181" s="7"/>
      <c r="H181" s="8" t="str">
        <f aca="false">IF(I181="","",IF(I181&gt;0,"WIN",IF(I181&lt;0,"LOSS","BE")))</f>
        <v/>
      </c>
      <c r="I181" s="31" t="str">
        <f aca="false">IF(OR(G181="",C181=""),"",ROUND((G181-D181)/(D181-E181),2))</f>
        <v/>
      </c>
      <c r="J181" s="32" t="str">
        <f aca="false">IF(I181="","",ROUND(I181*$M$2*$M$3,2))</f>
        <v/>
      </c>
      <c r="K181" s="6"/>
      <c r="L181" s="26"/>
    </row>
    <row r="182" customFormat="false" ht="15" hidden="false" customHeight="false" outlineLevel="0" collapsed="false">
      <c r="A182" s="30"/>
      <c r="B182" s="6"/>
      <c r="C182" s="8" t="str">
        <f aca="false">IF(OR(D182="",E182="",D182=E182),"",IF(E182&lt;D182,"BUY","SELL"))</f>
        <v/>
      </c>
      <c r="D182" s="7"/>
      <c r="E182" s="7"/>
      <c r="F182" s="13" t="str">
        <f aca="false">IF(C182="","",D182+1.5*(D182-E182))</f>
        <v/>
      </c>
      <c r="G182" s="7"/>
      <c r="H182" s="8" t="str">
        <f aca="false">IF(I182="","",IF(I182&gt;0,"WIN",IF(I182&lt;0,"LOSS","BE")))</f>
        <v/>
      </c>
      <c r="I182" s="31" t="str">
        <f aca="false">IF(OR(G182="",C182=""),"",ROUND((G182-D182)/(D182-E182),2))</f>
        <v/>
      </c>
      <c r="J182" s="32" t="str">
        <f aca="false">IF(I182="","",ROUND(I182*$M$2*$M$3,2))</f>
        <v/>
      </c>
      <c r="K182" s="6"/>
      <c r="L182" s="26"/>
    </row>
    <row r="183" customFormat="false" ht="15" hidden="false" customHeight="false" outlineLevel="0" collapsed="false">
      <c r="A183" s="30"/>
      <c r="B183" s="6"/>
      <c r="C183" s="8" t="str">
        <f aca="false">IF(OR(D183="",E183="",D183=E183),"",IF(E183&lt;D183,"BUY","SELL"))</f>
        <v/>
      </c>
      <c r="D183" s="7"/>
      <c r="E183" s="7"/>
      <c r="F183" s="13" t="str">
        <f aca="false">IF(C183="","",D183+1.5*(D183-E183))</f>
        <v/>
      </c>
      <c r="G183" s="7"/>
      <c r="H183" s="8" t="str">
        <f aca="false">IF(I183="","",IF(I183&gt;0,"WIN",IF(I183&lt;0,"LOSS","BE")))</f>
        <v/>
      </c>
      <c r="I183" s="31" t="str">
        <f aca="false">IF(OR(G183="",C183=""),"",ROUND((G183-D183)/(D183-E183),2))</f>
        <v/>
      </c>
      <c r="J183" s="32" t="str">
        <f aca="false">IF(I183="","",ROUND(I183*$M$2*$M$3,2))</f>
        <v/>
      </c>
      <c r="K183" s="6"/>
      <c r="L183" s="26"/>
    </row>
    <row r="184" customFormat="false" ht="15" hidden="false" customHeight="false" outlineLevel="0" collapsed="false">
      <c r="A184" s="30"/>
      <c r="B184" s="6"/>
      <c r="C184" s="8" t="str">
        <f aca="false">IF(OR(D184="",E184="",D184=E184),"",IF(E184&lt;D184,"BUY","SELL"))</f>
        <v/>
      </c>
      <c r="D184" s="7"/>
      <c r="E184" s="7"/>
      <c r="F184" s="13" t="str">
        <f aca="false">IF(C184="","",D184+1.5*(D184-E184))</f>
        <v/>
      </c>
      <c r="G184" s="7"/>
      <c r="H184" s="8" t="str">
        <f aca="false">IF(I184="","",IF(I184&gt;0,"WIN",IF(I184&lt;0,"LOSS","BE")))</f>
        <v/>
      </c>
      <c r="I184" s="31" t="str">
        <f aca="false">IF(OR(G184="",C184=""),"",ROUND((G184-D184)/(D184-E184),2))</f>
        <v/>
      </c>
      <c r="J184" s="32" t="str">
        <f aca="false">IF(I184="","",ROUND(I184*$M$2*$M$3,2))</f>
        <v/>
      </c>
      <c r="K184" s="6"/>
      <c r="L184" s="26"/>
    </row>
    <row r="185" customFormat="false" ht="15" hidden="false" customHeight="false" outlineLevel="0" collapsed="false">
      <c r="A185" s="30"/>
      <c r="B185" s="6"/>
      <c r="C185" s="8" t="str">
        <f aca="false">IF(OR(D185="",E185="",D185=E185),"",IF(E185&lt;D185,"BUY","SELL"))</f>
        <v/>
      </c>
      <c r="D185" s="7"/>
      <c r="E185" s="7"/>
      <c r="F185" s="13" t="str">
        <f aca="false">IF(C185="","",D185+1.5*(D185-E185))</f>
        <v/>
      </c>
      <c r="G185" s="7"/>
      <c r="H185" s="8" t="str">
        <f aca="false">IF(I185="","",IF(I185&gt;0,"WIN",IF(I185&lt;0,"LOSS","BE")))</f>
        <v/>
      </c>
      <c r="I185" s="31" t="str">
        <f aca="false">IF(OR(G185="",C185=""),"",ROUND((G185-D185)/(D185-E185),2))</f>
        <v/>
      </c>
      <c r="J185" s="32" t="str">
        <f aca="false">IF(I185="","",ROUND(I185*$M$2*$M$3,2))</f>
        <v/>
      </c>
      <c r="K185" s="6"/>
      <c r="L185" s="26"/>
    </row>
    <row r="186" customFormat="false" ht="15" hidden="false" customHeight="false" outlineLevel="0" collapsed="false">
      <c r="A186" s="30"/>
      <c r="B186" s="6"/>
      <c r="C186" s="8" t="str">
        <f aca="false">IF(OR(D186="",E186="",D186=E186),"",IF(E186&lt;D186,"BUY","SELL"))</f>
        <v/>
      </c>
      <c r="D186" s="7"/>
      <c r="E186" s="7"/>
      <c r="F186" s="13" t="str">
        <f aca="false">IF(C186="","",D186+1.5*(D186-E186))</f>
        <v/>
      </c>
      <c r="G186" s="7"/>
      <c r="H186" s="8" t="str">
        <f aca="false">IF(I186="","",IF(I186&gt;0,"WIN",IF(I186&lt;0,"LOSS","BE")))</f>
        <v/>
      </c>
      <c r="I186" s="31" t="str">
        <f aca="false">IF(OR(G186="",C186=""),"",ROUND((G186-D186)/(D186-E186),2))</f>
        <v/>
      </c>
      <c r="J186" s="32" t="str">
        <f aca="false">IF(I186="","",ROUND(I186*$M$2*$M$3,2))</f>
        <v/>
      </c>
      <c r="K186" s="6"/>
      <c r="L186" s="26"/>
    </row>
    <row r="187" customFormat="false" ht="15" hidden="false" customHeight="false" outlineLevel="0" collapsed="false">
      <c r="A187" s="30"/>
      <c r="B187" s="6"/>
      <c r="C187" s="8" t="str">
        <f aca="false">IF(OR(D187="",E187="",D187=E187),"",IF(E187&lt;D187,"BUY","SELL"))</f>
        <v/>
      </c>
      <c r="D187" s="7"/>
      <c r="E187" s="7"/>
      <c r="F187" s="13" t="str">
        <f aca="false">IF(C187="","",D187+1.5*(D187-E187))</f>
        <v/>
      </c>
      <c r="G187" s="7"/>
      <c r="H187" s="8" t="str">
        <f aca="false">IF(I187="","",IF(I187&gt;0,"WIN",IF(I187&lt;0,"LOSS","BE")))</f>
        <v/>
      </c>
      <c r="I187" s="31" t="str">
        <f aca="false">IF(OR(G187="",C187=""),"",ROUND((G187-D187)/(D187-E187),2))</f>
        <v/>
      </c>
      <c r="J187" s="32" t="str">
        <f aca="false">IF(I187="","",ROUND(I187*$M$2*$M$3,2))</f>
        <v/>
      </c>
      <c r="K187" s="6"/>
      <c r="L187" s="26"/>
    </row>
    <row r="188" customFormat="false" ht="15" hidden="false" customHeight="false" outlineLevel="0" collapsed="false">
      <c r="A188" s="30"/>
      <c r="B188" s="6"/>
      <c r="C188" s="8" t="str">
        <f aca="false">IF(OR(D188="",E188="",D188=E188),"",IF(E188&lt;D188,"BUY","SELL"))</f>
        <v/>
      </c>
      <c r="D188" s="7"/>
      <c r="E188" s="7"/>
      <c r="F188" s="13" t="str">
        <f aca="false">IF(C188="","",D188+1.5*(D188-E188))</f>
        <v/>
      </c>
      <c r="G188" s="7"/>
      <c r="H188" s="8" t="str">
        <f aca="false">IF(I188="","",IF(I188&gt;0,"WIN",IF(I188&lt;0,"LOSS","BE")))</f>
        <v/>
      </c>
      <c r="I188" s="31" t="str">
        <f aca="false">IF(OR(G188="",C188=""),"",ROUND((G188-D188)/(D188-E188),2))</f>
        <v/>
      </c>
      <c r="J188" s="32" t="str">
        <f aca="false">IF(I188="","",ROUND(I188*$M$2*$M$3,2))</f>
        <v/>
      </c>
      <c r="K188" s="6"/>
      <c r="L188" s="26"/>
    </row>
    <row r="189" customFormat="false" ht="15" hidden="false" customHeight="false" outlineLevel="0" collapsed="false">
      <c r="A189" s="30"/>
      <c r="B189" s="6"/>
      <c r="C189" s="8" t="str">
        <f aca="false">IF(OR(D189="",E189="",D189=E189),"",IF(E189&lt;D189,"BUY","SELL"))</f>
        <v/>
      </c>
      <c r="D189" s="7"/>
      <c r="E189" s="7"/>
      <c r="F189" s="13" t="str">
        <f aca="false">IF(C189="","",D189+1.5*(D189-E189))</f>
        <v/>
      </c>
      <c r="G189" s="7"/>
      <c r="H189" s="8" t="str">
        <f aca="false">IF(I189="","",IF(I189&gt;0,"WIN",IF(I189&lt;0,"LOSS","BE")))</f>
        <v/>
      </c>
      <c r="I189" s="31" t="str">
        <f aca="false">IF(OR(G189="",C189=""),"",ROUND((G189-D189)/(D189-E189),2))</f>
        <v/>
      </c>
      <c r="J189" s="32" t="str">
        <f aca="false">IF(I189="","",ROUND(I189*$M$2*$M$3,2))</f>
        <v/>
      </c>
      <c r="K189" s="6"/>
      <c r="L189" s="26"/>
    </row>
    <row r="190" customFormat="false" ht="15" hidden="false" customHeight="false" outlineLevel="0" collapsed="false">
      <c r="A190" s="30"/>
      <c r="B190" s="6"/>
      <c r="C190" s="8" t="str">
        <f aca="false">IF(OR(D190="",E190="",D190=E190),"",IF(E190&lt;D190,"BUY","SELL"))</f>
        <v/>
      </c>
      <c r="D190" s="7"/>
      <c r="E190" s="7"/>
      <c r="F190" s="13" t="str">
        <f aca="false">IF(C190="","",D190+1.5*(D190-E190))</f>
        <v/>
      </c>
      <c r="G190" s="7"/>
      <c r="H190" s="8" t="str">
        <f aca="false">IF(I190="","",IF(I190&gt;0,"WIN",IF(I190&lt;0,"LOSS","BE")))</f>
        <v/>
      </c>
      <c r="I190" s="31" t="str">
        <f aca="false">IF(OR(G190="",C190=""),"",ROUND((G190-D190)/(D190-E190),2))</f>
        <v/>
      </c>
      <c r="J190" s="32" t="str">
        <f aca="false">IF(I190="","",ROUND(I190*$M$2*$M$3,2))</f>
        <v/>
      </c>
      <c r="K190" s="6"/>
      <c r="L190" s="26"/>
    </row>
    <row r="191" customFormat="false" ht="15" hidden="false" customHeight="false" outlineLevel="0" collapsed="false">
      <c r="A191" s="30"/>
      <c r="B191" s="6"/>
      <c r="C191" s="8" t="str">
        <f aca="false">IF(OR(D191="",E191="",D191=E191),"",IF(E191&lt;D191,"BUY","SELL"))</f>
        <v/>
      </c>
      <c r="D191" s="7"/>
      <c r="E191" s="7"/>
      <c r="F191" s="13" t="str">
        <f aca="false">IF(C191="","",D191+1.5*(D191-E191))</f>
        <v/>
      </c>
      <c r="G191" s="7"/>
      <c r="H191" s="8" t="str">
        <f aca="false">IF(I191="","",IF(I191&gt;0,"WIN",IF(I191&lt;0,"LOSS","BE")))</f>
        <v/>
      </c>
      <c r="I191" s="31" t="str">
        <f aca="false">IF(OR(G191="",C191=""),"",ROUND((G191-D191)/(D191-E191),2))</f>
        <v/>
      </c>
      <c r="J191" s="32" t="str">
        <f aca="false">IF(I191="","",ROUND(I191*$M$2*$M$3,2))</f>
        <v/>
      </c>
      <c r="K191" s="6"/>
      <c r="L191" s="26"/>
    </row>
    <row r="192" customFormat="false" ht="15" hidden="false" customHeight="false" outlineLevel="0" collapsed="false">
      <c r="A192" s="30"/>
      <c r="B192" s="6"/>
      <c r="C192" s="8" t="str">
        <f aca="false">IF(OR(D192="",E192="",D192=E192),"",IF(E192&lt;D192,"BUY","SELL"))</f>
        <v/>
      </c>
      <c r="D192" s="7"/>
      <c r="E192" s="7"/>
      <c r="F192" s="13" t="str">
        <f aca="false">IF(C192="","",D192+1.5*(D192-E192))</f>
        <v/>
      </c>
      <c r="G192" s="7"/>
      <c r="H192" s="8" t="str">
        <f aca="false">IF(I192="","",IF(I192&gt;0,"WIN",IF(I192&lt;0,"LOSS","BE")))</f>
        <v/>
      </c>
      <c r="I192" s="31" t="str">
        <f aca="false">IF(OR(G192="",C192=""),"",ROUND((G192-D192)/(D192-E192),2))</f>
        <v/>
      </c>
      <c r="J192" s="32" t="str">
        <f aca="false">IF(I192="","",ROUND(I192*$M$2*$M$3,2))</f>
        <v/>
      </c>
      <c r="K192" s="6"/>
      <c r="L192" s="26"/>
    </row>
    <row r="193" customFormat="false" ht="15" hidden="false" customHeight="false" outlineLevel="0" collapsed="false">
      <c r="A193" s="30"/>
      <c r="B193" s="6"/>
      <c r="C193" s="8" t="str">
        <f aca="false">IF(OR(D193="",E193="",D193=E193),"",IF(E193&lt;D193,"BUY","SELL"))</f>
        <v/>
      </c>
      <c r="D193" s="7"/>
      <c r="E193" s="7"/>
      <c r="F193" s="13" t="str">
        <f aca="false">IF(C193="","",D193+1.5*(D193-E193))</f>
        <v/>
      </c>
      <c r="G193" s="7"/>
      <c r="H193" s="8" t="str">
        <f aca="false">IF(I193="","",IF(I193&gt;0,"WIN",IF(I193&lt;0,"LOSS","BE")))</f>
        <v/>
      </c>
      <c r="I193" s="31" t="str">
        <f aca="false">IF(OR(G193="",C193=""),"",ROUND((G193-D193)/(D193-E193),2))</f>
        <v/>
      </c>
      <c r="J193" s="32" t="str">
        <f aca="false">IF(I193="","",ROUND(I193*$M$2*$M$3,2))</f>
        <v/>
      </c>
      <c r="K193" s="6"/>
      <c r="L193" s="26"/>
    </row>
    <row r="194" customFormat="false" ht="15" hidden="false" customHeight="false" outlineLevel="0" collapsed="false">
      <c r="A194" s="30"/>
      <c r="B194" s="6"/>
      <c r="C194" s="8" t="str">
        <f aca="false">IF(OR(D194="",E194="",D194=E194),"",IF(E194&lt;D194,"BUY","SELL"))</f>
        <v/>
      </c>
      <c r="D194" s="7"/>
      <c r="E194" s="7"/>
      <c r="F194" s="13" t="str">
        <f aca="false">IF(C194="","",D194+1.5*(D194-E194))</f>
        <v/>
      </c>
      <c r="G194" s="7"/>
      <c r="H194" s="8" t="str">
        <f aca="false">IF(I194="","",IF(I194&gt;0,"WIN",IF(I194&lt;0,"LOSS","BE")))</f>
        <v/>
      </c>
      <c r="I194" s="31" t="str">
        <f aca="false">IF(OR(G194="",C194=""),"",ROUND((G194-D194)/(D194-E194),2))</f>
        <v/>
      </c>
      <c r="J194" s="32" t="str">
        <f aca="false">IF(I194="","",ROUND(I194*$M$2*$M$3,2))</f>
        <v/>
      </c>
      <c r="K194" s="6"/>
      <c r="L194" s="26"/>
    </row>
    <row r="195" customFormat="false" ht="15" hidden="false" customHeight="false" outlineLevel="0" collapsed="false">
      <c r="A195" s="30"/>
      <c r="B195" s="6"/>
      <c r="C195" s="8" t="str">
        <f aca="false">IF(OR(D195="",E195="",D195=E195),"",IF(E195&lt;D195,"BUY","SELL"))</f>
        <v/>
      </c>
      <c r="D195" s="7"/>
      <c r="E195" s="7"/>
      <c r="F195" s="13" t="str">
        <f aca="false">IF(C195="","",D195+1.5*(D195-E195))</f>
        <v/>
      </c>
      <c r="G195" s="7"/>
      <c r="H195" s="8" t="str">
        <f aca="false">IF(I195="","",IF(I195&gt;0,"WIN",IF(I195&lt;0,"LOSS","BE")))</f>
        <v/>
      </c>
      <c r="I195" s="31" t="str">
        <f aca="false">IF(OR(G195="",C195=""),"",ROUND((G195-D195)/(D195-E195),2))</f>
        <v/>
      </c>
      <c r="J195" s="32" t="str">
        <f aca="false">IF(I195="","",ROUND(I195*$M$2*$M$3,2))</f>
        <v/>
      </c>
      <c r="K195" s="6"/>
      <c r="L195" s="26"/>
    </row>
    <row r="196" customFormat="false" ht="15" hidden="false" customHeight="false" outlineLevel="0" collapsed="false">
      <c r="A196" s="30"/>
      <c r="B196" s="6"/>
      <c r="C196" s="8" t="str">
        <f aca="false">IF(OR(D196="",E196="",D196=E196),"",IF(E196&lt;D196,"BUY","SELL"))</f>
        <v/>
      </c>
      <c r="D196" s="7"/>
      <c r="E196" s="7"/>
      <c r="F196" s="13" t="str">
        <f aca="false">IF(C196="","",D196+1.5*(D196-E196))</f>
        <v/>
      </c>
      <c r="G196" s="7"/>
      <c r="H196" s="8" t="str">
        <f aca="false">IF(I196="","",IF(I196&gt;0,"WIN",IF(I196&lt;0,"LOSS","BE")))</f>
        <v/>
      </c>
      <c r="I196" s="31" t="str">
        <f aca="false">IF(OR(G196="",C196=""),"",ROUND((G196-D196)/(D196-E196),2))</f>
        <v/>
      </c>
      <c r="J196" s="32" t="str">
        <f aca="false">IF(I196="","",ROUND(I196*$M$2*$M$3,2))</f>
        <v/>
      </c>
      <c r="K196" s="6"/>
      <c r="L196" s="26"/>
    </row>
    <row r="197" customFormat="false" ht="15" hidden="false" customHeight="false" outlineLevel="0" collapsed="false">
      <c r="A197" s="30"/>
      <c r="B197" s="6"/>
      <c r="C197" s="8" t="str">
        <f aca="false">IF(OR(D197="",E197="",D197=E197),"",IF(E197&lt;D197,"BUY","SELL"))</f>
        <v/>
      </c>
      <c r="D197" s="7"/>
      <c r="E197" s="7"/>
      <c r="F197" s="13" t="str">
        <f aca="false">IF(C197="","",D197+1.5*(D197-E197))</f>
        <v/>
      </c>
      <c r="G197" s="7"/>
      <c r="H197" s="8" t="str">
        <f aca="false">IF(I197="","",IF(I197&gt;0,"WIN",IF(I197&lt;0,"LOSS","BE")))</f>
        <v/>
      </c>
      <c r="I197" s="31" t="str">
        <f aca="false">IF(OR(G197="",C197=""),"",ROUND((G197-D197)/(D197-E197),2))</f>
        <v/>
      </c>
      <c r="J197" s="32" t="str">
        <f aca="false">IF(I197="","",ROUND(I197*$M$2*$M$3,2))</f>
        <v/>
      </c>
      <c r="K197" s="6"/>
      <c r="L197" s="26"/>
    </row>
    <row r="198" customFormat="false" ht="15" hidden="false" customHeight="false" outlineLevel="0" collapsed="false">
      <c r="A198" s="30"/>
      <c r="B198" s="6"/>
      <c r="C198" s="8" t="str">
        <f aca="false">IF(OR(D198="",E198="",D198=E198),"",IF(E198&lt;D198,"BUY","SELL"))</f>
        <v/>
      </c>
      <c r="D198" s="7"/>
      <c r="E198" s="7"/>
      <c r="F198" s="13" t="str">
        <f aca="false">IF(C198="","",D198+1.5*(D198-E198))</f>
        <v/>
      </c>
      <c r="G198" s="7"/>
      <c r="H198" s="8" t="str">
        <f aca="false">IF(I198="","",IF(I198&gt;0,"WIN",IF(I198&lt;0,"LOSS","BE")))</f>
        <v/>
      </c>
      <c r="I198" s="31" t="str">
        <f aca="false">IF(OR(G198="",C198=""),"",ROUND((G198-D198)/(D198-E198),2))</f>
        <v/>
      </c>
      <c r="J198" s="32" t="str">
        <f aca="false">IF(I198="","",ROUND(I198*$M$2*$M$3,2))</f>
        <v/>
      </c>
      <c r="K198" s="6"/>
      <c r="L198" s="26"/>
    </row>
    <row r="199" customFormat="false" ht="15" hidden="false" customHeight="false" outlineLevel="0" collapsed="false">
      <c r="A199" s="30"/>
      <c r="B199" s="6"/>
      <c r="C199" s="8" t="str">
        <f aca="false">IF(OR(D199="",E199="",D199=E199),"",IF(E199&lt;D199,"BUY","SELL"))</f>
        <v/>
      </c>
      <c r="D199" s="7"/>
      <c r="E199" s="7"/>
      <c r="F199" s="13" t="str">
        <f aca="false">IF(C199="","",D199+1.5*(D199-E199))</f>
        <v/>
      </c>
      <c r="G199" s="7"/>
      <c r="H199" s="8" t="str">
        <f aca="false">IF(I199="","",IF(I199&gt;0,"WIN",IF(I199&lt;0,"LOSS","BE")))</f>
        <v/>
      </c>
      <c r="I199" s="31" t="str">
        <f aca="false">IF(OR(G199="",C199=""),"",ROUND((G199-D199)/(D199-E199),2))</f>
        <v/>
      </c>
      <c r="J199" s="32" t="str">
        <f aca="false">IF(I199="","",ROUND(I199*$M$2*$M$3,2))</f>
        <v/>
      </c>
      <c r="K199" s="6"/>
      <c r="L199" s="26"/>
    </row>
    <row r="200" customFormat="false" ht="15" hidden="false" customHeight="false" outlineLevel="0" collapsed="false">
      <c r="A200" s="30"/>
      <c r="B200" s="6"/>
      <c r="C200" s="8" t="str">
        <f aca="false">IF(OR(D200="",E200="",D200=E200),"",IF(E200&lt;D200,"BUY","SELL"))</f>
        <v/>
      </c>
      <c r="D200" s="7"/>
      <c r="E200" s="7"/>
      <c r="F200" s="13" t="str">
        <f aca="false">IF(C200="","",D200+1.5*(D200-E200))</f>
        <v/>
      </c>
      <c r="G200" s="7"/>
      <c r="H200" s="8" t="str">
        <f aca="false">IF(I200="","",IF(I200&gt;0,"WIN",IF(I200&lt;0,"LOSS","BE")))</f>
        <v/>
      </c>
      <c r="I200" s="31" t="str">
        <f aca="false">IF(OR(G200="",C200=""),"",ROUND((G200-D200)/(D200-E200),2))</f>
        <v/>
      </c>
      <c r="J200" s="32" t="str">
        <f aca="false">IF(I200="","",ROUND(I200*$M$2*$M$3,2))</f>
        <v/>
      </c>
      <c r="K200" s="6"/>
      <c r="L200" s="26"/>
    </row>
    <row r="201" customFormat="false" ht="15" hidden="false" customHeight="false" outlineLevel="0" collapsed="false">
      <c r="A201" s="30"/>
      <c r="B201" s="6"/>
      <c r="C201" s="8" t="str">
        <f aca="false">IF(OR(D201="",E201="",D201=E201),"",IF(E201&lt;D201,"BUY","SELL"))</f>
        <v/>
      </c>
      <c r="D201" s="7"/>
      <c r="E201" s="7"/>
      <c r="F201" s="13" t="str">
        <f aca="false">IF(C201="","",D201+1.5*(D201-E201))</f>
        <v/>
      </c>
      <c r="G201" s="7"/>
      <c r="H201" s="8" t="str">
        <f aca="false">IF(I201="","",IF(I201&gt;0,"WIN",IF(I201&lt;0,"LOSS","BE")))</f>
        <v/>
      </c>
      <c r="I201" s="31" t="str">
        <f aca="false">IF(OR(G201="",C201=""),"",ROUND((G201-D201)/(D201-E201),2))</f>
        <v/>
      </c>
      <c r="J201" s="32" t="str">
        <f aca="false">IF(I201="","",ROUND(I201*$M$2*$M$3,2))</f>
        <v/>
      </c>
      <c r="K201" s="6"/>
      <c r="L201" s="26"/>
    </row>
    <row r="202" customFormat="false" ht="15" hidden="false" customHeight="false" outlineLevel="0" collapsed="false">
      <c r="A202" s="30"/>
      <c r="B202" s="6"/>
      <c r="C202" s="8" t="str">
        <f aca="false">IF(OR(D202="",E202="",D202=E202),"",IF(E202&lt;D202,"BUY","SELL"))</f>
        <v/>
      </c>
      <c r="D202" s="7"/>
      <c r="E202" s="7"/>
      <c r="F202" s="13" t="str">
        <f aca="false">IF(C202="","",D202+1.5*(D202-E202))</f>
        <v/>
      </c>
      <c r="G202" s="7"/>
      <c r="H202" s="8" t="str">
        <f aca="false">IF(I202="","",IF(I202&gt;0,"WIN",IF(I202&lt;0,"LOSS","BE")))</f>
        <v/>
      </c>
      <c r="I202" s="31" t="str">
        <f aca="false">IF(OR(G202="",C202=""),"",ROUND((G202-D202)/(D202-E202),2))</f>
        <v/>
      </c>
      <c r="J202" s="32" t="str">
        <f aca="false">IF(I202="","",ROUND(I202*$M$2*$M$3,2))</f>
        <v/>
      </c>
      <c r="K202" s="6"/>
      <c r="L202" s="26"/>
    </row>
    <row r="203" customFormat="false" ht="15" hidden="false" customHeight="false" outlineLevel="0" collapsed="false">
      <c r="A203" s="30"/>
      <c r="B203" s="6"/>
      <c r="C203" s="8" t="str">
        <f aca="false">IF(OR(D203="",E203="",D203=E203),"",IF(E203&lt;D203,"BUY","SELL"))</f>
        <v/>
      </c>
      <c r="D203" s="7"/>
      <c r="E203" s="7"/>
      <c r="F203" s="13" t="str">
        <f aca="false">IF(C203="","",D203+1.5*(D203-E203))</f>
        <v/>
      </c>
      <c r="G203" s="7"/>
      <c r="H203" s="8" t="str">
        <f aca="false">IF(I203="","",IF(I203&gt;0,"WIN",IF(I203&lt;0,"LOSS","BE")))</f>
        <v/>
      </c>
      <c r="I203" s="31" t="str">
        <f aca="false">IF(OR(G203="",C203=""),"",ROUND((G203-D203)/(D203-E203),2))</f>
        <v/>
      </c>
      <c r="J203" s="32" t="str">
        <f aca="false">IF(I203="","",ROUND(I203*$M$2*$M$3,2))</f>
        <v/>
      </c>
      <c r="K203" s="6"/>
      <c r="L203" s="26"/>
    </row>
    <row r="204" customFormat="false" ht="15" hidden="false" customHeight="false" outlineLevel="0" collapsed="false">
      <c r="A204" s="30"/>
      <c r="B204" s="6"/>
      <c r="C204" s="8" t="str">
        <f aca="false">IF(OR(D204="",E204="",D204=E204),"",IF(E204&lt;D204,"BUY","SELL"))</f>
        <v/>
      </c>
      <c r="D204" s="7"/>
      <c r="E204" s="7"/>
      <c r="F204" s="13" t="str">
        <f aca="false">IF(C204="","",D204+1.5*(D204-E204))</f>
        <v/>
      </c>
      <c r="G204" s="7"/>
      <c r="H204" s="8" t="str">
        <f aca="false">IF(I204="","",IF(I204&gt;0,"WIN",IF(I204&lt;0,"LOSS","BE")))</f>
        <v/>
      </c>
      <c r="I204" s="31" t="str">
        <f aca="false">IF(OR(G204="",C204=""),"",ROUND((G204-D204)/(D204-E204),2))</f>
        <v/>
      </c>
      <c r="J204" s="32" t="str">
        <f aca="false">IF(I204="","",ROUND(I204*$M$2*$M$3,2))</f>
        <v/>
      </c>
      <c r="K204" s="6"/>
      <c r="L204" s="26"/>
    </row>
    <row r="205" customFormat="false" ht="15" hidden="false" customHeight="false" outlineLevel="0" collapsed="false">
      <c r="A205" s="30"/>
      <c r="B205" s="6"/>
      <c r="C205" s="8" t="str">
        <f aca="false">IF(OR(D205="",E205="",D205=E205),"",IF(E205&lt;D205,"BUY","SELL"))</f>
        <v/>
      </c>
      <c r="D205" s="7"/>
      <c r="E205" s="7"/>
      <c r="F205" s="13" t="str">
        <f aca="false">IF(C205="","",D205+1.5*(D205-E205))</f>
        <v/>
      </c>
      <c r="G205" s="7"/>
      <c r="H205" s="8" t="str">
        <f aca="false">IF(I205="","",IF(I205&gt;0,"WIN",IF(I205&lt;0,"LOSS","BE")))</f>
        <v/>
      </c>
      <c r="I205" s="31" t="str">
        <f aca="false">IF(OR(G205="",C205=""),"",ROUND((G205-D205)/(D205-E205),2))</f>
        <v/>
      </c>
      <c r="J205" s="32" t="str">
        <f aca="false">IF(I205="","",ROUND(I205*$M$2*$M$3,2))</f>
        <v/>
      </c>
      <c r="K205" s="6"/>
      <c r="L205" s="26"/>
    </row>
    <row r="206" customFormat="false" ht="15" hidden="false" customHeight="false" outlineLevel="0" collapsed="false">
      <c r="A206" s="30"/>
      <c r="B206" s="6"/>
      <c r="C206" s="8" t="str">
        <f aca="false">IF(OR(D206="",E206="",D206=E206),"",IF(E206&lt;D206,"BUY","SELL"))</f>
        <v/>
      </c>
      <c r="D206" s="7"/>
      <c r="E206" s="7"/>
      <c r="F206" s="13" t="str">
        <f aca="false">IF(C206="","",D206+1.5*(D206-E206))</f>
        <v/>
      </c>
      <c r="G206" s="7"/>
      <c r="H206" s="8" t="str">
        <f aca="false">IF(I206="","",IF(I206&gt;0,"WIN",IF(I206&lt;0,"LOSS","BE")))</f>
        <v/>
      </c>
      <c r="I206" s="31" t="str">
        <f aca="false">IF(OR(G206="",C206=""),"",ROUND((G206-D206)/(D206-E206),2))</f>
        <v/>
      </c>
      <c r="J206" s="32" t="str">
        <f aca="false">IF(I206="","",ROUND(I206*$M$2*$M$3,2))</f>
        <v/>
      </c>
      <c r="K206" s="6"/>
      <c r="L206" s="26"/>
    </row>
  </sheetData>
  <conditionalFormatting sqref="H7:H206">
    <cfRule type="cellIs" priority="2" operator="equal" aboveAverage="0" equalAverage="0" bottom="0" percent="0" rank="0" text="" dxfId="0">
      <formula>"WIN"</formula>
    </cfRule>
    <cfRule type="cellIs" priority="3" operator="equal" aboveAverage="0" equalAverage="0" bottom="0" percent="0" rank="0" text="" dxfId="1">
      <formula>"LOSS"</formula>
    </cfRule>
  </conditionalFormatting>
  <dataValidations count="2">
    <dataValidation allowBlank="true" errorStyle="stop" operator="between" showDropDown="false" showErrorMessage="false" showInputMessage="false" sqref="B7:B206" type="list">
      <formula1>Calculator!$D$19:$D$25</formula1>
      <formula2>0</formula2>
    </dataValidation>
    <dataValidation allowBlank="true" errorStyle="stop" operator="between" showDropDown="false" showErrorMessage="false" showInputMessage="false" sqref="K7:K206" type="list">
      <formula1>"Yes,No"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2"/>
    <col collapsed="false" customWidth="true" hidden="false" outlineLevel="0" max="2" min="2" style="0" width="16"/>
    <col collapsed="false" customWidth="true" hidden="false" outlineLevel="0" max="3" min="3" style="0" width="12"/>
  </cols>
  <sheetData>
    <row r="1" customFormat="false" ht="25.5" hidden="false" customHeight="true" outlineLevel="0" collapsed="false">
      <c r="A1" s="1" t="s">
        <v>97</v>
      </c>
    </row>
    <row r="3" customFormat="false" ht="15" hidden="false" customHeight="false" outlineLevel="0" collapsed="false">
      <c r="A3" s="33" t="s">
        <v>98</v>
      </c>
      <c r="B3" s="34" t="n">
        <f aca="false">COUNT('Trade Log'!I7:I206)</f>
        <v>0</v>
      </c>
    </row>
    <row r="4" customFormat="false" ht="15" hidden="false" customHeight="false" outlineLevel="0" collapsed="false">
      <c r="A4" s="33" t="s">
        <v>99</v>
      </c>
      <c r="B4" s="34" t="n">
        <f aca="false">COUNTIF('Trade Log'!H7:H206,"WIN")</f>
        <v>0</v>
      </c>
    </row>
    <row r="5" customFormat="false" ht="15" hidden="false" customHeight="false" outlineLevel="0" collapsed="false">
      <c r="A5" s="33" t="s">
        <v>100</v>
      </c>
      <c r="B5" s="34" t="n">
        <f aca="false">COUNTIF('Trade Log'!H7:H206,"LOSS")</f>
        <v>0</v>
      </c>
    </row>
    <row r="6" customFormat="false" ht="15" hidden="false" customHeight="false" outlineLevel="0" collapsed="false">
      <c r="A6" s="33" t="s">
        <v>79</v>
      </c>
      <c r="B6" s="35" t="n">
        <f aca="false">IFERROR(B4/B3,0)</f>
        <v>0</v>
      </c>
    </row>
    <row r="7" customFormat="false" ht="15" hidden="false" customHeight="false" outlineLevel="0" collapsed="false">
      <c r="A7" s="33" t="s">
        <v>80</v>
      </c>
      <c r="B7" s="36" t="n">
        <f aca="false">SUM('Trade Log'!I7:I206)</f>
        <v>0</v>
      </c>
    </row>
    <row r="8" customFormat="false" ht="15" hidden="false" customHeight="false" outlineLevel="0" collapsed="false">
      <c r="A8" s="33" t="s">
        <v>101</v>
      </c>
      <c r="B8" s="36" t="n">
        <f aca="false">IFERROR(B7/B3,0)</f>
        <v>0</v>
      </c>
    </row>
    <row r="9" customFormat="false" ht="15" hidden="false" customHeight="false" outlineLevel="0" collapsed="false">
      <c r="A9" s="33" t="s">
        <v>102</v>
      </c>
      <c r="B9" s="35" t="n">
        <f aca="false">IFERROR(COUNTIF('Trade Log'!K7:K206,"Yes")/B3,0)</f>
        <v>0</v>
      </c>
    </row>
    <row r="10" customFormat="false" ht="15" hidden="false" customHeight="false" outlineLevel="0" collapsed="false">
      <c r="A10" s="33" t="s">
        <v>103</v>
      </c>
      <c r="B10" s="37" t="n">
        <f aca="false">SUM('Trade Log'!J7:J206)</f>
        <v>0</v>
      </c>
    </row>
    <row r="11" customFormat="false" ht="15" hidden="false" customHeight="false" outlineLevel="0" collapsed="false">
      <c r="A11" s="33" t="s">
        <v>88</v>
      </c>
      <c r="B11" s="29" t="n">
        <f aca="false">'Trade Log'!M4</f>
        <v>10000</v>
      </c>
    </row>
    <row r="13" customFormat="false" ht="16.15" hidden="false" customHeight="false" outlineLevel="0" collapsed="false">
      <c r="A13" s="38" t="s">
        <v>104</v>
      </c>
    </row>
    <row r="14" customFormat="false" ht="15" hidden="false" customHeight="false" outlineLevel="0" collapsed="false">
      <c r="A14" s="39" t="str">
        <f aca="false">IF(B3&lt;50,"Not enough trades yet: "&amp;B3&amp;" of 50. Keep going.",IF(B9&lt;0.9,"You broke the rules too often. The results don't count yet.",IF(B8&gt;=0.15,"Looks promising. Keep going to 100 trades to be sure.",IF(B8&lt;=0,"Not working as it is. Stop and review.","Too close to call. Keep going to 100 trades."))))</f>
        <v>Not enough trades yet: 0 of 50. Keep going.</v>
      </c>
      <c r="B14" s="39"/>
      <c r="C14" s="39"/>
      <c r="D14" s="39"/>
      <c r="E14" s="39"/>
    </row>
    <row r="15" customFormat="false" ht="15" hidden="false" customHeight="false" outlineLevel="0" collapsed="false">
      <c r="A15" s="15" t="s">
        <v>105</v>
      </c>
    </row>
    <row r="18" customFormat="false" ht="16.15" hidden="false" customHeight="false" outlineLevel="0" collapsed="false">
      <c r="A18" s="38" t="s">
        <v>106</v>
      </c>
    </row>
    <row r="19" customFormat="false" ht="15" hidden="false" customHeight="false" outlineLevel="0" collapsed="false">
      <c r="A19" s="17" t="s">
        <v>35</v>
      </c>
      <c r="B19" s="17" t="s">
        <v>107</v>
      </c>
      <c r="C19" s="17" t="s">
        <v>80</v>
      </c>
    </row>
    <row r="20" customFormat="false" ht="15" hidden="false" customHeight="false" outlineLevel="0" collapsed="false">
      <c r="A20" s="8" t="s">
        <v>36</v>
      </c>
      <c r="B20" s="22" t="n">
        <f aca="false">COUNTIFS('Trade Log'!B7:B206,A20,'Trade Log'!I7:I206,"&gt;-99")</f>
        <v>0</v>
      </c>
      <c r="C20" s="31" t="n">
        <f aca="false">SUMIF('Trade Log'!B7:B206,A20,'Trade Log'!I7:I206)</f>
        <v>0</v>
      </c>
    </row>
    <row r="21" customFormat="false" ht="15" hidden="false" customHeight="false" outlineLevel="0" collapsed="false">
      <c r="A21" s="8" t="s">
        <v>56</v>
      </c>
      <c r="B21" s="22" t="n">
        <f aca="false">COUNTIFS('Trade Log'!B7:B206,A21,'Trade Log'!I7:I206,"&gt;-99")</f>
        <v>0</v>
      </c>
      <c r="C21" s="31" t="n">
        <f aca="false">SUMIF('Trade Log'!B7:B206,A21,'Trade Log'!I7:I206)</f>
        <v>0</v>
      </c>
    </row>
    <row r="22" customFormat="false" ht="15" hidden="false" customHeight="false" outlineLevel="0" collapsed="false">
      <c r="A22" s="8" t="s">
        <v>58</v>
      </c>
      <c r="B22" s="22" t="n">
        <f aca="false">COUNTIFS('Trade Log'!B7:B206,A22,'Trade Log'!I7:I206,"&gt;-99")</f>
        <v>0</v>
      </c>
      <c r="C22" s="31" t="n">
        <f aca="false">SUMIF('Trade Log'!B7:B206,A22,'Trade Log'!I7:I206)</f>
        <v>0</v>
      </c>
    </row>
    <row r="23" customFormat="false" ht="15" hidden="false" customHeight="false" outlineLevel="0" collapsed="false">
      <c r="A23" s="8" t="s">
        <v>59</v>
      </c>
      <c r="B23" s="22" t="n">
        <f aca="false">COUNTIFS('Trade Log'!B7:B206,A23,'Trade Log'!I7:I206,"&gt;-99")</f>
        <v>0</v>
      </c>
      <c r="C23" s="31" t="n">
        <f aca="false">SUMIF('Trade Log'!B7:B206,A23,'Trade Log'!I7:I206)</f>
        <v>0</v>
      </c>
    </row>
    <row r="24" customFormat="false" ht="15" hidden="false" customHeight="false" outlineLevel="0" collapsed="false">
      <c r="A24" s="8" t="s">
        <v>61</v>
      </c>
      <c r="B24" s="22" t="n">
        <f aca="false">COUNTIFS('Trade Log'!B7:B206,A24,'Trade Log'!I7:I206,"&gt;-99")</f>
        <v>0</v>
      </c>
      <c r="C24" s="31" t="n">
        <f aca="false">SUMIF('Trade Log'!B7:B206,A24,'Trade Log'!I7:I206)</f>
        <v>0</v>
      </c>
    </row>
    <row r="25" customFormat="false" ht="15" hidden="false" customHeight="false" outlineLevel="0" collapsed="false">
      <c r="A25" s="8" t="s">
        <v>63</v>
      </c>
      <c r="B25" s="22" t="n">
        <f aca="false">COUNTIFS('Trade Log'!B7:B206,A25,'Trade Log'!I7:I206,"&gt;-99")</f>
        <v>0</v>
      </c>
      <c r="C25" s="31" t="n">
        <f aca="false">SUMIF('Trade Log'!B7:B206,A25,'Trade Log'!I7:I206)</f>
        <v>0</v>
      </c>
    </row>
    <row r="26" customFormat="false" ht="15" hidden="false" customHeight="false" outlineLevel="0" collapsed="false">
      <c r="A26" s="8" t="s">
        <v>65</v>
      </c>
      <c r="B26" s="22" t="n">
        <f aca="false">COUNTIFS('Trade Log'!B7:B206,A26,'Trade Log'!I7:I206,"&gt;-99")</f>
        <v>0</v>
      </c>
      <c r="C26" s="31" t="n">
        <f aca="false">SUMIF('Trade Log'!B7:B206,A26,'Trade Log'!I7:I206)</f>
        <v>0</v>
      </c>
    </row>
  </sheetData>
  <mergeCells count="1">
    <mergeCell ref="A14:E1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2026-10-08T19:27:50Z</dcterms:created>
  <dc:creator>openpyxl</dc:creator>
  <dc:description/>
  <dc:language>en-US</dc:language>
  <cp:lastModifiedBy/>
  <dcterms:modified xsi:type="dcterms:W3CDTF">2026-10-08T19:27:51Z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