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rading Plan" sheetId="2" state="visible" r:id="rId4"/>
    <sheet name="Checklist" sheetId="3" state="visible" r:id="rId5"/>
    <sheet name="Dashboard" sheetId="4" state="visible" r:id="rId6"/>
    <sheet name="Journal" sheetId="5" state="visible" r:id="rId7"/>
    <sheet name="Daily Log" sheetId="6" state="visible" r:id="rId8"/>
    <sheet name="Weekly Review" sheetId="7" state="visible" r:id="rId9"/>
    <sheet name="Settings" sheetId="8" state="visible" r:id="rId10"/>
  </sheets>
  <definedNames>
    <definedName function="false" hidden="false" localSheetId="2" name="_xlnm.Print_Area" vbProcedure="false">Checklist!$A$1:$B$37</definedName>
    <definedName function="false" hidden="true" localSheetId="4" name="_xlnm._FilterDatabase" vbProcedure="false">Journal!$A$4:$AI$304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If rule-compliant expectancy is clearly higher than rule-breaking expectancy, your edge is in following the plan. That's the main thing this practice period should prove.</t>
        </r>
      </text>
    </comment>
  </commentList>
</comments>
</file>

<file path=xl/sharedStrings.xml><?xml version="1.0" encoding="utf-8"?>
<sst xmlns="http://schemas.openxmlformats.org/spreadsheetml/2006/main" count="497" uniqueCount="346">
  <si>
    <t xml:space="preserve">KLR Trading Practice Plan: Start Here</t>
  </si>
  <si>
    <t xml:space="preserve">Built for an 8-week MT5 demo practice period. Times in WAT (UTC+1).</t>
  </si>
  <si>
    <t xml:space="preserve">Tabs</t>
  </si>
  <si>
    <t xml:space="preserve">Trading Plan</t>
  </si>
  <si>
    <t xml:space="preserve">The full written plan: markets, session times, strategy, risk rules, schedule. Read it once a week.</t>
  </si>
  <si>
    <t xml:space="preserve">Checklist</t>
  </si>
  <si>
    <t xml:space="preserve">A printable one-page checklist. Use one copy per session.</t>
  </si>
  <si>
    <t xml:space="preserve">Dashboard</t>
  </si>
  <si>
    <t xml:space="preserve">Automatic stats, go-live criteria, breakdowns and mistake tracker.</t>
  </si>
  <si>
    <t xml:space="preserve">Journal</t>
  </si>
  <si>
    <t xml:space="preserve">Log every trade here, straight after the session.</t>
  </si>
  <si>
    <t xml:space="preserve">Daily Log</t>
  </si>
  <si>
    <t xml:space="preserve">One row per weekday: attendance, prep, mood, lesson. Fill it even on no-trade days.</t>
  </si>
  <si>
    <t xml:space="preserve">Weekly Review</t>
  </si>
  <si>
    <t xml:space="preserve">Friday review: automatic weekly stats, your reflections and charts.</t>
  </si>
  <si>
    <t xml:space="preserve">Settings</t>
  </si>
  <si>
    <t xml:space="preserve">Start date, balance, risk %, limits, go-live thresholds, position size calculator, dropdown lists.</t>
  </si>
  <si>
    <t xml:space="preserve">Colour legend</t>
  </si>
  <si>
    <t xml:space="preserve">Yellow cell</t>
  </si>
  <si>
    <t xml:space="preserve">You type here (blue text). Use the dropdowns where offered.</t>
  </si>
  <si>
    <t xml:space="preserve">Grey cell</t>
  </si>
  <si>
    <t xml:space="preserve">Calculates automatically. Don't type over it.</t>
  </si>
  <si>
    <t xml:space="preserve">Daily workflow</t>
  </si>
  <si>
    <t xml:space="preserve">Step 1</t>
  </si>
  <si>
    <t xml:space="preserve">Print the Checklist (or keep it open) and do the 10-minute prep.</t>
  </si>
  <si>
    <t xml:space="preserve">Step 2</t>
  </si>
  <si>
    <t xml:space="preserve">Trade the window. Only take trades that meet all 5 checks.</t>
  </si>
  <si>
    <t xml:space="preserve">Step 3</t>
  </si>
  <si>
    <t xml:space="preserve">Straight after: log trades in the Journal and fill the Daily Log row.</t>
  </si>
  <si>
    <t xml:space="preserve">Step 4</t>
  </si>
  <si>
    <t xml:space="preserve">Friday: fill the Weekly Review and read the Dashboard.</t>
  </si>
  <si>
    <t xml:space="preserve">Example Journal row (what a filled-in trade looks like)</t>
  </si>
  <si>
    <t xml:space="preserve">Field</t>
  </si>
  <si>
    <t xml:space="preserve">Example value</t>
  </si>
  <si>
    <t xml:space="preserve">Date</t>
  </si>
  <si>
    <t xml:space="preserve">12-Oct-26</t>
  </si>
  <si>
    <t xml:space="preserve">Session</t>
  </si>
  <si>
    <t xml:space="preserve">New York</t>
  </si>
  <si>
    <t xml:space="preserve">Instrument</t>
  </si>
  <si>
    <t xml:space="preserve">US500</t>
  </si>
  <si>
    <t xml:space="preserve">Direction</t>
  </si>
  <si>
    <t xml:space="preserve">Short</t>
  </si>
  <si>
    <t xml:space="preserve">Zone type</t>
  </si>
  <si>
    <t xml:space="preserve">Prev Day High</t>
  </si>
  <si>
    <t xml:space="preserve">Checks 1-5</t>
  </si>
  <si>
    <t xml:space="preserve">Y Y Y Y Y</t>
  </si>
  <si>
    <t xml:space="preserve">Entry time</t>
  </si>
  <si>
    <t xml:space="preserve">14:42</t>
  </si>
  <si>
    <t xml:space="preserve">Entry</t>
  </si>
  <si>
    <t xml:space="preserve">6712.50</t>
  </si>
  <si>
    <t xml:space="preserve">Stop</t>
  </si>
  <si>
    <t xml:space="preserve">6716.00</t>
  </si>
  <si>
    <t xml:space="preserve">Target (auto)</t>
  </si>
  <si>
    <t xml:space="preserve">6702.00</t>
  </si>
  <si>
    <t xml:space="preserve">Exit</t>
  </si>
  <si>
    <t xml:space="preserve">Exit reason</t>
  </si>
  <si>
    <t xml:space="preserve">Target (3R)</t>
  </si>
  <si>
    <t xml:space="preserve">Result R (auto)</t>
  </si>
  <si>
    <t xml:space="preserve">+3.00</t>
  </si>
  <si>
    <t xml:space="preserve">Mistake</t>
  </si>
  <si>
    <t xml:space="preserve">None</t>
  </si>
  <si>
    <t xml:space="preserve">Emotion</t>
  </si>
  <si>
    <t xml:space="preserve">2</t>
  </si>
  <si>
    <t xml:space="preserve">Plan ver.</t>
  </si>
  <si>
    <t xml:space="preserve">v1.0</t>
  </si>
  <si>
    <t xml:space="preserve">Notes</t>
  </si>
  <si>
    <t xml:space="preserve">Waited for LH + trigger candle under yesterday's high. Moved to BE at +1.5R.</t>
  </si>
  <si>
    <t xml:space="preserve">Price levels in the example are illustrative only.</t>
  </si>
  <si>
    <t xml:space="preserve">Key dates</t>
  </si>
  <si>
    <t xml:space="preserve">Sat 10 - Sun 11 Oct</t>
  </si>
  <si>
    <t xml:space="preserve">Week 0: platform setup and bar-replay practice (20 setups per instrument).</t>
  </si>
  <si>
    <t xml:space="preserve">Mon 12 Oct</t>
  </si>
  <si>
    <t xml:space="preserve">Week 1 starts (Phase 1: Execution).</t>
  </si>
  <si>
    <t xml:space="preserve">Mon 26 Oct</t>
  </si>
  <si>
    <t xml:space="preserve">UK clocks changed: London session now 09:00-09:45 WAT.</t>
  </si>
  <si>
    <t xml:space="preserve">Mon 2 Nov</t>
  </si>
  <si>
    <t xml:space="preserve">US clocks changed: New York session now 15:30-16:15 WAT.</t>
  </si>
  <si>
    <t xml:space="preserve">Fri 6 Nov</t>
  </si>
  <si>
    <t xml:space="preserve">Week 4 review: the only allowed rule change (v1.1).</t>
  </si>
  <si>
    <t xml:space="preserve">Fri 4 Dec</t>
  </si>
  <si>
    <t xml:space="preserve">Week 8 review: go-live decision on the Dashboard.</t>
  </si>
  <si>
    <t xml:space="preserve">Trading Plan: Key-Level Reversal (KLR) v1.0</t>
  </si>
  <si>
    <t xml:space="preserve">8-week demo practice plan, adapted from the 'start trading with $4' video. Trader time zone: WAT (UTC+1).</t>
  </si>
  <si>
    <t xml:space="preserve">1. Purpose</t>
  </si>
  <si>
    <t xml:space="preserve">•</t>
  </si>
  <si>
    <t xml:space="preserve">Prove over 8 weeks that I can follow ONE scalping strategy without changing it, and find out whether it has positive expectancy.</t>
  </si>
  <si>
    <t xml:space="preserve">Results in Weeks 1-2 do not matter. Showing up, following the rules and logging every trade do.</t>
  </si>
  <si>
    <t xml:space="preserve">Success = go-live criteria met on the Dashboard: 40+ trades, 90%+ rule adherence, expectancy ≥ +0.25R, PF ≥ 1.3, max DD ≤ 10R, 90%+ attendance.</t>
  </si>
  <si>
    <t xml:space="preserve">2. Markets, platform &amp; sessions</t>
  </si>
  <si>
    <t xml:space="preserve">Platform: MT5 demo for execution; TradingView for marking levels, replay and screenshots. Crypto (Bybit/MEXC) is parked for these 8 weeks.</t>
  </si>
  <si>
    <t xml:space="preserve">Session A, London open: XAUUSD. Prep 07:50, trade 08:00-08:45 WAT, journal by 08:50. From Mon 26 Oct 2026 (UK clocks change) it's one hour later: prep 08:50, trade 09:00-09:45.</t>
  </si>
  <si>
    <t xml:space="preserve">Session B, New York open: US500. Prep 14:20, trade 14:30-15:15 WAT, journal by 15:20. From Mon 2 Nov 2026 (US clocks change) it's one hour later: prep 15:20, trade 15:30-16:15.</t>
  </si>
  <si>
    <t xml:space="preserve">Total time: about 2 x 60 minutes per weekday. No trading on weekends; weekends are for review only.</t>
  </si>
  <si>
    <t xml:space="preserve">Why these two: you already know gold and indices, US500 tracks the same S&amp;P 500 the video trades, and both move hard at their session open.</t>
  </si>
  <si>
    <t xml:space="preserve">3. Timeframes</t>
  </si>
  <si>
    <t xml:space="preserve">15-minute (plus 1-hour for clustered S/R): big-picture trend and key zones, marked BEFORE the session.</t>
  </si>
  <si>
    <t xml:space="preserve">1-minute: structure shift, trigger candle and entry. No indicators; read price swings only.</t>
  </si>
  <si>
    <t xml:space="preserve">4. Pre-session prep (10 minutes)</t>
  </si>
  <si>
    <t xml:space="preserve">Check the economic calendar (e.g. ForexFactory) for red-folder USD news during the window. Note the times.</t>
  </si>
  <si>
    <t xml:space="preserve">Mark zones: previous day high/low, current session range (Asian range for London; London high/low for NY), and the 2-3 strongest clustered S/R zones on 1H/15m.</t>
  </si>
  <si>
    <t xml:space="preserve">Write one line of bias: is the 15m trending up, down or ranging? Which zones are reversal candidates?</t>
  </si>
  <si>
    <t xml:space="preserve">Set price alerts at the zones, so you don't have to stare at every tick.</t>
  </si>
  <si>
    <t xml:space="preserve">State check: if your emotion is 5 (angry, anxious, tired), skip the session and log it as not attended.</t>
  </si>
  <si>
    <t xml:space="preserve">5. Entry checklist (all 5 must be YES)</t>
  </si>
  <si>
    <t xml:space="preserve">Described for a SHORT at resistance. A LONG at support is the exact mirror.</t>
  </si>
  <si>
    <t xml:space="preserve">1 LEVEL: price trades into a zone marked during prep. No drawing new levels mid-session.</t>
  </si>
  <si>
    <t xml:space="preserve">2 EXTENSION: on 1m, price arrives with a clear run (at least 3 consecutive higher highs and higher lows into the zone). No run means nothing to reverse, so no trade.</t>
  </si>
  <si>
    <t xml:space="preserve">3 SHIFT: price breaks the latest 1m higher low (makes a lower low), then forms a lower high below the zone extreme.</t>
  </si>
  <si>
    <t xml:space="preserve">4 TRIGGER: a strong bearish candle (body ≥ 60% of its range) forms off the lower high. Place a sell-stop just below its low; you enter only on the break.</t>
  </si>
  <si>
    <t xml:space="preserve">5 ROOM: stop above the lower high or zone extreme, whichever is higher, plus spread. Next opposing zone at least 3R away. Spread ≤ 10% of stop distance. No red news within 15 minutes.</t>
  </si>
  <si>
    <t xml:space="preserve">If any answer is NO or 'kind of': no trade. Missing a trade costs nothing; a bad trade costs R.</t>
  </si>
  <si>
    <t xml:space="preserve">6. Trade management</t>
  </si>
  <si>
    <t xml:space="preserve">Size every trade with the calculator on the Settings tab so the stop = exactly 0.5% of balance (1R).</t>
  </si>
  <si>
    <t xml:space="preserve">Target: fixed 3R (1:3 risk-reward). Break-even needs a 25% win rate; 30% or more is profitable.</t>
  </si>
  <si>
    <t xml:space="preserve">Break-even: when price reaches +1.5R, move the stop to entry.</t>
  </si>
  <si>
    <t xml:space="preserve">Time stop: if the trade hasn't hit target, stop or break-even within 30 minutes of entry, close it at market and log it as 'Time stop'.</t>
  </si>
  <si>
    <t xml:space="preserve">Never widen a stop, never add to a position, never close early out of fear. No trailing stops during practice; that can be tested at the Week 4 review.</t>
  </si>
  <si>
    <t xml:space="preserve">Take a screenshot at entry and at exit (TradingView), then paste the link into the Journal.</t>
  </si>
  <si>
    <t xml:space="preserve">7. Risk rules (non-negotiable)</t>
  </si>
  <si>
    <t xml:space="preserve">Risk 0.5% per trade. One open position at a time.</t>
  </si>
  <si>
    <t xml:space="preserve">Max 2 trades per session, max 3 trades per day. After 2 losses in a day, you're done for the day.</t>
  </si>
  <si>
    <t xml:space="preserve">Weekly loss limit -5R: if it's hit, stop trading for the rest of the week and do the review early.</t>
  </si>
  <si>
    <t xml:space="preserve">Outside the session windows: platform closed. No 'just one more look'.</t>
  </si>
  <si>
    <t xml:space="preserve">8. After each session (5 minutes)</t>
  </si>
  <si>
    <t xml:space="preserve">Log every trade in the Journal: all 5 checks, prices, exit reason, mistake tag (be honest; 'None' only if truly none), emotion, screenshot.</t>
  </si>
  <si>
    <t xml:space="preserve">Fill that day's row in the Daily Log, even with zero trades. Attending and correctly taking no trade counts as a good session.</t>
  </si>
  <si>
    <t xml:space="preserve">9. 8-week schedule</t>
  </si>
  <si>
    <t xml:space="preserve">Weekend 10-11 Oct (Week 0): set up MT5 demo and TradingView. Use bar replay to find 20 past setups per instrument with the checklist. Don't log these in the Journal.</t>
  </si>
  <si>
    <t xml:space="preserve">Phase 1, Weeks 1-2 (12-23 Oct), EXECUTION: goal is ≥ 90% attendance and ≥ 90% rule adherence. Ignore P&amp;L.</t>
  </si>
  <si>
    <t xml:space="preserve">Phase 2, Weeks 3-6 (26 Oct-20 Nov), DATA: same rules, collect trades. The Week 4 review is the ONLY time a rule may change.</t>
  </si>
  <si>
    <t xml:space="preserve">Phase 3, Weeks 7-8 (23 Nov-4 Dec), PROOF: final weeks of data. On Fri 4 Dec, check the go-live criteria on the Dashboard.</t>
  </si>
  <si>
    <t xml:space="preserve">If the criteria aren't met: find the biggest leak (Mistake tracker and By-tables), fix ONE thing, and run Weeks 9-12.</t>
  </si>
  <si>
    <t xml:space="preserve">10. Rule-change policy</t>
  </si>
  <si>
    <t xml:space="preserve">No changes in Weeks 1-3, however tempting. Changing rules resets the evidence.</t>
  </si>
  <si>
    <t xml:space="preserve">At the Week 4 review: at most ONE change, based on the data (e.g. drop a zone type that loses, or test a trailing stop). Write it in the Weekly Review, and set Plan version to v1.1 in Settings and the Journal.</t>
  </si>
  <si>
    <t xml:space="preserve">11. Going live (only after the criteria pass)</t>
  </si>
  <si>
    <t xml:space="preserve">Start on the MT5 cent account with the same rules and the same 0.5% risk. Live trading is the next practice stage, not a reward.</t>
  </si>
  <si>
    <t xml:space="preserve">If the broker's minimum lot would risk more than 1% with the correct stop, skip the trade. Never move the stop to make the size fit.</t>
  </si>
  <si>
    <t xml:space="preserve">Run 20 live trades, then compare live stats with demo (slippage, spread, emotions). Only then consider adding funds, in small steps (the video went $50 → $100 → $300 risk over time).</t>
  </si>
  <si>
    <t xml:space="preserve">Daily Checklist: print it and keep it next to your screen</t>
  </si>
  <si>
    <t xml:space="preserve">One copy per session. Tick each box. Any unticked entry box = NO TRADE.</t>
  </si>
  <si>
    <t xml:space="preserve">BEFORE THE SESSION (10 min)</t>
  </si>
  <si>
    <t xml:space="preserve">☐</t>
  </si>
  <si>
    <t xml:space="preserve">Red-folder USD news checked. Times: ____________</t>
  </si>
  <si>
    <t xml:space="preserve">Previous day high / low marked</t>
  </si>
  <si>
    <t xml:space="preserve">Session range marked (Asian range for London / London high-low for NY)</t>
  </si>
  <si>
    <t xml:space="preserve">2-3 clustered S/R zones on 1H / 15m marked</t>
  </si>
  <si>
    <t xml:space="preserve">15m bias written:  UP  /  DOWN  /  RANGE</t>
  </si>
  <si>
    <t xml:space="preserve">Alerts set at zones</t>
  </si>
  <si>
    <t xml:space="preserve">Emotion check (1-5): ____   5 = skip the session</t>
  </si>
  <si>
    <t xml:space="preserve">ENTRY: ALL 5 OR NO TRADE</t>
  </si>
  <si>
    <t xml:space="preserve">1 LEVEL: price is in a zone marked BEFORE the session</t>
  </si>
  <si>
    <t xml:space="preserve">2 EXTENSION: clear 1m run into the zone (3+ HH/HL for a short, LL/LH for a long)</t>
  </si>
  <si>
    <t xml:space="preserve">3 SHIFT: 1m structure broke (LL then LH for a short / HH then HL for a long)</t>
  </si>
  <si>
    <t xml:space="preserve">4 TRIGGER: strong candle (body ≥ 60%); enter on the break of its low/high</t>
  </si>
  <si>
    <t xml:space="preserve">5 ROOM: stop beyond the swing + spread, next zone ≥ 3R away, spread ≤ 10% of stop, no red news within 15 min</t>
  </si>
  <si>
    <t xml:space="preserve">ONCE IN THE TRADE</t>
  </si>
  <si>
    <t xml:space="preserve">Lot size from calculator = 0.5% risk (1R)</t>
  </si>
  <si>
    <t xml:space="preserve">Stop and 3R target placed immediately</t>
  </si>
  <si>
    <t xml:space="preserve">At +1.5R: stop moved to entry (break-even)</t>
  </si>
  <si>
    <t xml:space="preserve">30 minutes with no result: close at market (time stop)</t>
  </si>
  <si>
    <t xml:space="preserve">Screenshot taken at entry and exit</t>
  </si>
  <si>
    <t xml:space="preserve">LIMITS</t>
  </si>
  <si>
    <t xml:space="preserve">Max 2 trades this session, max 3 today</t>
  </si>
  <si>
    <t xml:space="preserve">2 losses today = done for the day</t>
  </si>
  <si>
    <t xml:space="preserve">Week at -5R = done for the week</t>
  </si>
  <si>
    <t xml:space="preserve">Window over = platform closed</t>
  </si>
  <si>
    <t xml:space="preserve">AFTER THE SESSION (5 min)</t>
  </si>
  <si>
    <t xml:space="preserve">Every trade logged in Journal (honest mistake tag)</t>
  </si>
  <si>
    <t xml:space="preserve">Daily Log row filled (attendance, prep, mood, lesson)</t>
  </si>
  <si>
    <t xml:space="preserve">Date: ___________   Session:  London / New York   Trades: ___   Result: ____ R</t>
  </si>
  <si>
    <t xml:space="preserve">Practice Dashboard</t>
  </si>
  <si>
    <t xml:space="preserve">Everything here is automatic. Read it during your Friday review.</t>
  </si>
  <si>
    <t xml:space="preserve">Overall performance</t>
  </si>
  <si>
    <t xml:space="preserve">Go-live criteria (check at end of Week 8)</t>
  </si>
  <si>
    <t xml:space="preserve">Mistake tracker</t>
  </si>
  <si>
    <t xml:space="preserve">Trades logged</t>
  </si>
  <si>
    <t xml:space="preserve">Criterion</t>
  </si>
  <si>
    <t xml:space="preserve">Target</t>
  </si>
  <si>
    <t xml:space="preserve">Actual</t>
  </si>
  <si>
    <t xml:space="preserve">Status</t>
  </si>
  <si>
    <t xml:space="preserve">Count</t>
  </si>
  <si>
    <t xml:space="preserve">R from these trades</t>
  </si>
  <si>
    <t xml:space="preserve">Closed trades</t>
  </si>
  <si>
    <t xml:space="preserve">Entered before trigger</t>
  </si>
  <si>
    <t xml:space="preserve">Wins / Losses / BE</t>
  </si>
  <si>
    <t xml:space="preserve">Rule adherence</t>
  </si>
  <si>
    <t xml:space="preserve">Level not pre-marked</t>
  </si>
  <si>
    <t xml:space="preserve">Win rate</t>
  </si>
  <si>
    <t xml:space="preserve">Expectancy (R/trade)</t>
  </si>
  <si>
    <t xml:space="preserve">Moved stop further</t>
  </si>
  <si>
    <t xml:space="preserve">Average win (R)</t>
  </si>
  <si>
    <t xml:space="preserve">Profit factor</t>
  </si>
  <si>
    <t xml:space="preserve">Closed early (fear)</t>
  </si>
  <si>
    <t xml:space="preserve">Average loss (R)</t>
  </si>
  <si>
    <t xml:space="preserve">Max drawdown (R, max allowed)</t>
  </si>
  <si>
    <t xml:space="preserve">Chased / FOMO</t>
  </si>
  <si>
    <t xml:space="preserve">Expectancy (R per trade)</t>
  </si>
  <si>
    <t xml:space="preserve">Session attendance</t>
  </si>
  <si>
    <t xml:space="preserve">Outside session window</t>
  </si>
  <si>
    <t xml:space="preserve">Total R</t>
  </si>
  <si>
    <t xml:space="preserve">Over max trades</t>
  </si>
  <si>
    <t xml:space="preserve">Verdict</t>
  </si>
  <si>
    <t xml:space="preserve">Revenge trade</t>
  </si>
  <si>
    <t xml:space="preserve">Max drawdown (R)</t>
  </si>
  <si>
    <t xml:space="preserve">Traded through news</t>
  </si>
  <si>
    <t xml:space="preserve">Longest losing streak</t>
  </si>
  <si>
    <t xml:space="preserve">By Instrument</t>
  </si>
  <si>
    <t xml:space="preserve">Wrong position size</t>
  </si>
  <si>
    <t xml:space="preserve">Net P&amp;L ($, demo)</t>
  </si>
  <si>
    <t xml:space="preserve">Trades</t>
  </si>
  <si>
    <t xml:space="preserve">Expectancy</t>
  </si>
  <si>
    <t xml:space="preserve">Current balance ($)</t>
  </si>
  <si>
    <t xml:space="preserve">XAUUSD</t>
  </si>
  <si>
    <t xml:space="preserve">Your biggest leak is the mistake with the highest count. Fix that one first.</t>
  </si>
  <si>
    <t xml:space="preserve">Return on start balance</t>
  </si>
  <si>
    <t xml:space="preserve">Expectancy: rule-compliant trades</t>
  </si>
  <si>
    <t xml:space="preserve">By Session</t>
  </si>
  <si>
    <t xml:space="preserve">Expectancy: rule-breaking trades</t>
  </si>
  <si>
    <t xml:space="preserve">Session attendance (to date)</t>
  </si>
  <si>
    <t xml:space="preserve">London</t>
  </si>
  <si>
    <t xml:space="preserve">By Direction</t>
  </si>
  <si>
    <t xml:space="preserve">Long</t>
  </si>
  <si>
    <t xml:space="preserve">By Zone type</t>
  </si>
  <si>
    <t xml:space="preserve">Prev Day Low</t>
  </si>
  <si>
    <t xml:space="preserve">Session High</t>
  </si>
  <si>
    <t xml:space="preserve">Session Low</t>
  </si>
  <si>
    <t xml:space="preserve">Clustered S/R</t>
  </si>
  <si>
    <t xml:space="preserve">Round number</t>
  </si>
  <si>
    <t xml:space="preserve">Trade Journal</t>
  </si>
  <si>
    <t xml:space="preserve">One row per trade. Fill the yellow columns; grey columns calculate automatically. Leave unused rows empty.</t>
  </si>
  <si>
    <t xml:space="preserve">Short trade: stop is ABOVE entry. Long trade: stop is BELOW entry. Break-even exit: exit price = entry price. Plan version: type v1.0 (or v1.1 after a Week 4 change).</t>
  </si>
  <si>
    <t xml:space="preserve">Trade #</t>
  </si>
  <si>
    <t xml:space="preserve">Week</t>
  </si>
  <si>
    <t xml:space="preserve">1 Level pre-marked?</t>
  </si>
  <si>
    <t xml:space="preserve">2 Extended move in?</t>
  </si>
  <si>
    <t xml:space="preserve">3 Structure shift?</t>
  </si>
  <si>
    <t xml:space="preserve">4 Trigger candle?</t>
  </si>
  <si>
    <t xml:space="preserve">5 Room ≥3R, spread &amp; news OK?</t>
  </si>
  <si>
    <t xml:space="preserve">All 5 met?</t>
  </si>
  <si>
    <t xml:space="preserve">Entry time (WAT)</t>
  </si>
  <si>
    <t xml:space="preserve">Entry price</t>
  </si>
  <si>
    <t xml:space="preserve">Stop loss</t>
  </si>
  <si>
    <t xml:space="preserve">Exit price</t>
  </si>
  <si>
    <t xml:space="preserve">Result (R)</t>
  </si>
  <si>
    <t xml:space="preserve">Outcome</t>
  </si>
  <si>
    <t xml:space="preserve">Risk %</t>
  </si>
  <si>
    <t xml:space="preserve">Risk $</t>
  </si>
  <si>
    <t xml:space="preserve">P&amp;L $</t>
  </si>
  <si>
    <t xml:space="preserve">Balance $</t>
  </si>
  <si>
    <t xml:space="preserve">Cumulative R</t>
  </si>
  <si>
    <t xml:space="preserve">Peak R</t>
  </si>
  <si>
    <t xml:space="preserve">Drawdown R</t>
  </si>
  <si>
    <t xml:space="preserve">Loss streak</t>
  </si>
  <si>
    <t xml:space="preserve">Rule-compliant?</t>
  </si>
  <si>
    <t xml:space="preserve">Emotion before (1-5)</t>
  </si>
  <si>
    <t xml:space="preserve">Plan version</t>
  </si>
  <si>
    <t xml:space="preserve">Screenshot link</t>
  </si>
  <si>
    <t xml:space="preserve">Notes / lesson</t>
  </si>
  <si>
    <t xml:space="preserve">One row per weekday (12 weeks pre-filled). Mark each session Y/N, even on days with no trades.</t>
  </si>
  <si>
    <t xml:space="preserve">London session attended? (Y/N)</t>
  </si>
  <si>
    <t xml:space="preserve">New York session attended? (Y/N)</t>
  </si>
  <si>
    <t xml:space="preserve">Pre-session prep done? (Y/N)</t>
  </si>
  <si>
    <t xml:space="preserve">Trades taken</t>
  </si>
  <si>
    <t xml:space="preserve">Day result (R)</t>
  </si>
  <si>
    <t xml:space="preserve">Rule breaks</t>
  </si>
  <si>
    <t xml:space="preserve">Daily limits respected? (Y/N)</t>
  </si>
  <si>
    <t xml:space="preserve">Mood / energy (1-5)</t>
  </si>
  <si>
    <t xml:space="preserve">Key lesson of the day</t>
  </si>
  <si>
    <t xml:space="preserve">Do this every Friday after the NY session (~20 min). Grey = automatic, yellow = your reflection.</t>
  </si>
  <si>
    <t xml:space="preserve">Phase</t>
  </si>
  <si>
    <t xml:space="preserve">Mon</t>
  </si>
  <si>
    <t xml:space="preserve">Fri</t>
  </si>
  <si>
    <t xml:space="preserve">Wins</t>
  </si>
  <si>
    <t xml:space="preserve">Losses</t>
  </si>
  <si>
    <t xml:space="preserve">BE</t>
  </si>
  <si>
    <t xml:space="preserve">Expectancy (R)</t>
  </si>
  <si>
    <t xml:space="preserve">Weekly loss limit hit?</t>
  </si>
  <si>
    <t xml:space="preserve">Biggest mistake / leak</t>
  </si>
  <si>
    <t xml:space="preserve">What worked</t>
  </si>
  <si>
    <t xml:space="preserve">ONE focus for next week</t>
  </si>
  <si>
    <t xml:space="preserve">Plan change? (Week 4 only)</t>
  </si>
  <si>
    <t xml:space="preserve">1 Execution</t>
  </si>
  <si>
    <t xml:space="preserve">2 Data</t>
  </si>
  <si>
    <t xml:space="preserve">2 Data + review</t>
  </si>
  <si>
    <t xml:space="preserve">3 Proof</t>
  </si>
  <si>
    <t xml:space="preserve">3 Proof + decide</t>
  </si>
  <si>
    <t xml:space="preserve">Extension</t>
  </si>
  <si>
    <t xml:space="preserve">Weeks 9-12 are only used if the go-live criteria are not met after Week 8.</t>
  </si>
  <si>
    <t xml:space="preserve">Settings &amp; Lists</t>
  </si>
  <si>
    <t xml:space="preserve">Yellow cells are yours to change. Everything else in the workbook reads from here.</t>
  </si>
  <si>
    <t xml:space="preserve">Parameter</t>
  </si>
  <si>
    <t xml:space="preserve">Value</t>
  </si>
  <si>
    <t xml:space="preserve">Note</t>
  </si>
  <si>
    <t xml:space="preserve">Y/N</t>
  </si>
  <si>
    <t xml:space="preserve">Emotion 1-5</t>
  </si>
  <si>
    <t xml:space="preserve">Practice start date (Monday)</t>
  </si>
  <si>
    <t xml:space="preserve">Week 1 starts here. Change if you start later.</t>
  </si>
  <si>
    <t xml:space="preserve">Y</t>
  </si>
  <si>
    <t xml:space="preserve">1</t>
  </si>
  <si>
    <t xml:space="preserve">Starting demo balance ($)</t>
  </si>
  <si>
    <t xml:space="preserve">Set to your MT5 demo balance. Stats are tracked in R, so the size doesn't matter.</t>
  </si>
  <si>
    <t xml:space="preserve">N</t>
  </si>
  <si>
    <t xml:space="preserve">Risk per trade (% of balance)</t>
  </si>
  <si>
    <t xml:space="preserve">0.5% per trade.</t>
  </si>
  <si>
    <t xml:space="preserve">Break-even</t>
  </si>
  <si>
    <t xml:space="preserve">3</t>
  </si>
  <si>
    <t xml:space="preserve">Profit target (R multiple)</t>
  </si>
  <si>
    <t xml:space="preserve">Fixed 1:3 risk-reward, as in the video.</t>
  </si>
  <si>
    <t xml:space="preserve">Time stop</t>
  </si>
  <si>
    <t xml:space="preserve">4</t>
  </si>
  <si>
    <t xml:space="preserve">Move stop to break-even at (R)</t>
  </si>
  <si>
    <t xml:space="preserve">When price reaches +1.5R, move stop to entry.</t>
  </si>
  <si>
    <t xml:space="preserve">Manual (rule break)</t>
  </si>
  <si>
    <t xml:space="preserve">5</t>
  </si>
  <si>
    <t xml:space="preserve">Max trades per session</t>
  </si>
  <si>
    <t xml:space="preserve">Max trades per day</t>
  </si>
  <si>
    <t xml:space="preserve">Stop for the day after N losses</t>
  </si>
  <si>
    <t xml:space="preserve">Weekly loss limit (R)</t>
  </si>
  <si>
    <t xml:space="preserve">Hit this = no more trades that week; do the review instead.</t>
  </si>
  <si>
    <t xml:space="preserve">Go-live: minimum closed trades</t>
  </si>
  <si>
    <t xml:space="preserve">Fewer trades than this = not enough evidence yet.</t>
  </si>
  <si>
    <t xml:space="preserve">Go-live: minimum rule adherence</t>
  </si>
  <si>
    <t xml:space="preserve">Share of trades with all 5 checks met and no mistake.</t>
  </si>
  <si>
    <t xml:space="preserve">Go-live: minimum expectancy (R/trade)</t>
  </si>
  <si>
    <t xml:space="preserve">Average R per trade.</t>
  </si>
  <si>
    <t xml:space="preserve">Go-live: minimum profit factor</t>
  </si>
  <si>
    <t xml:space="preserve">Gross R won / gross R lost.</t>
  </si>
  <si>
    <t xml:space="preserve">Emotion scale: 1 = calm and focused, 3 = slightly tense, 5 = anxious, excited or angry (5 = skip the session).</t>
  </si>
  <si>
    <t xml:space="preserve">Go-live: max drawdown allowed (R)</t>
  </si>
  <si>
    <t xml:space="preserve">Largest peak-to-trough fall in cumulative R.</t>
  </si>
  <si>
    <t xml:space="preserve">Go-live: minimum session attendance</t>
  </si>
  <si>
    <t xml:space="preserve">Sessions attended / sessions available (from Daily Log).</t>
  </si>
  <si>
    <t xml:space="preserve">Current plan version</t>
  </si>
  <si>
    <t xml:space="preserve">Change only at the Week 4 review (becomes v1.1).</t>
  </si>
  <si>
    <t xml:space="preserve">Win/Loss threshold (R)</t>
  </si>
  <si>
    <t xml:space="preserve">Results between -0.1R and +0.1R count as break-even.</t>
  </si>
  <si>
    <t xml:space="preserve">Position size calculator</t>
  </si>
  <si>
    <t xml:space="preserve">Automatic: start balance + all closed P&amp;L.</t>
  </si>
  <si>
    <t xml:space="preserve">Risk per trade ($)</t>
  </si>
  <si>
    <t xml:space="preserve">Stop distance (price units)</t>
  </si>
  <si>
    <t xml:space="preserve">Example: gold entry 2650.00, stop 2653.50 = 3.50</t>
  </si>
  <si>
    <t xml:space="preserve">$ value of a 1.00 price move for 1.00 lot</t>
  </si>
  <si>
    <t xml:space="preserve">Check your broker's MT5 contract spec. Typical: XAUUSD = $100; US500 is often $1 to $10, it varies by broker.</t>
  </si>
  <si>
    <t xml:space="preserve">Lot size to use</t>
  </si>
  <si>
    <t xml:space="preserve">Rounded down to 0.01 lots. If 0.00, the stop is too wide for your risk, so skip the trade.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</si>
</sst>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"/>
    <numFmt numFmtId="166" formatCode="General"/>
    <numFmt numFmtId="167" formatCode="\+0.00;\-0.00;0.00"/>
    <numFmt numFmtId="168" formatCode="@"/>
    <numFmt numFmtId="169" formatCode="0%"/>
    <numFmt numFmtId="170" formatCode="0.0%"/>
    <numFmt numFmtId="171" formatCode="0.00"/>
    <numFmt numFmtId="172" formatCode="0.0"/>
    <numFmt numFmtId="173" formatCode="\$#,##0.00;&quot;-$&quot;#,##0.00"/>
    <numFmt numFmtId="174" formatCode="\$#,##0.00"/>
    <numFmt numFmtId="175" formatCode="dd\-mmm\-yy"/>
    <numFmt numFmtId="176" formatCode="hh:mm"/>
    <numFmt numFmtId="177" formatCode="ddd\ dd\-mmm"/>
    <numFmt numFmtId="178" formatCode="dd\-mmm"/>
    <numFmt numFmtId="179" formatCode="dd\-mmm\-yyyy"/>
    <numFmt numFmtId="180" formatCode="\$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E6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006100"/>
      </font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Review'!J4</c:f>
              <c:strCache>
                <c:ptCount val="1"/>
                <c:pt idx="0">
                  <c:v>Total 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Review'!$A$5:$A$16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Review'!$J$5:$J$16</c:f>
              <c:numCache>
                <c:formatCode>\+0.00;\-0.00;0.00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0120096"/>
        <c:axId val="91463308"/>
      </c:barChart>
      <c:catAx>
        <c:axId val="90120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63308"/>
        <c:crosses val="autoZero"/>
        <c:auto val="1"/>
        <c:lblAlgn val="ctr"/>
        <c:lblOffset val="100"/>
        <c:noMultiLvlLbl val="0"/>
      </c:catAx>
      <c:valAx>
        <c:axId val="91463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0;\-0.00;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20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R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Review'!N4</c:f>
              <c:strCache>
                <c:ptCount val="1"/>
                <c:pt idx="0">
                  <c:v>Cumulative 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Review'!$A$5:$A$16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'Weekly Review'!$N$5:$N$16</c:f>
              <c:numCache>
                <c:formatCode>\+0.00;\-0.00;0.00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607329"/>
        <c:axId val="56196064"/>
      </c:lineChart>
      <c:catAx>
        <c:axId val="71607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96064"/>
        <c:crosses val="autoZero"/>
        <c:auto val="1"/>
        <c:lblAlgn val="ctr"/>
        <c:lblOffset val="100"/>
        <c:noMultiLvlLbl val="0"/>
      </c:catAx>
      <c:valAx>
        <c:axId val="561960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.00;\-0.00;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073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131040</xdr:rowOff>
    </xdr:from>
    <xdr:to>
      <xdr:col>9</xdr:col>
      <xdr:colOff>317160</xdr:colOff>
      <xdr:row>31</xdr:row>
      <xdr:rowOff>174240</xdr:rowOff>
    </xdr:to>
    <xdr:graphicFrame>
      <xdr:nvGraphicFramePr>
        <xdr:cNvPr id="0" name="Chart 1"/>
        <xdr:cNvGraphicFramePr/>
      </xdr:nvGraphicFramePr>
      <xdr:xfrm>
        <a:off x="423000" y="4000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131040</xdr:rowOff>
    </xdr:from>
    <xdr:to>
      <xdr:col>15</xdr:col>
      <xdr:colOff>810720</xdr:colOff>
      <xdr:row>31</xdr:row>
      <xdr:rowOff>174240</xdr:rowOff>
    </xdr:to>
    <xdr:graphicFrame>
      <xdr:nvGraphicFramePr>
        <xdr:cNvPr id="1" name="Chart 2"/>
        <xdr:cNvGraphicFramePr/>
      </xdr:nvGraphicFramePr>
      <xdr:xfrm>
        <a:off x="5145480" y="4000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3" customFormat="false" ht="15" hidden="false" customHeight="false" outlineLevel="0" collapsed="false">
      <c r="A13" s="3" t="s">
        <v>17</v>
      </c>
    </row>
    <row r="14" customFormat="false" ht="15" hidden="false" customHeight="false" outlineLevel="0" collapsed="false">
      <c r="A14" s="6" t="s">
        <v>18</v>
      </c>
      <c r="B14" s="5" t="s">
        <v>19</v>
      </c>
    </row>
    <row r="15" customFormat="false" ht="15" hidden="false" customHeight="false" outlineLevel="0" collapsed="false">
      <c r="A15" s="7" t="s">
        <v>20</v>
      </c>
      <c r="B15" s="5" t="s">
        <v>21</v>
      </c>
    </row>
    <row r="17" customFormat="false" ht="15" hidden="false" customHeight="false" outlineLevel="0" collapsed="false">
      <c r="A17" s="3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 t="s">
        <v>29</v>
      </c>
      <c r="B21" s="5" t="s">
        <v>30</v>
      </c>
    </row>
    <row r="23" customFormat="false" ht="15" hidden="false" customHeight="false" outlineLevel="0" collapsed="false">
      <c r="A23" s="3" t="s">
        <v>31</v>
      </c>
    </row>
    <row r="24" customFormat="false" ht="15" hidden="false" customHeight="false" outlineLevel="0" collapsed="false">
      <c r="A24" s="8" t="s">
        <v>32</v>
      </c>
      <c r="B24" s="8" t="s">
        <v>33</v>
      </c>
    </row>
    <row r="25" customFormat="false" ht="15" hidden="false" customHeight="false" outlineLevel="0" collapsed="false">
      <c r="A25" s="5" t="s">
        <v>34</v>
      </c>
      <c r="B25" s="6" t="s">
        <v>35</v>
      </c>
    </row>
    <row r="26" customFormat="false" ht="15" hidden="false" customHeight="false" outlineLevel="0" collapsed="false">
      <c r="A26" s="5" t="s">
        <v>36</v>
      </c>
      <c r="B26" s="6" t="s">
        <v>37</v>
      </c>
    </row>
    <row r="27" customFormat="false" ht="15" hidden="false" customHeight="false" outlineLevel="0" collapsed="false">
      <c r="A27" s="5" t="s">
        <v>38</v>
      </c>
      <c r="B27" s="6" t="s">
        <v>39</v>
      </c>
    </row>
    <row r="28" customFormat="false" ht="15" hidden="false" customHeight="false" outlineLevel="0" collapsed="false">
      <c r="A28" s="5" t="s">
        <v>40</v>
      </c>
      <c r="B28" s="6" t="s">
        <v>41</v>
      </c>
    </row>
    <row r="29" customFormat="false" ht="15" hidden="false" customHeight="false" outlineLevel="0" collapsed="false">
      <c r="A29" s="5" t="s">
        <v>42</v>
      </c>
      <c r="B29" s="6" t="s">
        <v>43</v>
      </c>
    </row>
    <row r="30" customFormat="false" ht="15" hidden="false" customHeight="false" outlineLevel="0" collapsed="false">
      <c r="A30" s="5" t="s">
        <v>44</v>
      </c>
      <c r="B30" s="6" t="s">
        <v>45</v>
      </c>
    </row>
    <row r="31" customFormat="false" ht="15" hidden="false" customHeight="false" outlineLevel="0" collapsed="false">
      <c r="A31" s="5" t="s">
        <v>46</v>
      </c>
      <c r="B31" s="6" t="s">
        <v>47</v>
      </c>
    </row>
    <row r="32" customFormat="false" ht="15" hidden="false" customHeight="false" outlineLevel="0" collapsed="false">
      <c r="A32" s="5" t="s">
        <v>48</v>
      </c>
      <c r="B32" s="6" t="s">
        <v>49</v>
      </c>
    </row>
    <row r="33" customFormat="false" ht="15" hidden="false" customHeight="false" outlineLevel="0" collapsed="false">
      <c r="A33" s="5" t="s">
        <v>50</v>
      </c>
      <c r="B33" s="6" t="s">
        <v>51</v>
      </c>
    </row>
    <row r="34" customFormat="false" ht="15" hidden="false" customHeight="false" outlineLevel="0" collapsed="false">
      <c r="A34" s="5" t="s">
        <v>52</v>
      </c>
      <c r="B34" s="6" t="s">
        <v>53</v>
      </c>
    </row>
    <row r="35" customFormat="false" ht="15" hidden="false" customHeight="false" outlineLevel="0" collapsed="false">
      <c r="A35" s="5" t="s">
        <v>54</v>
      </c>
      <c r="B35" s="6" t="s">
        <v>53</v>
      </c>
    </row>
    <row r="36" customFormat="false" ht="15" hidden="false" customHeight="false" outlineLevel="0" collapsed="false">
      <c r="A36" s="5" t="s">
        <v>55</v>
      </c>
      <c r="B36" s="6" t="s">
        <v>56</v>
      </c>
    </row>
    <row r="37" customFormat="false" ht="15" hidden="false" customHeight="false" outlineLevel="0" collapsed="false">
      <c r="A37" s="5" t="s">
        <v>57</v>
      </c>
      <c r="B37" s="6" t="s">
        <v>58</v>
      </c>
    </row>
    <row r="38" customFormat="false" ht="15" hidden="false" customHeight="false" outlineLevel="0" collapsed="false">
      <c r="A38" s="5" t="s">
        <v>59</v>
      </c>
      <c r="B38" s="6" t="s">
        <v>60</v>
      </c>
    </row>
    <row r="39" customFormat="false" ht="15" hidden="false" customHeight="false" outlineLevel="0" collapsed="false">
      <c r="A39" s="5" t="s">
        <v>61</v>
      </c>
      <c r="B39" s="6" t="s">
        <v>62</v>
      </c>
    </row>
    <row r="40" customFormat="false" ht="15" hidden="false" customHeight="false" outlineLevel="0" collapsed="false">
      <c r="A40" s="5" t="s">
        <v>63</v>
      </c>
      <c r="B40" s="6" t="s">
        <v>64</v>
      </c>
    </row>
    <row r="41" customFormat="false" ht="15" hidden="false" customHeight="false" outlineLevel="0" collapsed="false">
      <c r="A41" s="5" t="s">
        <v>65</v>
      </c>
      <c r="B41" s="6" t="s">
        <v>66</v>
      </c>
    </row>
    <row r="43" customFormat="false" ht="15" hidden="false" customHeight="false" outlineLevel="0" collapsed="false">
      <c r="A43" s="9" t="s">
        <v>67</v>
      </c>
    </row>
    <row r="45" customFormat="false" ht="15" hidden="false" customHeight="false" outlineLevel="0" collapsed="false">
      <c r="A45" s="3" t="s">
        <v>68</v>
      </c>
    </row>
    <row r="46" customFormat="false" ht="15" hidden="false" customHeight="false" outlineLevel="0" collapsed="false">
      <c r="A46" s="4" t="s">
        <v>69</v>
      </c>
      <c r="B46" s="5" t="s">
        <v>70</v>
      </c>
    </row>
    <row r="47" customFormat="false" ht="15" hidden="false" customHeight="false" outlineLevel="0" collapsed="false">
      <c r="A47" s="4" t="s">
        <v>71</v>
      </c>
      <c r="B47" s="5" t="s">
        <v>72</v>
      </c>
    </row>
    <row r="48" customFormat="false" ht="15" hidden="false" customHeight="false" outlineLevel="0" collapsed="false">
      <c r="A48" s="4" t="s">
        <v>73</v>
      </c>
      <c r="B48" s="5" t="s">
        <v>74</v>
      </c>
    </row>
    <row r="49" customFormat="false" ht="15" hidden="false" customHeight="false" outlineLevel="0" collapsed="false">
      <c r="A49" s="4" t="s">
        <v>75</v>
      </c>
      <c r="B49" s="5" t="s">
        <v>76</v>
      </c>
    </row>
    <row r="50" customFormat="false" ht="15" hidden="false" customHeight="false" outlineLevel="0" collapsed="false">
      <c r="A50" s="4" t="s">
        <v>77</v>
      </c>
      <c r="B50" s="5" t="s">
        <v>78</v>
      </c>
    </row>
    <row r="51" customFormat="false" ht="15" hidden="false" customHeight="false" outlineLevel="0" collapsed="false">
      <c r="A51" s="4" t="s">
        <v>79</v>
      </c>
      <c r="B51" s="5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19.7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10" t="s">
        <v>83</v>
      </c>
      <c r="B4" s="11"/>
    </row>
    <row r="5" customFormat="false" ht="27" hidden="false" customHeight="true" outlineLevel="0" collapsed="false">
      <c r="A5" s="12" t="s">
        <v>84</v>
      </c>
      <c r="B5" s="13" t="s">
        <v>85</v>
      </c>
    </row>
    <row r="6" customFormat="false" ht="15" hidden="false" customHeight="false" outlineLevel="0" collapsed="false">
      <c r="A6" s="12" t="s">
        <v>84</v>
      </c>
      <c r="B6" s="13" t="s">
        <v>86</v>
      </c>
    </row>
    <row r="7" customFormat="false" ht="27" hidden="false" customHeight="true" outlineLevel="0" collapsed="false">
      <c r="A7" s="12" t="s">
        <v>84</v>
      </c>
      <c r="B7" s="13" t="s">
        <v>87</v>
      </c>
    </row>
    <row r="9" customFormat="false" ht="15" hidden="false" customHeight="false" outlineLevel="0" collapsed="false">
      <c r="A9" s="10" t="s">
        <v>88</v>
      </c>
      <c r="B9" s="11"/>
    </row>
    <row r="10" customFormat="false" ht="27" hidden="false" customHeight="true" outlineLevel="0" collapsed="false">
      <c r="A10" s="12" t="s">
        <v>84</v>
      </c>
      <c r="B10" s="13" t="s">
        <v>89</v>
      </c>
    </row>
    <row r="11" customFormat="false" ht="27" hidden="false" customHeight="true" outlineLevel="0" collapsed="false">
      <c r="A11" s="12" t="s">
        <v>84</v>
      </c>
      <c r="B11" s="13" t="s">
        <v>90</v>
      </c>
    </row>
    <row r="12" customFormat="false" ht="27" hidden="false" customHeight="true" outlineLevel="0" collapsed="false">
      <c r="A12" s="12" t="s">
        <v>84</v>
      </c>
      <c r="B12" s="13" t="s">
        <v>91</v>
      </c>
    </row>
    <row r="13" customFormat="false" ht="15" hidden="false" customHeight="false" outlineLevel="0" collapsed="false">
      <c r="A13" s="12" t="s">
        <v>84</v>
      </c>
      <c r="B13" s="13" t="s">
        <v>92</v>
      </c>
    </row>
    <row r="14" customFormat="false" ht="27" hidden="false" customHeight="true" outlineLevel="0" collapsed="false">
      <c r="A14" s="12" t="s">
        <v>84</v>
      </c>
      <c r="B14" s="13" t="s">
        <v>93</v>
      </c>
    </row>
    <row r="16" customFormat="false" ht="15" hidden="false" customHeight="false" outlineLevel="0" collapsed="false">
      <c r="A16" s="10" t="s">
        <v>94</v>
      </c>
      <c r="B16" s="11"/>
    </row>
    <row r="17" customFormat="false" ht="15" hidden="false" customHeight="false" outlineLevel="0" collapsed="false">
      <c r="A17" s="12" t="s">
        <v>84</v>
      </c>
      <c r="B17" s="13" t="s">
        <v>95</v>
      </c>
    </row>
    <row r="18" customFormat="false" ht="15" hidden="false" customHeight="false" outlineLevel="0" collapsed="false">
      <c r="A18" s="12" t="s">
        <v>84</v>
      </c>
      <c r="B18" s="13" t="s">
        <v>96</v>
      </c>
    </row>
    <row r="20" customFormat="false" ht="15" hidden="false" customHeight="false" outlineLevel="0" collapsed="false">
      <c r="A20" s="10" t="s">
        <v>97</v>
      </c>
      <c r="B20" s="11"/>
    </row>
    <row r="21" customFormat="false" ht="15" hidden="false" customHeight="false" outlineLevel="0" collapsed="false">
      <c r="A21" s="12" t="s">
        <v>84</v>
      </c>
      <c r="B21" s="13" t="s">
        <v>98</v>
      </c>
    </row>
    <row r="22" customFormat="false" ht="27" hidden="false" customHeight="true" outlineLevel="0" collapsed="false">
      <c r="A22" s="12" t="s">
        <v>84</v>
      </c>
      <c r="B22" s="13" t="s">
        <v>99</v>
      </c>
    </row>
    <row r="23" customFormat="false" ht="15" hidden="false" customHeight="false" outlineLevel="0" collapsed="false">
      <c r="A23" s="12" t="s">
        <v>84</v>
      </c>
      <c r="B23" s="13" t="s">
        <v>100</v>
      </c>
    </row>
    <row r="24" customFormat="false" ht="15" hidden="false" customHeight="false" outlineLevel="0" collapsed="false">
      <c r="A24" s="12" t="s">
        <v>84</v>
      </c>
      <c r="B24" s="13" t="s">
        <v>101</v>
      </c>
    </row>
    <row r="25" customFormat="false" ht="15" hidden="false" customHeight="false" outlineLevel="0" collapsed="false">
      <c r="A25" s="12" t="s">
        <v>84</v>
      </c>
      <c r="B25" s="13" t="s">
        <v>102</v>
      </c>
    </row>
    <row r="27" customFormat="false" ht="15" hidden="false" customHeight="false" outlineLevel="0" collapsed="false">
      <c r="A27" s="10" t="s">
        <v>103</v>
      </c>
      <c r="B27" s="11"/>
    </row>
    <row r="28" customFormat="false" ht="15" hidden="false" customHeight="false" outlineLevel="0" collapsed="false">
      <c r="A28" s="12" t="s">
        <v>84</v>
      </c>
      <c r="B28" s="13" t="s">
        <v>104</v>
      </c>
    </row>
    <row r="29" customFormat="false" ht="15" hidden="false" customHeight="false" outlineLevel="0" collapsed="false">
      <c r="A29" s="12" t="s">
        <v>84</v>
      </c>
      <c r="B29" s="13" t="s">
        <v>105</v>
      </c>
    </row>
    <row r="30" customFormat="false" ht="27" hidden="false" customHeight="true" outlineLevel="0" collapsed="false">
      <c r="A30" s="12" t="s">
        <v>84</v>
      </c>
      <c r="B30" s="13" t="s">
        <v>106</v>
      </c>
    </row>
    <row r="31" customFormat="false" ht="15" hidden="false" customHeight="false" outlineLevel="0" collapsed="false">
      <c r="A31" s="12" t="s">
        <v>84</v>
      </c>
      <c r="B31" s="13" t="s">
        <v>107</v>
      </c>
    </row>
    <row r="32" customFormat="false" ht="27" hidden="false" customHeight="true" outlineLevel="0" collapsed="false">
      <c r="A32" s="12" t="s">
        <v>84</v>
      </c>
      <c r="B32" s="13" t="s">
        <v>108</v>
      </c>
    </row>
    <row r="33" customFormat="false" ht="27" hidden="false" customHeight="true" outlineLevel="0" collapsed="false">
      <c r="A33" s="12" t="s">
        <v>84</v>
      </c>
      <c r="B33" s="13" t="s">
        <v>109</v>
      </c>
    </row>
    <row r="34" customFormat="false" ht="15" hidden="false" customHeight="false" outlineLevel="0" collapsed="false">
      <c r="A34" s="12" t="s">
        <v>84</v>
      </c>
      <c r="B34" s="13" t="s">
        <v>110</v>
      </c>
    </row>
    <row r="36" customFormat="false" ht="15" hidden="false" customHeight="false" outlineLevel="0" collapsed="false">
      <c r="A36" s="10" t="s">
        <v>111</v>
      </c>
      <c r="B36" s="11"/>
    </row>
    <row r="37" customFormat="false" ht="15" hidden="false" customHeight="false" outlineLevel="0" collapsed="false">
      <c r="A37" s="12" t="s">
        <v>84</v>
      </c>
      <c r="B37" s="13" t="s">
        <v>112</v>
      </c>
    </row>
    <row r="38" customFormat="false" ht="15" hidden="false" customHeight="false" outlineLevel="0" collapsed="false">
      <c r="A38" s="12" t="s">
        <v>84</v>
      </c>
      <c r="B38" s="13" t="s">
        <v>113</v>
      </c>
    </row>
    <row r="39" customFormat="false" ht="15" hidden="false" customHeight="false" outlineLevel="0" collapsed="false">
      <c r="A39" s="12" t="s">
        <v>84</v>
      </c>
      <c r="B39" s="13" t="s">
        <v>114</v>
      </c>
    </row>
    <row r="40" customFormat="false" ht="27" hidden="false" customHeight="true" outlineLevel="0" collapsed="false">
      <c r="A40" s="12" t="s">
        <v>84</v>
      </c>
      <c r="B40" s="13" t="s">
        <v>115</v>
      </c>
    </row>
    <row r="41" customFormat="false" ht="27" hidden="false" customHeight="true" outlineLevel="0" collapsed="false">
      <c r="A41" s="12" t="s">
        <v>84</v>
      </c>
      <c r="B41" s="13" t="s">
        <v>116</v>
      </c>
    </row>
    <row r="42" customFormat="false" ht="15" hidden="false" customHeight="false" outlineLevel="0" collapsed="false">
      <c r="A42" s="12" t="s">
        <v>84</v>
      </c>
      <c r="B42" s="13" t="s">
        <v>117</v>
      </c>
    </row>
    <row r="44" customFormat="false" ht="15" hidden="false" customHeight="false" outlineLevel="0" collapsed="false">
      <c r="A44" s="10" t="s">
        <v>118</v>
      </c>
      <c r="B44" s="11"/>
    </row>
    <row r="45" customFormat="false" ht="15" hidden="false" customHeight="false" outlineLevel="0" collapsed="false">
      <c r="A45" s="12" t="s">
        <v>84</v>
      </c>
      <c r="B45" s="13" t="s">
        <v>119</v>
      </c>
    </row>
    <row r="46" customFormat="false" ht="15" hidden="false" customHeight="false" outlineLevel="0" collapsed="false">
      <c r="A46" s="12" t="s">
        <v>84</v>
      </c>
      <c r="B46" s="13" t="s">
        <v>120</v>
      </c>
    </row>
    <row r="47" customFormat="false" ht="15" hidden="false" customHeight="false" outlineLevel="0" collapsed="false">
      <c r="A47" s="12" t="s">
        <v>84</v>
      </c>
      <c r="B47" s="13" t="s">
        <v>121</v>
      </c>
    </row>
    <row r="48" customFormat="false" ht="15" hidden="false" customHeight="false" outlineLevel="0" collapsed="false">
      <c r="A48" s="12" t="s">
        <v>84</v>
      </c>
      <c r="B48" s="13" t="s">
        <v>122</v>
      </c>
    </row>
    <row r="50" customFormat="false" ht="15" hidden="false" customHeight="false" outlineLevel="0" collapsed="false">
      <c r="A50" s="10" t="s">
        <v>123</v>
      </c>
      <c r="B50" s="11"/>
    </row>
    <row r="51" customFormat="false" ht="27" hidden="false" customHeight="true" outlineLevel="0" collapsed="false">
      <c r="A51" s="12" t="s">
        <v>84</v>
      </c>
      <c r="B51" s="13" t="s">
        <v>124</v>
      </c>
    </row>
    <row r="52" customFormat="false" ht="27" hidden="false" customHeight="true" outlineLevel="0" collapsed="false">
      <c r="A52" s="12" t="s">
        <v>84</v>
      </c>
      <c r="B52" s="13" t="s">
        <v>125</v>
      </c>
    </row>
    <row r="54" customFormat="false" ht="15" hidden="false" customHeight="false" outlineLevel="0" collapsed="false">
      <c r="A54" s="10" t="s">
        <v>126</v>
      </c>
      <c r="B54" s="11"/>
    </row>
    <row r="55" customFormat="false" ht="27" hidden="false" customHeight="true" outlineLevel="0" collapsed="false">
      <c r="A55" s="12" t="s">
        <v>84</v>
      </c>
      <c r="B55" s="13" t="s">
        <v>127</v>
      </c>
    </row>
    <row r="56" customFormat="false" ht="15" hidden="false" customHeight="false" outlineLevel="0" collapsed="false">
      <c r="A56" s="12" t="s">
        <v>84</v>
      </c>
      <c r="B56" s="13" t="s">
        <v>128</v>
      </c>
    </row>
    <row r="57" customFormat="false" ht="27" hidden="false" customHeight="true" outlineLevel="0" collapsed="false">
      <c r="A57" s="12" t="s">
        <v>84</v>
      </c>
      <c r="B57" s="13" t="s">
        <v>129</v>
      </c>
    </row>
    <row r="58" customFormat="false" ht="27" hidden="false" customHeight="true" outlineLevel="0" collapsed="false">
      <c r="A58" s="12" t="s">
        <v>84</v>
      </c>
      <c r="B58" s="13" t="s">
        <v>130</v>
      </c>
    </row>
    <row r="59" customFormat="false" ht="15" hidden="false" customHeight="false" outlineLevel="0" collapsed="false">
      <c r="A59" s="12" t="s">
        <v>84</v>
      </c>
      <c r="B59" s="13" t="s">
        <v>131</v>
      </c>
    </row>
    <row r="61" customFormat="false" ht="15" hidden="false" customHeight="false" outlineLevel="0" collapsed="false">
      <c r="A61" s="10" t="s">
        <v>132</v>
      </c>
      <c r="B61" s="11"/>
    </row>
    <row r="62" customFormat="false" ht="15" hidden="false" customHeight="false" outlineLevel="0" collapsed="false">
      <c r="A62" s="12" t="s">
        <v>84</v>
      </c>
      <c r="B62" s="13" t="s">
        <v>133</v>
      </c>
    </row>
    <row r="63" customFormat="false" ht="27" hidden="false" customHeight="true" outlineLevel="0" collapsed="false">
      <c r="A63" s="12" t="s">
        <v>84</v>
      </c>
      <c r="B63" s="13" t="s">
        <v>134</v>
      </c>
    </row>
    <row r="65" customFormat="false" ht="15" hidden="false" customHeight="false" outlineLevel="0" collapsed="false">
      <c r="A65" s="10" t="s">
        <v>135</v>
      </c>
      <c r="B65" s="11"/>
    </row>
    <row r="66" customFormat="false" ht="27" hidden="false" customHeight="true" outlineLevel="0" collapsed="false">
      <c r="A66" s="12" t="s">
        <v>84</v>
      </c>
      <c r="B66" s="13" t="s">
        <v>136</v>
      </c>
    </row>
    <row r="67" customFormat="false" ht="27" hidden="false" customHeight="true" outlineLevel="0" collapsed="false">
      <c r="A67" s="12" t="s">
        <v>84</v>
      </c>
      <c r="B67" s="13" t="s">
        <v>137</v>
      </c>
    </row>
    <row r="68" customFormat="false" ht="27" hidden="false" customHeight="true" outlineLevel="0" collapsed="false">
      <c r="A68" s="12" t="s">
        <v>84</v>
      </c>
      <c r="B68" s="1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14" t="s">
        <v>141</v>
      </c>
      <c r="B4" s="15"/>
    </row>
    <row r="5" customFormat="false" ht="19.5" hidden="false" customHeight="true" outlineLevel="0" collapsed="false">
      <c r="A5" s="16" t="s">
        <v>142</v>
      </c>
      <c r="B5" s="17" t="s">
        <v>143</v>
      </c>
    </row>
    <row r="6" customFormat="false" ht="19.5" hidden="false" customHeight="true" outlineLevel="0" collapsed="false">
      <c r="A6" s="16" t="s">
        <v>142</v>
      </c>
      <c r="B6" s="17" t="s">
        <v>144</v>
      </c>
    </row>
    <row r="7" customFormat="false" ht="19.5" hidden="false" customHeight="true" outlineLevel="0" collapsed="false">
      <c r="A7" s="16" t="s">
        <v>142</v>
      </c>
      <c r="B7" s="17" t="s">
        <v>145</v>
      </c>
    </row>
    <row r="8" customFormat="false" ht="19.5" hidden="false" customHeight="true" outlineLevel="0" collapsed="false">
      <c r="A8" s="16" t="s">
        <v>142</v>
      </c>
      <c r="B8" s="17" t="s">
        <v>146</v>
      </c>
    </row>
    <row r="9" customFormat="false" ht="19.5" hidden="false" customHeight="true" outlineLevel="0" collapsed="false">
      <c r="A9" s="16" t="s">
        <v>142</v>
      </c>
      <c r="B9" s="17" t="s">
        <v>147</v>
      </c>
    </row>
    <row r="10" customFormat="false" ht="19.5" hidden="false" customHeight="true" outlineLevel="0" collapsed="false">
      <c r="A10" s="16" t="s">
        <v>142</v>
      </c>
      <c r="B10" s="17" t="s">
        <v>148</v>
      </c>
    </row>
    <row r="11" customFormat="false" ht="19.5" hidden="false" customHeight="true" outlineLevel="0" collapsed="false">
      <c r="A11" s="16" t="s">
        <v>142</v>
      </c>
      <c r="B11" s="17" t="s">
        <v>149</v>
      </c>
    </row>
    <row r="13" customFormat="false" ht="15" hidden="false" customHeight="false" outlineLevel="0" collapsed="false">
      <c r="A13" s="14" t="s">
        <v>150</v>
      </c>
      <c r="B13" s="15"/>
    </row>
    <row r="14" customFormat="false" ht="19.5" hidden="false" customHeight="true" outlineLevel="0" collapsed="false">
      <c r="A14" s="16" t="s">
        <v>142</v>
      </c>
      <c r="B14" s="17" t="s">
        <v>151</v>
      </c>
    </row>
    <row r="15" customFormat="false" ht="19.5" hidden="false" customHeight="true" outlineLevel="0" collapsed="false">
      <c r="A15" s="16" t="s">
        <v>142</v>
      </c>
      <c r="B15" s="17" t="s">
        <v>152</v>
      </c>
    </row>
    <row r="16" customFormat="false" ht="19.5" hidden="false" customHeight="true" outlineLevel="0" collapsed="false">
      <c r="A16" s="16" t="s">
        <v>142</v>
      </c>
      <c r="B16" s="17" t="s">
        <v>153</v>
      </c>
    </row>
    <row r="17" customFormat="false" ht="19.5" hidden="false" customHeight="true" outlineLevel="0" collapsed="false">
      <c r="A17" s="16" t="s">
        <v>142</v>
      </c>
      <c r="B17" s="17" t="s">
        <v>154</v>
      </c>
    </row>
    <row r="18" customFormat="false" ht="19.5" hidden="false" customHeight="true" outlineLevel="0" collapsed="false">
      <c r="A18" s="16" t="s">
        <v>142</v>
      </c>
      <c r="B18" s="17" t="s">
        <v>155</v>
      </c>
    </row>
    <row r="20" customFormat="false" ht="15" hidden="false" customHeight="false" outlineLevel="0" collapsed="false">
      <c r="A20" s="14" t="s">
        <v>156</v>
      </c>
      <c r="B20" s="15"/>
    </row>
    <row r="21" customFormat="false" ht="19.5" hidden="false" customHeight="true" outlineLevel="0" collapsed="false">
      <c r="A21" s="16" t="s">
        <v>142</v>
      </c>
      <c r="B21" s="17" t="s">
        <v>157</v>
      </c>
    </row>
    <row r="22" customFormat="false" ht="19.5" hidden="false" customHeight="true" outlineLevel="0" collapsed="false">
      <c r="A22" s="16" t="s">
        <v>142</v>
      </c>
      <c r="B22" s="17" t="s">
        <v>158</v>
      </c>
    </row>
    <row r="23" customFormat="false" ht="19.5" hidden="false" customHeight="true" outlineLevel="0" collapsed="false">
      <c r="A23" s="16" t="s">
        <v>142</v>
      </c>
      <c r="B23" s="17" t="s">
        <v>159</v>
      </c>
    </row>
    <row r="24" customFormat="false" ht="19.5" hidden="false" customHeight="true" outlineLevel="0" collapsed="false">
      <c r="A24" s="16" t="s">
        <v>142</v>
      </c>
      <c r="B24" s="17" t="s">
        <v>160</v>
      </c>
    </row>
    <row r="25" customFormat="false" ht="19.5" hidden="false" customHeight="true" outlineLevel="0" collapsed="false">
      <c r="A25" s="16" t="s">
        <v>142</v>
      </c>
      <c r="B25" s="17" t="s">
        <v>161</v>
      </c>
    </row>
    <row r="27" customFormat="false" ht="15" hidden="false" customHeight="false" outlineLevel="0" collapsed="false">
      <c r="A27" s="14" t="s">
        <v>162</v>
      </c>
      <c r="B27" s="15"/>
    </row>
    <row r="28" customFormat="false" ht="19.5" hidden="false" customHeight="true" outlineLevel="0" collapsed="false">
      <c r="A28" s="16" t="s">
        <v>142</v>
      </c>
      <c r="B28" s="17" t="s">
        <v>163</v>
      </c>
    </row>
    <row r="29" customFormat="false" ht="19.5" hidden="false" customHeight="true" outlineLevel="0" collapsed="false">
      <c r="A29" s="16" t="s">
        <v>142</v>
      </c>
      <c r="B29" s="17" t="s">
        <v>164</v>
      </c>
    </row>
    <row r="30" customFormat="false" ht="19.5" hidden="false" customHeight="true" outlineLevel="0" collapsed="false">
      <c r="A30" s="16" t="s">
        <v>142</v>
      </c>
      <c r="B30" s="17" t="s">
        <v>165</v>
      </c>
    </row>
    <row r="31" customFormat="false" ht="19.5" hidden="false" customHeight="true" outlineLevel="0" collapsed="false">
      <c r="A31" s="16" t="s">
        <v>142</v>
      </c>
      <c r="B31" s="17" t="s">
        <v>166</v>
      </c>
    </row>
    <row r="33" customFormat="false" ht="15" hidden="false" customHeight="false" outlineLevel="0" collapsed="false">
      <c r="A33" s="14" t="s">
        <v>167</v>
      </c>
      <c r="B33" s="15"/>
    </row>
    <row r="34" customFormat="false" ht="19.5" hidden="false" customHeight="true" outlineLevel="0" collapsed="false">
      <c r="A34" s="16" t="s">
        <v>142</v>
      </c>
      <c r="B34" s="17" t="s">
        <v>168</v>
      </c>
    </row>
    <row r="35" customFormat="false" ht="19.5" hidden="false" customHeight="true" outlineLevel="0" collapsed="false">
      <c r="A35" s="16" t="s">
        <v>142</v>
      </c>
      <c r="B35" s="17" t="s">
        <v>169</v>
      </c>
    </row>
    <row r="37" customFormat="false" ht="15" hidden="false" customHeight="false" outlineLevel="0" collapsed="false">
      <c r="B37" s="18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30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A4" s="3" t="s">
        <v>173</v>
      </c>
      <c r="D4" s="3" t="s">
        <v>174</v>
      </c>
      <c r="J4" s="3" t="s">
        <v>175</v>
      </c>
    </row>
    <row r="5" customFormat="false" ht="23.85" hidden="false" customHeight="false" outlineLevel="0" collapsed="false">
      <c r="A5" s="19" t="s">
        <v>176</v>
      </c>
      <c r="B5" s="20" t="n">
        <f aca="false">COUNT(Journal!$B$5:$B$304)</f>
        <v>0</v>
      </c>
      <c r="D5" s="21" t="s">
        <v>177</v>
      </c>
      <c r="E5" s="21" t="s">
        <v>178</v>
      </c>
      <c r="F5" s="21" t="s">
        <v>179</v>
      </c>
      <c r="G5" s="21" t="s">
        <v>180</v>
      </c>
      <c r="J5" s="21" t="s">
        <v>59</v>
      </c>
      <c r="K5" s="21" t="s">
        <v>181</v>
      </c>
      <c r="L5" s="21" t="s">
        <v>182</v>
      </c>
    </row>
    <row r="6" customFormat="false" ht="15" hidden="false" customHeight="false" outlineLevel="0" collapsed="false">
      <c r="A6" s="19" t="s">
        <v>183</v>
      </c>
      <c r="B6" s="20" t="n">
        <f aca="false">COUNT(Journal!$T$5:$T$304)</f>
        <v>0</v>
      </c>
      <c r="D6" s="19" t="s">
        <v>183</v>
      </c>
      <c r="E6" s="22" t="n">
        <f aca="false">Settings!$B$13</f>
        <v>40</v>
      </c>
      <c r="F6" s="22" t="n">
        <f aca="false">B6</f>
        <v>0</v>
      </c>
      <c r="G6" s="23" t="str">
        <f aca="false">IF(F6&gt;=E6,"PASS","NOT YET")</f>
        <v>NOT YET</v>
      </c>
      <c r="J6" s="19" t="s">
        <v>184</v>
      </c>
      <c r="K6" s="24" t="n">
        <f aca="false">COUNTIF(Journal!$AD$5:$AD$304,J6)</f>
        <v>0</v>
      </c>
      <c r="L6" s="25" t="n">
        <f aca="false">SUMIFS(Journal!$T$5:$T$304,Journal!$AD$5:$AD$304,J6)</f>
        <v>0</v>
      </c>
    </row>
    <row r="7" customFormat="false" ht="15" hidden="false" customHeight="false" outlineLevel="0" collapsed="false">
      <c r="A7" s="19" t="s">
        <v>185</v>
      </c>
      <c r="B7" s="26" t="str">
        <f aca="false">COUNTIF(Journal!$U$5:$U$304,"Win")&amp;" / "&amp;COUNTIF(Journal!$U$5:$U$304,"Loss")&amp;" / "&amp;COUNTIF(Journal!$U$5:$U$304,"BE")</f>
        <v>0 / 0 / 0</v>
      </c>
      <c r="D7" s="19" t="s">
        <v>186</v>
      </c>
      <c r="E7" s="27" t="n">
        <f aca="false">Settings!$B$14</f>
        <v>0.9</v>
      </c>
      <c r="F7" s="27" t="n">
        <f aca="false">B19</f>
        <v>0</v>
      </c>
      <c r="G7" s="23" t="str">
        <f aca="false">IF(F7&gt;=E7,"PASS","NOT YET")</f>
        <v>NOT YET</v>
      </c>
      <c r="J7" s="19" t="s">
        <v>187</v>
      </c>
      <c r="K7" s="24" t="n">
        <f aca="false">COUNTIF(Journal!$AD$5:$AD$304,J7)</f>
        <v>0</v>
      </c>
      <c r="L7" s="25" t="n">
        <f aca="false">SUMIFS(Journal!$T$5:$T$304,Journal!$AD$5:$AD$304,J7)</f>
        <v>0</v>
      </c>
    </row>
    <row r="8" customFormat="false" ht="15" hidden="false" customHeight="false" outlineLevel="0" collapsed="false">
      <c r="A8" s="19" t="s">
        <v>188</v>
      </c>
      <c r="B8" s="28" t="n">
        <f aca="false">IFERROR(COUNTIF(Journal!$U$5:$U$304,"Win")/B6,0)</f>
        <v>0</v>
      </c>
      <c r="D8" s="19" t="s">
        <v>189</v>
      </c>
      <c r="E8" s="29" t="n">
        <f aca="false">Settings!$B$15</f>
        <v>0.25</v>
      </c>
      <c r="F8" s="25" t="n">
        <f aca="false">B11</f>
        <v>0</v>
      </c>
      <c r="G8" s="23" t="str">
        <f aca="false">IF(F8&gt;=E8,"PASS","NOT YET")</f>
        <v>NOT YET</v>
      </c>
      <c r="J8" s="19" t="s">
        <v>190</v>
      </c>
      <c r="K8" s="24" t="n">
        <f aca="false">COUNTIF(Journal!$AD$5:$AD$304,J8)</f>
        <v>0</v>
      </c>
      <c r="L8" s="25" t="n">
        <f aca="false">SUMIFS(Journal!$T$5:$T$304,Journal!$AD$5:$AD$304,J8)</f>
        <v>0</v>
      </c>
    </row>
    <row r="9" customFormat="false" ht="15" hidden="false" customHeight="false" outlineLevel="0" collapsed="false">
      <c r="A9" s="19" t="s">
        <v>191</v>
      </c>
      <c r="B9" s="30" t="n">
        <f aca="false">IFERROR(AVERAGEIF(Journal!$U$5:$U$304,"Win",Journal!$T$5:$T$304),0)</f>
        <v>0</v>
      </c>
      <c r="D9" s="19" t="s">
        <v>192</v>
      </c>
      <c r="E9" s="29" t="n">
        <f aca="false">Settings!$B$16</f>
        <v>1.3</v>
      </c>
      <c r="F9" s="29" t="n">
        <f aca="false">B13</f>
        <v>0</v>
      </c>
      <c r="G9" s="23" t="str">
        <f aca="false">IF(F9&gt;=E9,"PASS","NOT YET")</f>
        <v>NOT YET</v>
      </c>
      <c r="J9" s="19" t="s">
        <v>193</v>
      </c>
      <c r="K9" s="24" t="n">
        <f aca="false">COUNTIF(Journal!$AD$5:$AD$304,J9)</f>
        <v>0</v>
      </c>
      <c r="L9" s="25" t="n">
        <f aca="false">SUMIFS(Journal!$T$5:$T$304,Journal!$AD$5:$AD$304,J9)</f>
        <v>0</v>
      </c>
    </row>
    <row r="10" customFormat="false" ht="15" hidden="false" customHeight="false" outlineLevel="0" collapsed="false">
      <c r="A10" s="19" t="s">
        <v>194</v>
      </c>
      <c r="B10" s="30" t="n">
        <f aca="false">IFERROR(AVERAGEIF(Journal!$U$5:$U$304,"Loss",Journal!$T$5:$T$304),0)</f>
        <v>0</v>
      </c>
      <c r="D10" s="19" t="s">
        <v>195</v>
      </c>
      <c r="E10" s="31" t="n">
        <f aca="false">Settings!$B$17</f>
        <v>10</v>
      </c>
      <c r="F10" s="31" t="n">
        <f aca="false">ABS(B14)</f>
        <v>0</v>
      </c>
      <c r="G10" s="23" t="str">
        <f aca="false">IF(F10&lt;=E10,"PASS","NOT YET")</f>
        <v>PASS</v>
      </c>
      <c r="J10" s="19" t="s">
        <v>196</v>
      </c>
      <c r="K10" s="24" t="n">
        <f aca="false">COUNTIF(Journal!$AD$5:$AD$304,J10)</f>
        <v>0</v>
      </c>
      <c r="L10" s="25" t="n">
        <f aca="false">SUMIFS(Journal!$T$5:$T$304,Journal!$AD$5:$AD$304,J10)</f>
        <v>0</v>
      </c>
    </row>
    <row r="11" customFormat="false" ht="15" hidden="false" customHeight="false" outlineLevel="0" collapsed="false">
      <c r="A11" s="19" t="s">
        <v>197</v>
      </c>
      <c r="B11" s="30" t="n">
        <f aca="false">IFERROR(AVERAGE(Journal!$T$5:$T$304),0)</f>
        <v>0</v>
      </c>
      <c r="D11" s="19" t="s">
        <v>198</v>
      </c>
      <c r="E11" s="27" t="n">
        <f aca="false">Settings!$B$18</f>
        <v>0.9</v>
      </c>
      <c r="F11" s="27" t="n">
        <f aca="false">B22</f>
        <v>0</v>
      </c>
      <c r="G11" s="23" t="str">
        <f aca="false">IF(F11&gt;=E11,"PASS","NOT YET")</f>
        <v>NOT YET</v>
      </c>
      <c r="J11" s="19" t="s">
        <v>199</v>
      </c>
      <c r="K11" s="24" t="n">
        <f aca="false">COUNTIF(Journal!$AD$5:$AD$304,J11)</f>
        <v>0</v>
      </c>
      <c r="L11" s="25" t="n">
        <f aca="false">SUMIFS(Journal!$T$5:$T$304,Journal!$AD$5:$AD$304,J11)</f>
        <v>0</v>
      </c>
    </row>
    <row r="12" customFormat="false" ht="15" hidden="false" customHeight="false" outlineLevel="0" collapsed="false">
      <c r="A12" s="19" t="s">
        <v>200</v>
      </c>
      <c r="B12" s="30" t="n">
        <f aca="false">SUM(Journal!$T$5:$T$304)</f>
        <v>0</v>
      </c>
      <c r="J12" s="19" t="s">
        <v>201</v>
      </c>
      <c r="K12" s="24" t="n">
        <f aca="false">COUNTIF(Journal!$AD$5:$AD$304,J12)</f>
        <v>0</v>
      </c>
      <c r="L12" s="25" t="n">
        <f aca="false">SUMIFS(Journal!$T$5:$T$304,Journal!$AD$5:$AD$304,J12)</f>
        <v>0</v>
      </c>
    </row>
    <row r="13" customFormat="false" ht="15" hidden="false" customHeight="false" outlineLevel="0" collapsed="false">
      <c r="A13" s="19" t="s">
        <v>192</v>
      </c>
      <c r="B13" s="32" t="n">
        <f aca="false">IFERROR(SUMIF(Journal!$T$5:$T$304,"&gt;0")/ABS(SUMIF(Journal!$T$5:$T$304,"&lt;0")),0)</f>
        <v>0</v>
      </c>
      <c r="D13" s="18" t="s">
        <v>202</v>
      </c>
      <c r="E13" s="33" t="str">
        <f aca="false">IF(COUNTIF(G6:G11,"PASS")=6,"READY for controlled live trading","KEEP PRACTISING - fix the biggest leak first")</f>
        <v>KEEP PRACTISING - fix the biggest leak first</v>
      </c>
      <c r="F13" s="33"/>
      <c r="G13" s="33"/>
      <c r="J13" s="19" t="s">
        <v>203</v>
      </c>
      <c r="K13" s="24" t="n">
        <f aca="false">COUNTIF(Journal!$AD$5:$AD$304,J13)</f>
        <v>0</v>
      </c>
      <c r="L13" s="25" t="n">
        <f aca="false">SUMIFS(Journal!$T$5:$T$304,Journal!$AD$5:$AD$304,J13)</f>
        <v>0</v>
      </c>
    </row>
    <row r="14" customFormat="false" ht="15" hidden="false" customHeight="false" outlineLevel="0" collapsed="false">
      <c r="A14" s="19" t="s">
        <v>204</v>
      </c>
      <c r="B14" s="32" t="n">
        <f aca="false">MIN(Journal!$AB$5:$AB$304)</f>
        <v>0</v>
      </c>
      <c r="J14" s="19" t="s">
        <v>205</v>
      </c>
      <c r="K14" s="24" t="n">
        <f aca="false">COUNTIF(Journal!$AD$5:$AD$304,J14)</f>
        <v>0</v>
      </c>
      <c r="L14" s="25" t="n">
        <f aca="false">SUMIFS(Journal!$T$5:$T$304,Journal!$AD$5:$AD$304,J14)</f>
        <v>0</v>
      </c>
    </row>
    <row r="15" customFormat="false" ht="15" hidden="false" customHeight="false" outlineLevel="0" collapsed="false">
      <c r="A15" s="19" t="s">
        <v>206</v>
      </c>
      <c r="B15" s="20" t="n">
        <f aca="false">MAX(Journal!$AC$5:$AC$304)</f>
        <v>0</v>
      </c>
      <c r="D15" s="34" t="s">
        <v>207</v>
      </c>
      <c r="J15" s="19" t="s">
        <v>208</v>
      </c>
      <c r="K15" s="24" t="n">
        <f aca="false">COUNTIF(Journal!$AD$5:$AD$304,J15)</f>
        <v>0</v>
      </c>
      <c r="L15" s="25" t="n">
        <f aca="false">SUMIFS(Journal!$T$5:$T$304,Journal!$AD$5:$AD$304,J15)</f>
        <v>0</v>
      </c>
    </row>
    <row r="16" customFormat="false" ht="15" hidden="false" customHeight="false" outlineLevel="0" collapsed="false">
      <c r="A16" s="19" t="s">
        <v>209</v>
      </c>
      <c r="B16" s="35" t="n">
        <f aca="false">SUM(Journal!$X$5:$X$304)</f>
        <v>0</v>
      </c>
      <c r="D16" s="21" t="s">
        <v>38</v>
      </c>
      <c r="E16" s="21" t="s">
        <v>210</v>
      </c>
      <c r="F16" s="21" t="s">
        <v>188</v>
      </c>
      <c r="G16" s="21" t="s">
        <v>200</v>
      </c>
      <c r="H16" s="21" t="s">
        <v>211</v>
      </c>
    </row>
    <row r="17" customFormat="false" ht="15" hidden="false" customHeight="false" outlineLevel="0" collapsed="false">
      <c r="A17" s="19" t="s">
        <v>212</v>
      </c>
      <c r="B17" s="36" t="n">
        <f aca="false">Settings!$B$5+SUM(Journal!$X$5:$X$304)</f>
        <v>1000</v>
      </c>
      <c r="D17" s="19" t="s">
        <v>213</v>
      </c>
      <c r="E17" s="24" t="n">
        <f aca="false">COUNTIFS(Journal!$E$5:$E$304,D17,Journal!$T$5:$T$304,"&gt;-9999")</f>
        <v>0</v>
      </c>
      <c r="F17" s="27" t="n">
        <f aca="false">IFERROR(COUNTIFS(Journal!$E$5:$E$304,D17,Journal!$U$5:$U$304,"Win")/E17,0)</f>
        <v>0</v>
      </c>
      <c r="G17" s="25" t="n">
        <f aca="false">SUMIFS(Journal!$T$5:$T$304,Journal!$E$5:$E$304,D17)</f>
        <v>0</v>
      </c>
      <c r="H17" s="25" t="n">
        <f aca="false">IFERROR(G17/E17,0)</f>
        <v>0</v>
      </c>
      <c r="J17" s="9" t="s">
        <v>214</v>
      </c>
    </row>
    <row r="18" customFormat="false" ht="15" hidden="false" customHeight="false" outlineLevel="0" collapsed="false">
      <c r="A18" s="19" t="s">
        <v>215</v>
      </c>
      <c r="B18" s="28" t="n">
        <f aca="false">IFERROR(SUM(Journal!$X$5:$X$304)/Settings!$B$5,0)</f>
        <v>0</v>
      </c>
      <c r="D18" s="19" t="s">
        <v>39</v>
      </c>
      <c r="E18" s="24" t="n">
        <f aca="false">COUNTIFS(Journal!$E$5:$E$304,D18,Journal!$T$5:$T$304,"&gt;-9999")</f>
        <v>0</v>
      </c>
      <c r="F18" s="27" t="n">
        <f aca="false">IFERROR(COUNTIFS(Journal!$E$5:$E$304,D18,Journal!$U$5:$U$304,"Win")/E18,0)</f>
        <v>0</v>
      </c>
      <c r="G18" s="25" t="n">
        <f aca="false">SUMIFS(Journal!$T$5:$T$304,Journal!$E$5:$E$304,D18)</f>
        <v>0</v>
      </c>
      <c r="H18" s="25" t="n">
        <f aca="false">IFERROR(G18/E18,0)</f>
        <v>0</v>
      </c>
    </row>
    <row r="19" customFormat="false" ht="15" hidden="false" customHeight="false" outlineLevel="0" collapsed="false">
      <c r="A19" s="19" t="s">
        <v>186</v>
      </c>
      <c r="B19" s="37" t="n">
        <f aca="false">IFERROR(COUNTIF(Journal!$AE$5:$AE$304,"Yes")/B5,0)</f>
        <v>0</v>
      </c>
    </row>
    <row r="20" customFormat="false" ht="15" hidden="false" customHeight="false" outlineLevel="0" collapsed="false">
      <c r="A20" s="19" t="s">
        <v>216</v>
      </c>
      <c r="B20" s="30" t="n">
        <f aca="false">IFERROR(AVERAGEIFS(Journal!$T$5:$T$304,Journal!$AE$5:$AE$304,"Yes"),0)</f>
        <v>0</v>
      </c>
      <c r="D20" s="34" t="s">
        <v>217</v>
      </c>
    </row>
    <row r="21" customFormat="false" ht="15" hidden="false" customHeight="false" outlineLevel="0" collapsed="false">
      <c r="A21" s="19" t="s">
        <v>218</v>
      </c>
      <c r="B21" s="30" t="n">
        <f aca="false">IFERROR(AVERAGEIFS(Journal!$T$5:$T$304,Journal!$AE$5:$AE$304,"No"),0)</f>
        <v>0</v>
      </c>
      <c r="D21" s="21" t="s">
        <v>36</v>
      </c>
      <c r="E21" s="21" t="s">
        <v>210</v>
      </c>
      <c r="F21" s="21" t="s">
        <v>188</v>
      </c>
      <c r="G21" s="21" t="s">
        <v>200</v>
      </c>
      <c r="H21" s="21" t="s">
        <v>211</v>
      </c>
    </row>
    <row r="22" customFormat="false" ht="15" hidden="false" customHeight="false" outlineLevel="0" collapsed="false">
      <c r="A22" s="19" t="s">
        <v>219</v>
      </c>
      <c r="B22" s="37" t="n">
        <f aca="true">IFERROR((COUNTIF('Daily Log'!$C$5:$C$64,"Y")+COUNTIF('Daily Log'!$D$5:$D$64,"Y"))/(2*COUNTIF('Daily Log'!$A$5:$A$64,"&lt;="&amp;TODAY())),0)</f>
        <v>0</v>
      </c>
      <c r="D22" s="19" t="s">
        <v>220</v>
      </c>
      <c r="E22" s="24" t="n">
        <f aca="false">COUNTIFS(Journal!$D$5:$D$304,D22,Journal!$T$5:$T$304,"&gt;-9999")</f>
        <v>0</v>
      </c>
      <c r="F22" s="27" t="n">
        <f aca="false">IFERROR(COUNTIFS(Journal!$D$5:$D$304,D22,Journal!$U$5:$U$304,"Win")/E22,0)</f>
        <v>0</v>
      </c>
      <c r="G22" s="25" t="n">
        <f aca="false">SUMIFS(Journal!$T$5:$T$304,Journal!$D$5:$D$304,D22)</f>
        <v>0</v>
      </c>
      <c r="H22" s="25" t="n">
        <f aca="false">IFERROR(G22/E22,0)</f>
        <v>0</v>
      </c>
    </row>
    <row r="23" customFormat="false" ht="15" hidden="false" customHeight="false" outlineLevel="0" collapsed="false">
      <c r="D23" s="19" t="s">
        <v>37</v>
      </c>
      <c r="E23" s="24" t="n">
        <f aca="false">COUNTIFS(Journal!$D$5:$D$304,D23,Journal!$T$5:$T$304,"&gt;-9999")</f>
        <v>0</v>
      </c>
      <c r="F23" s="27" t="n">
        <f aca="false">IFERROR(COUNTIFS(Journal!$D$5:$D$304,D23,Journal!$U$5:$U$304,"Win")/E23,0)</f>
        <v>0</v>
      </c>
      <c r="G23" s="25" t="n">
        <f aca="false">SUMIFS(Journal!$T$5:$T$304,Journal!$D$5:$D$304,D23)</f>
        <v>0</v>
      </c>
      <c r="H23" s="25" t="n">
        <f aca="false">IFERROR(G23/E23,0)</f>
        <v>0</v>
      </c>
    </row>
    <row r="25" customFormat="false" ht="15" hidden="false" customHeight="false" outlineLevel="0" collapsed="false">
      <c r="D25" s="34" t="s">
        <v>221</v>
      </c>
    </row>
    <row r="26" customFormat="false" ht="15" hidden="false" customHeight="false" outlineLevel="0" collapsed="false">
      <c r="D26" s="21" t="s">
        <v>40</v>
      </c>
      <c r="E26" s="21" t="s">
        <v>210</v>
      </c>
      <c r="F26" s="21" t="s">
        <v>188</v>
      </c>
      <c r="G26" s="21" t="s">
        <v>200</v>
      </c>
      <c r="H26" s="21" t="s">
        <v>211</v>
      </c>
    </row>
    <row r="27" customFormat="false" ht="15" hidden="false" customHeight="false" outlineLevel="0" collapsed="false">
      <c r="D27" s="19" t="s">
        <v>222</v>
      </c>
      <c r="E27" s="24" t="n">
        <f aca="false">COUNTIFS(Journal!$F$5:$F$304,D27,Journal!$T$5:$T$304,"&gt;-9999")</f>
        <v>0</v>
      </c>
      <c r="F27" s="27" t="n">
        <f aca="false">IFERROR(COUNTIFS(Journal!$F$5:$F$304,D27,Journal!$U$5:$U$304,"Win")/E27,0)</f>
        <v>0</v>
      </c>
      <c r="G27" s="25" t="n">
        <f aca="false">SUMIFS(Journal!$T$5:$T$304,Journal!$F$5:$F$304,D27)</f>
        <v>0</v>
      </c>
      <c r="H27" s="25" t="n">
        <f aca="false">IFERROR(G27/E27,0)</f>
        <v>0</v>
      </c>
    </row>
    <row r="28" customFormat="false" ht="15" hidden="false" customHeight="false" outlineLevel="0" collapsed="false">
      <c r="D28" s="19" t="s">
        <v>41</v>
      </c>
      <c r="E28" s="24" t="n">
        <f aca="false">COUNTIFS(Journal!$F$5:$F$304,D28,Journal!$T$5:$T$304,"&gt;-9999")</f>
        <v>0</v>
      </c>
      <c r="F28" s="27" t="n">
        <f aca="false">IFERROR(COUNTIFS(Journal!$F$5:$F$304,D28,Journal!$U$5:$U$304,"Win")/E28,0)</f>
        <v>0</v>
      </c>
      <c r="G28" s="25" t="n">
        <f aca="false">SUMIFS(Journal!$T$5:$T$304,Journal!$F$5:$F$304,D28)</f>
        <v>0</v>
      </c>
      <c r="H28" s="25" t="n">
        <f aca="false">IFERROR(G28/E28,0)</f>
        <v>0</v>
      </c>
    </row>
    <row r="30" customFormat="false" ht="15" hidden="false" customHeight="false" outlineLevel="0" collapsed="false">
      <c r="D30" s="34" t="s">
        <v>223</v>
      </c>
    </row>
    <row r="31" customFormat="false" ht="15" hidden="false" customHeight="false" outlineLevel="0" collapsed="false">
      <c r="D31" s="21" t="s">
        <v>42</v>
      </c>
      <c r="E31" s="21" t="s">
        <v>210</v>
      </c>
      <c r="F31" s="21" t="s">
        <v>188</v>
      </c>
      <c r="G31" s="21" t="s">
        <v>200</v>
      </c>
      <c r="H31" s="21" t="s">
        <v>211</v>
      </c>
    </row>
    <row r="32" customFormat="false" ht="15" hidden="false" customHeight="false" outlineLevel="0" collapsed="false">
      <c r="D32" s="19" t="s">
        <v>43</v>
      </c>
      <c r="E32" s="24" t="n">
        <f aca="false">COUNTIFS(Journal!$G$5:$G$304,D32,Journal!$T$5:$T$304,"&gt;-9999")</f>
        <v>0</v>
      </c>
      <c r="F32" s="27" t="n">
        <f aca="false">IFERROR(COUNTIFS(Journal!$G$5:$G$304,D32,Journal!$U$5:$U$304,"Win")/E32,0)</f>
        <v>0</v>
      </c>
      <c r="G32" s="25" t="n">
        <f aca="false">SUMIFS(Journal!$T$5:$T$304,Journal!$G$5:$G$304,D32)</f>
        <v>0</v>
      </c>
      <c r="H32" s="25" t="n">
        <f aca="false">IFERROR(G32/E32,0)</f>
        <v>0</v>
      </c>
    </row>
    <row r="33" customFormat="false" ht="15" hidden="false" customHeight="false" outlineLevel="0" collapsed="false">
      <c r="D33" s="19" t="s">
        <v>224</v>
      </c>
      <c r="E33" s="24" t="n">
        <f aca="false">COUNTIFS(Journal!$G$5:$G$304,D33,Journal!$T$5:$T$304,"&gt;-9999")</f>
        <v>0</v>
      </c>
      <c r="F33" s="27" t="n">
        <f aca="false">IFERROR(COUNTIFS(Journal!$G$5:$G$304,D33,Journal!$U$5:$U$304,"Win")/E33,0)</f>
        <v>0</v>
      </c>
      <c r="G33" s="25" t="n">
        <f aca="false">SUMIFS(Journal!$T$5:$T$304,Journal!$G$5:$G$304,D33)</f>
        <v>0</v>
      </c>
      <c r="H33" s="25" t="n">
        <f aca="false">IFERROR(G33/E33,0)</f>
        <v>0</v>
      </c>
    </row>
    <row r="34" customFormat="false" ht="15" hidden="false" customHeight="false" outlineLevel="0" collapsed="false">
      <c r="D34" s="19" t="s">
        <v>225</v>
      </c>
      <c r="E34" s="24" t="n">
        <f aca="false">COUNTIFS(Journal!$G$5:$G$304,D34,Journal!$T$5:$T$304,"&gt;-9999")</f>
        <v>0</v>
      </c>
      <c r="F34" s="27" t="n">
        <f aca="false">IFERROR(COUNTIFS(Journal!$G$5:$G$304,D34,Journal!$U$5:$U$304,"Win")/E34,0)</f>
        <v>0</v>
      </c>
      <c r="G34" s="25" t="n">
        <f aca="false">SUMIFS(Journal!$T$5:$T$304,Journal!$G$5:$G$304,D34)</f>
        <v>0</v>
      </c>
      <c r="H34" s="25" t="n">
        <f aca="false">IFERROR(G34/E34,0)</f>
        <v>0</v>
      </c>
    </row>
    <row r="35" customFormat="false" ht="15" hidden="false" customHeight="false" outlineLevel="0" collapsed="false">
      <c r="D35" s="19" t="s">
        <v>226</v>
      </c>
      <c r="E35" s="24" t="n">
        <f aca="false">COUNTIFS(Journal!$G$5:$G$304,D35,Journal!$T$5:$T$304,"&gt;-9999")</f>
        <v>0</v>
      </c>
      <c r="F35" s="27" t="n">
        <f aca="false">IFERROR(COUNTIFS(Journal!$G$5:$G$304,D35,Journal!$U$5:$U$304,"Win")/E35,0)</f>
        <v>0</v>
      </c>
      <c r="G35" s="25" t="n">
        <f aca="false">SUMIFS(Journal!$T$5:$T$304,Journal!$G$5:$G$304,D35)</f>
        <v>0</v>
      </c>
      <c r="H35" s="25" t="n">
        <f aca="false">IFERROR(G35/E35,0)</f>
        <v>0</v>
      </c>
    </row>
    <row r="36" customFormat="false" ht="15" hidden="false" customHeight="false" outlineLevel="0" collapsed="false">
      <c r="D36" s="19" t="s">
        <v>227</v>
      </c>
      <c r="E36" s="24" t="n">
        <f aca="false">COUNTIFS(Journal!$G$5:$G$304,D36,Journal!$T$5:$T$304,"&gt;-9999")</f>
        <v>0</v>
      </c>
      <c r="F36" s="27" t="n">
        <f aca="false">IFERROR(COUNTIFS(Journal!$G$5:$G$304,D36,Journal!$U$5:$U$304,"Win")/E36,0)</f>
        <v>0</v>
      </c>
      <c r="G36" s="25" t="n">
        <f aca="false">SUMIFS(Journal!$T$5:$T$304,Journal!$G$5:$G$304,D36)</f>
        <v>0</v>
      </c>
      <c r="H36" s="25" t="n">
        <f aca="false">IFERROR(G36/E36,0)</f>
        <v>0</v>
      </c>
    </row>
    <row r="37" customFormat="false" ht="15" hidden="false" customHeight="false" outlineLevel="0" collapsed="false">
      <c r="D37" s="19" t="s">
        <v>228</v>
      </c>
      <c r="E37" s="24" t="n">
        <f aca="false">COUNTIFS(Journal!$G$5:$G$304,D37,Journal!$T$5:$T$304,"&gt;-9999")</f>
        <v>0</v>
      </c>
      <c r="F37" s="27" t="n">
        <f aca="false">IFERROR(COUNTIFS(Journal!$G$5:$G$304,D37,Journal!$U$5:$U$304,"Win")/E37,0)</f>
        <v>0</v>
      </c>
      <c r="G37" s="25" t="n">
        <f aca="false">SUMIFS(Journal!$T$5:$T$304,Journal!$G$5:$G$304,D37)</f>
        <v>0</v>
      </c>
      <c r="H37" s="25" t="n">
        <f aca="false">IFERROR(G37/E37,0)</f>
        <v>0</v>
      </c>
    </row>
  </sheetData>
  <mergeCells count="1">
    <mergeCell ref="E13:G13"/>
  </mergeCells>
  <conditionalFormatting sqref="G6:G1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"NOT YET"</formula>
    </cfRule>
  </conditionalFormatting>
  <conditionalFormatting sqref="E13">
    <cfRule type="expression" priority="4" aboveAverage="0" equalAverage="0" bottom="0" percent="0" rank="0" text="" dxfId="0">
      <formula>LEFT($E$13,5)="READY"</formula>
    </cfRule>
  </conditionalFormatting>
  <conditionalFormatting sqref="K6:K15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11" min="8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8" min="15" style="0" width="10"/>
    <col collapsed="false" customWidth="true" hidden="false" outlineLevel="0" max="19" min="19" style="0" width="14"/>
    <col collapsed="false" customWidth="true" hidden="false" outlineLevel="0" max="21" min="20" style="0" width="8"/>
    <col collapsed="false" customWidth="true" hidden="false" outlineLevel="0" max="22" min="22" style="0" width="7"/>
    <col collapsed="false" customWidth="true" hidden="false" outlineLevel="0" max="24" min="23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7"/>
    <col collapsed="false" customWidth="true" hidden="false" outlineLevel="0" max="28" min="28" style="0" width="9"/>
    <col collapsed="false" customWidth="true" hidden="false" outlineLevel="0" max="29" min="29" style="0" width="7"/>
    <col collapsed="false" customWidth="true" hidden="false" outlineLevel="0" max="30" min="30" style="0" width="20"/>
    <col collapsed="false" customWidth="true" hidden="false" outlineLevel="0" max="31" min="31" style="0" width="10"/>
    <col collapsed="false" customWidth="true" hidden="false" outlineLevel="0" max="33" min="32" style="0" width="8"/>
    <col collapsed="false" customWidth="true" hidden="false" outlineLevel="0" max="34" min="34" style="0" width="22"/>
    <col collapsed="false" customWidth="true" hidden="false" outlineLevel="0" max="35" min="35" style="0" width="45"/>
  </cols>
  <sheetData>
    <row r="1" customFormat="false" ht="19.7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</row>
    <row r="3" customFormat="false" ht="15" hidden="false" customHeight="false" outlineLevel="0" collapsed="false">
      <c r="A3" s="9" t="s">
        <v>231</v>
      </c>
    </row>
    <row r="4" customFormat="false" ht="45" hidden="false" customHeight="true" outlineLevel="0" collapsed="false">
      <c r="A4" s="21" t="s">
        <v>232</v>
      </c>
      <c r="B4" s="21" t="s">
        <v>34</v>
      </c>
      <c r="C4" s="21" t="s">
        <v>233</v>
      </c>
      <c r="D4" s="21" t="s">
        <v>36</v>
      </c>
      <c r="E4" s="21" t="s">
        <v>38</v>
      </c>
      <c r="F4" s="21" t="s">
        <v>40</v>
      </c>
      <c r="G4" s="21" t="s">
        <v>42</v>
      </c>
      <c r="H4" s="21" t="s">
        <v>234</v>
      </c>
      <c r="I4" s="21" t="s">
        <v>235</v>
      </c>
      <c r="J4" s="21" t="s">
        <v>236</v>
      </c>
      <c r="K4" s="21" t="s">
        <v>237</v>
      </c>
      <c r="L4" s="21" t="s">
        <v>238</v>
      </c>
      <c r="M4" s="21" t="s">
        <v>239</v>
      </c>
      <c r="N4" s="21" t="s">
        <v>240</v>
      </c>
      <c r="O4" s="21" t="s">
        <v>241</v>
      </c>
      <c r="P4" s="21" t="s">
        <v>242</v>
      </c>
      <c r="Q4" s="21" t="s">
        <v>56</v>
      </c>
      <c r="R4" s="21" t="s">
        <v>243</v>
      </c>
      <c r="S4" s="21" t="s">
        <v>55</v>
      </c>
      <c r="T4" s="21" t="s">
        <v>244</v>
      </c>
      <c r="U4" s="21" t="s">
        <v>245</v>
      </c>
      <c r="V4" s="21" t="s">
        <v>246</v>
      </c>
      <c r="W4" s="21" t="s">
        <v>247</v>
      </c>
      <c r="X4" s="21" t="s">
        <v>248</v>
      </c>
      <c r="Y4" s="21" t="s">
        <v>249</v>
      </c>
      <c r="Z4" s="21" t="s">
        <v>250</v>
      </c>
      <c r="AA4" s="21" t="s">
        <v>251</v>
      </c>
      <c r="AB4" s="21" t="s">
        <v>252</v>
      </c>
      <c r="AC4" s="21" t="s">
        <v>253</v>
      </c>
      <c r="AD4" s="21" t="s">
        <v>59</v>
      </c>
      <c r="AE4" s="21" t="s">
        <v>254</v>
      </c>
      <c r="AF4" s="21" t="s">
        <v>255</v>
      </c>
      <c r="AG4" s="21" t="s">
        <v>256</v>
      </c>
      <c r="AH4" s="21" t="s">
        <v>257</v>
      </c>
      <c r="AI4" s="21" t="s">
        <v>258</v>
      </c>
    </row>
    <row r="5" customFormat="false" ht="15" hidden="false" customHeight="false" outlineLevel="0" collapsed="false">
      <c r="A5" s="38" t="str">
        <f aca="false">IF(B5="","",ROW()-4)</f>
        <v/>
      </c>
      <c r="B5" s="39"/>
      <c r="C5" s="38" t="str">
        <f aca="false">IF(B5="","",INT((B5-Settings!$B$4)/7)+1)</f>
        <v/>
      </c>
      <c r="D5" s="40"/>
      <c r="E5" s="40"/>
      <c r="F5" s="40"/>
      <c r="G5" s="40"/>
      <c r="H5" s="40"/>
      <c r="I5" s="40"/>
      <c r="J5" s="40"/>
      <c r="K5" s="40"/>
      <c r="L5" s="40"/>
      <c r="M5" s="38" t="str">
        <f aca="false">IF(B5="","",IF(COUNTIF(H5:L5,"Y")=5,"Yes","No"))</f>
        <v/>
      </c>
      <c r="N5" s="41"/>
      <c r="O5" s="42"/>
      <c r="P5" s="42"/>
      <c r="Q5" s="43" t="str">
        <f aca="false">IF(OR(O5="",P5=""),"",IF(F5="Long",O5+Settings!$B$7*(O5-P5),O5-Settings!$B$7*(P5-O5)))</f>
        <v/>
      </c>
      <c r="R5" s="42"/>
      <c r="S5" s="40"/>
      <c r="T5" s="44" t="str">
        <f aca="false">IF(OR(R5="",O5="",P5="",O5=P5),"",ROUND(IF(F5="Long",(R5-O5)/(O5-P5),(O5-R5)/(P5-O5)),2))</f>
        <v/>
      </c>
      <c r="U5" s="38" t="str">
        <f aca="false">IF(T5="","",IF(T5&gt;=Settings!$B$20,"Win",IF(T5&lt;=-Settings!$B$20,"Loss","BE")))</f>
        <v/>
      </c>
      <c r="V5" s="45" t="str">
        <f aca="false">IF(B5="","",Settings!$B$6)</f>
        <v/>
      </c>
      <c r="W5" s="46" t="str">
        <f aca="false">IF(B5="","",(Settings!$B$5+SUM(X$4:X4))*V5)</f>
        <v/>
      </c>
      <c r="X5" s="46" t="str">
        <f aca="false">IF(T5="","",ROUND(T5*W5,2))</f>
        <v/>
      </c>
      <c r="Y5" s="46" t="str">
        <f aca="false">IF(T5="","",Settings!$B$5+SUM(X$5:X5))</f>
        <v/>
      </c>
      <c r="Z5" s="43" t="str">
        <f aca="false">IF(T5="","",SUM(T$5:T5))</f>
        <v/>
      </c>
      <c r="AA5" s="43" t="str">
        <f aca="false">IF(T5="","",MAX(0,MAX(Z$5:Z5)))</f>
        <v/>
      </c>
      <c r="AB5" s="43" t="str">
        <f aca="false">IF(T5="","",Z5-AA5)</f>
        <v/>
      </c>
      <c r="AC5" s="38" t="str">
        <f aca="false">IF(U5="","",IF(U5="Loss",N(AC4)+1,0))</f>
        <v/>
      </c>
      <c r="AD5" s="40"/>
      <c r="AE5" s="38" t="str">
        <f aca="false">IF(B5="","",IF(AND(M5="Yes",OR(AD5="None",AD5="")),"Yes","No"))</f>
        <v/>
      </c>
      <c r="AF5" s="40"/>
      <c r="AG5" s="40"/>
      <c r="AH5" s="47"/>
      <c r="AI5" s="47"/>
    </row>
    <row r="6" customFormat="false" ht="15" hidden="false" customHeight="false" outlineLevel="0" collapsed="false">
      <c r="A6" s="38" t="str">
        <f aca="false">IF(B6="","",ROW()-4)</f>
        <v/>
      </c>
      <c r="B6" s="39"/>
      <c r="C6" s="38" t="str">
        <f aca="false">IF(B6="","",INT((B6-Settings!$B$4)/7)+1)</f>
        <v/>
      </c>
      <c r="D6" s="40"/>
      <c r="E6" s="40"/>
      <c r="F6" s="40"/>
      <c r="G6" s="40"/>
      <c r="H6" s="40"/>
      <c r="I6" s="40"/>
      <c r="J6" s="40"/>
      <c r="K6" s="40"/>
      <c r="L6" s="40"/>
      <c r="M6" s="38" t="str">
        <f aca="false">IF(B6="","",IF(COUNTIF(H6:L6,"Y")=5,"Yes","No"))</f>
        <v/>
      </c>
      <c r="N6" s="41"/>
      <c r="O6" s="42"/>
      <c r="P6" s="42"/>
      <c r="Q6" s="43" t="str">
        <f aca="false">IF(OR(O6="",P6=""),"",IF(F6="Long",O6+Settings!$B$7*(O6-P6),O6-Settings!$B$7*(P6-O6)))</f>
        <v/>
      </c>
      <c r="R6" s="42"/>
      <c r="S6" s="40"/>
      <c r="T6" s="44" t="str">
        <f aca="false">IF(OR(R6="",O6="",P6="",O6=P6),"",ROUND(IF(F6="Long",(R6-O6)/(O6-P6),(O6-R6)/(P6-O6)),2))</f>
        <v/>
      </c>
      <c r="U6" s="38" t="str">
        <f aca="false">IF(T6="","",IF(T6&gt;=Settings!$B$20,"Win",IF(T6&lt;=-Settings!$B$20,"Loss","BE")))</f>
        <v/>
      </c>
      <c r="V6" s="45" t="str">
        <f aca="false">IF(B6="","",Settings!$B$6)</f>
        <v/>
      </c>
      <c r="W6" s="46" t="str">
        <f aca="false">IF(B6="","",(Settings!$B$5+SUM(X$4:X5))*V6)</f>
        <v/>
      </c>
      <c r="X6" s="46" t="str">
        <f aca="false">IF(T6="","",ROUND(T6*W6,2))</f>
        <v/>
      </c>
      <c r="Y6" s="46" t="str">
        <f aca="false">IF(T6="","",Settings!$B$5+SUM(X$5:X6))</f>
        <v/>
      </c>
      <c r="Z6" s="43" t="str">
        <f aca="false">IF(T6="","",SUM(T$5:T6))</f>
        <v/>
      </c>
      <c r="AA6" s="43" t="str">
        <f aca="false">IF(T6="","",MAX(0,MAX(Z$5:Z6)))</f>
        <v/>
      </c>
      <c r="AB6" s="43" t="str">
        <f aca="false">IF(T6="","",Z6-AA6)</f>
        <v/>
      </c>
      <c r="AC6" s="38" t="str">
        <f aca="false">IF(U6="","",IF(U6="Loss",N(AC5)+1,0))</f>
        <v/>
      </c>
      <c r="AD6" s="40"/>
      <c r="AE6" s="38" t="str">
        <f aca="false">IF(B6="","",IF(AND(M6="Yes",OR(AD6="None",AD6="")),"Yes","No"))</f>
        <v/>
      </c>
      <c r="AF6" s="40"/>
      <c r="AG6" s="40"/>
      <c r="AH6" s="47"/>
      <c r="AI6" s="47"/>
    </row>
    <row r="7" customFormat="false" ht="15" hidden="false" customHeight="false" outlineLevel="0" collapsed="false">
      <c r="A7" s="38" t="str">
        <f aca="false">IF(B7="","",ROW()-4)</f>
        <v/>
      </c>
      <c r="B7" s="39"/>
      <c r="C7" s="38" t="str">
        <f aca="false">IF(B7="","",INT((B7-Settings!$B$4)/7)+1)</f>
        <v/>
      </c>
      <c r="D7" s="40"/>
      <c r="E7" s="40"/>
      <c r="F7" s="40"/>
      <c r="G7" s="40"/>
      <c r="H7" s="40"/>
      <c r="I7" s="40"/>
      <c r="J7" s="40"/>
      <c r="K7" s="40"/>
      <c r="L7" s="40"/>
      <c r="M7" s="38" t="str">
        <f aca="false">IF(B7="","",IF(COUNTIF(H7:L7,"Y")=5,"Yes","No"))</f>
        <v/>
      </c>
      <c r="N7" s="41"/>
      <c r="O7" s="42"/>
      <c r="P7" s="42"/>
      <c r="Q7" s="43" t="str">
        <f aca="false">IF(OR(O7="",P7=""),"",IF(F7="Long",O7+Settings!$B$7*(O7-P7),O7-Settings!$B$7*(P7-O7)))</f>
        <v/>
      </c>
      <c r="R7" s="42"/>
      <c r="S7" s="40"/>
      <c r="T7" s="44" t="str">
        <f aca="false">IF(OR(R7="",O7="",P7="",O7=P7),"",ROUND(IF(F7="Long",(R7-O7)/(O7-P7),(O7-R7)/(P7-O7)),2))</f>
        <v/>
      </c>
      <c r="U7" s="38" t="str">
        <f aca="false">IF(T7="","",IF(T7&gt;=Settings!$B$20,"Win",IF(T7&lt;=-Settings!$B$20,"Loss","BE")))</f>
        <v/>
      </c>
      <c r="V7" s="45" t="str">
        <f aca="false">IF(B7="","",Settings!$B$6)</f>
        <v/>
      </c>
      <c r="W7" s="46" t="str">
        <f aca="false">IF(B7="","",(Settings!$B$5+SUM(X$4:X6))*V7)</f>
        <v/>
      </c>
      <c r="X7" s="46" t="str">
        <f aca="false">IF(T7="","",ROUND(T7*W7,2))</f>
        <v/>
      </c>
      <c r="Y7" s="46" t="str">
        <f aca="false">IF(T7="","",Settings!$B$5+SUM(X$5:X7))</f>
        <v/>
      </c>
      <c r="Z7" s="43" t="str">
        <f aca="false">IF(T7="","",SUM(T$5:T7))</f>
        <v/>
      </c>
      <c r="AA7" s="43" t="str">
        <f aca="false">IF(T7="","",MAX(0,MAX(Z$5:Z7)))</f>
        <v/>
      </c>
      <c r="AB7" s="43" t="str">
        <f aca="false">IF(T7="","",Z7-AA7)</f>
        <v/>
      </c>
      <c r="AC7" s="38" t="str">
        <f aca="false">IF(U7="","",IF(U7="Loss",N(AC6)+1,0))</f>
        <v/>
      </c>
      <c r="AD7" s="40"/>
      <c r="AE7" s="38" t="str">
        <f aca="false">IF(B7="","",IF(AND(M7="Yes",OR(AD7="None",AD7="")),"Yes","No"))</f>
        <v/>
      </c>
      <c r="AF7" s="40"/>
      <c r="AG7" s="40"/>
      <c r="AH7" s="47"/>
      <c r="AI7" s="47"/>
    </row>
    <row r="8" customFormat="false" ht="15" hidden="false" customHeight="false" outlineLevel="0" collapsed="false">
      <c r="A8" s="38" t="str">
        <f aca="false">IF(B8="","",ROW()-4)</f>
        <v/>
      </c>
      <c r="B8" s="39"/>
      <c r="C8" s="38" t="str">
        <f aca="false">IF(B8="","",INT((B8-Settings!$B$4)/7)+1)</f>
        <v/>
      </c>
      <c r="D8" s="40"/>
      <c r="E8" s="40"/>
      <c r="F8" s="40"/>
      <c r="G8" s="40"/>
      <c r="H8" s="40"/>
      <c r="I8" s="40"/>
      <c r="J8" s="40"/>
      <c r="K8" s="40"/>
      <c r="L8" s="40"/>
      <c r="M8" s="38" t="str">
        <f aca="false">IF(B8="","",IF(COUNTIF(H8:L8,"Y")=5,"Yes","No"))</f>
        <v/>
      </c>
      <c r="N8" s="41"/>
      <c r="O8" s="42"/>
      <c r="P8" s="42"/>
      <c r="Q8" s="43" t="str">
        <f aca="false">IF(OR(O8="",P8=""),"",IF(F8="Long",O8+Settings!$B$7*(O8-P8),O8-Settings!$B$7*(P8-O8)))</f>
        <v/>
      </c>
      <c r="R8" s="42"/>
      <c r="S8" s="40"/>
      <c r="T8" s="44" t="str">
        <f aca="false">IF(OR(R8="",O8="",P8="",O8=P8),"",ROUND(IF(F8="Long",(R8-O8)/(O8-P8),(O8-R8)/(P8-O8)),2))</f>
        <v/>
      </c>
      <c r="U8" s="38" t="str">
        <f aca="false">IF(T8="","",IF(T8&gt;=Settings!$B$20,"Win",IF(T8&lt;=-Settings!$B$20,"Loss","BE")))</f>
        <v/>
      </c>
      <c r="V8" s="45" t="str">
        <f aca="false">IF(B8="","",Settings!$B$6)</f>
        <v/>
      </c>
      <c r="W8" s="46" t="str">
        <f aca="false">IF(B8="","",(Settings!$B$5+SUM(X$4:X7))*V8)</f>
        <v/>
      </c>
      <c r="X8" s="46" t="str">
        <f aca="false">IF(T8="","",ROUND(T8*W8,2))</f>
        <v/>
      </c>
      <c r="Y8" s="46" t="str">
        <f aca="false">IF(T8="","",Settings!$B$5+SUM(X$5:X8))</f>
        <v/>
      </c>
      <c r="Z8" s="43" t="str">
        <f aca="false">IF(T8="","",SUM(T$5:T8))</f>
        <v/>
      </c>
      <c r="AA8" s="43" t="str">
        <f aca="false">IF(T8="","",MAX(0,MAX(Z$5:Z8)))</f>
        <v/>
      </c>
      <c r="AB8" s="43" t="str">
        <f aca="false">IF(T8="","",Z8-AA8)</f>
        <v/>
      </c>
      <c r="AC8" s="38" t="str">
        <f aca="false">IF(U8="","",IF(U8="Loss",N(AC7)+1,0))</f>
        <v/>
      </c>
      <c r="AD8" s="40"/>
      <c r="AE8" s="38" t="str">
        <f aca="false">IF(B8="","",IF(AND(M8="Yes",OR(AD8="None",AD8="")),"Yes","No"))</f>
        <v/>
      </c>
      <c r="AF8" s="40"/>
      <c r="AG8" s="40"/>
      <c r="AH8" s="47"/>
      <c r="AI8" s="47"/>
    </row>
    <row r="9" customFormat="false" ht="15" hidden="false" customHeight="false" outlineLevel="0" collapsed="false">
      <c r="A9" s="38" t="str">
        <f aca="false">IF(B9="","",ROW()-4)</f>
        <v/>
      </c>
      <c r="B9" s="39"/>
      <c r="C9" s="38" t="str">
        <f aca="false">IF(B9="","",INT((B9-Settings!$B$4)/7)+1)</f>
        <v/>
      </c>
      <c r="D9" s="40"/>
      <c r="E9" s="40"/>
      <c r="F9" s="40"/>
      <c r="G9" s="40"/>
      <c r="H9" s="40"/>
      <c r="I9" s="40"/>
      <c r="J9" s="40"/>
      <c r="K9" s="40"/>
      <c r="L9" s="40"/>
      <c r="M9" s="38" t="str">
        <f aca="false">IF(B9="","",IF(COUNTIF(H9:L9,"Y")=5,"Yes","No"))</f>
        <v/>
      </c>
      <c r="N9" s="41"/>
      <c r="O9" s="42"/>
      <c r="P9" s="42"/>
      <c r="Q9" s="43" t="str">
        <f aca="false">IF(OR(O9="",P9=""),"",IF(F9="Long",O9+Settings!$B$7*(O9-P9),O9-Settings!$B$7*(P9-O9)))</f>
        <v/>
      </c>
      <c r="R9" s="42"/>
      <c r="S9" s="40"/>
      <c r="T9" s="44" t="str">
        <f aca="false">IF(OR(R9="",O9="",P9="",O9=P9),"",ROUND(IF(F9="Long",(R9-O9)/(O9-P9),(O9-R9)/(P9-O9)),2))</f>
        <v/>
      </c>
      <c r="U9" s="38" t="str">
        <f aca="false">IF(T9="","",IF(T9&gt;=Settings!$B$20,"Win",IF(T9&lt;=-Settings!$B$20,"Loss","BE")))</f>
        <v/>
      </c>
      <c r="V9" s="45" t="str">
        <f aca="false">IF(B9="","",Settings!$B$6)</f>
        <v/>
      </c>
      <c r="W9" s="46" t="str">
        <f aca="false">IF(B9="","",(Settings!$B$5+SUM(X$4:X8))*V9)</f>
        <v/>
      </c>
      <c r="X9" s="46" t="str">
        <f aca="false">IF(T9="","",ROUND(T9*W9,2))</f>
        <v/>
      </c>
      <c r="Y9" s="46" t="str">
        <f aca="false">IF(T9="","",Settings!$B$5+SUM(X$5:X9))</f>
        <v/>
      </c>
      <c r="Z9" s="43" t="str">
        <f aca="false">IF(T9="","",SUM(T$5:T9))</f>
        <v/>
      </c>
      <c r="AA9" s="43" t="str">
        <f aca="false">IF(T9="","",MAX(0,MAX(Z$5:Z9)))</f>
        <v/>
      </c>
      <c r="AB9" s="43" t="str">
        <f aca="false">IF(T9="","",Z9-AA9)</f>
        <v/>
      </c>
      <c r="AC9" s="38" t="str">
        <f aca="false">IF(U9="","",IF(U9="Loss",N(AC8)+1,0))</f>
        <v/>
      </c>
      <c r="AD9" s="40"/>
      <c r="AE9" s="38" t="str">
        <f aca="false">IF(B9="","",IF(AND(M9="Yes",OR(AD9="None",AD9="")),"Yes","No"))</f>
        <v/>
      </c>
      <c r="AF9" s="40"/>
      <c r="AG9" s="40"/>
      <c r="AH9" s="47"/>
      <c r="AI9" s="47"/>
    </row>
    <row r="10" customFormat="false" ht="15" hidden="false" customHeight="false" outlineLevel="0" collapsed="false">
      <c r="A10" s="38" t="str">
        <f aca="false">IF(B10="","",ROW()-4)</f>
        <v/>
      </c>
      <c r="B10" s="39"/>
      <c r="C10" s="38" t="str">
        <f aca="false">IF(B10="","",INT((B10-Settings!$B$4)/7)+1)</f>
        <v/>
      </c>
      <c r="D10" s="40"/>
      <c r="E10" s="40"/>
      <c r="F10" s="40"/>
      <c r="G10" s="40"/>
      <c r="H10" s="40"/>
      <c r="I10" s="40"/>
      <c r="J10" s="40"/>
      <c r="K10" s="40"/>
      <c r="L10" s="40"/>
      <c r="M10" s="38" t="str">
        <f aca="false">IF(B10="","",IF(COUNTIF(H10:L10,"Y")=5,"Yes","No"))</f>
        <v/>
      </c>
      <c r="N10" s="41"/>
      <c r="O10" s="42"/>
      <c r="P10" s="42"/>
      <c r="Q10" s="43" t="str">
        <f aca="false">IF(OR(O10="",P10=""),"",IF(F10="Long",O10+Settings!$B$7*(O10-P10),O10-Settings!$B$7*(P10-O10)))</f>
        <v/>
      </c>
      <c r="R10" s="42"/>
      <c r="S10" s="40"/>
      <c r="T10" s="44" t="str">
        <f aca="false">IF(OR(R10="",O10="",P10="",O10=P10),"",ROUND(IF(F10="Long",(R10-O10)/(O10-P10),(O10-R10)/(P10-O10)),2))</f>
        <v/>
      </c>
      <c r="U10" s="38" t="str">
        <f aca="false">IF(T10="","",IF(T10&gt;=Settings!$B$20,"Win",IF(T10&lt;=-Settings!$B$20,"Loss","BE")))</f>
        <v/>
      </c>
      <c r="V10" s="45" t="str">
        <f aca="false">IF(B10="","",Settings!$B$6)</f>
        <v/>
      </c>
      <c r="W10" s="46" t="str">
        <f aca="false">IF(B10="","",(Settings!$B$5+SUM(X$4:X9))*V10)</f>
        <v/>
      </c>
      <c r="X10" s="46" t="str">
        <f aca="false">IF(T10="","",ROUND(T10*W10,2))</f>
        <v/>
      </c>
      <c r="Y10" s="46" t="str">
        <f aca="false">IF(T10="","",Settings!$B$5+SUM(X$5:X10))</f>
        <v/>
      </c>
      <c r="Z10" s="43" t="str">
        <f aca="false">IF(T10="","",SUM(T$5:T10))</f>
        <v/>
      </c>
      <c r="AA10" s="43" t="str">
        <f aca="false">IF(T10="","",MAX(0,MAX(Z$5:Z10)))</f>
        <v/>
      </c>
      <c r="AB10" s="43" t="str">
        <f aca="false">IF(T10="","",Z10-AA10)</f>
        <v/>
      </c>
      <c r="AC10" s="38" t="str">
        <f aca="false">IF(U10="","",IF(U10="Loss",N(AC9)+1,0))</f>
        <v/>
      </c>
      <c r="AD10" s="40"/>
      <c r="AE10" s="38" t="str">
        <f aca="false">IF(B10="","",IF(AND(M10="Yes",OR(AD10="None",AD10="")),"Yes","No"))</f>
        <v/>
      </c>
      <c r="AF10" s="40"/>
      <c r="AG10" s="40"/>
      <c r="AH10" s="47"/>
      <c r="AI10" s="47"/>
    </row>
    <row r="11" customFormat="false" ht="15" hidden="false" customHeight="false" outlineLevel="0" collapsed="false">
      <c r="A11" s="38" t="str">
        <f aca="false">IF(B11="","",ROW()-4)</f>
        <v/>
      </c>
      <c r="B11" s="39"/>
      <c r="C11" s="38" t="str">
        <f aca="false">IF(B11="","",INT((B11-Settings!$B$4)/7)+1)</f>
        <v/>
      </c>
      <c r="D11" s="40"/>
      <c r="E11" s="40"/>
      <c r="F11" s="40"/>
      <c r="G11" s="40"/>
      <c r="H11" s="40"/>
      <c r="I11" s="40"/>
      <c r="J11" s="40"/>
      <c r="K11" s="40"/>
      <c r="L11" s="40"/>
      <c r="M11" s="38" t="str">
        <f aca="false">IF(B11="","",IF(COUNTIF(H11:L11,"Y")=5,"Yes","No"))</f>
        <v/>
      </c>
      <c r="N11" s="41"/>
      <c r="O11" s="42"/>
      <c r="P11" s="42"/>
      <c r="Q11" s="43" t="str">
        <f aca="false">IF(OR(O11="",P11=""),"",IF(F11="Long",O11+Settings!$B$7*(O11-P11),O11-Settings!$B$7*(P11-O11)))</f>
        <v/>
      </c>
      <c r="R11" s="42"/>
      <c r="S11" s="40"/>
      <c r="T11" s="44" t="str">
        <f aca="false">IF(OR(R11="",O11="",P11="",O11=P11),"",ROUND(IF(F11="Long",(R11-O11)/(O11-P11),(O11-R11)/(P11-O11)),2))</f>
        <v/>
      </c>
      <c r="U11" s="38" t="str">
        <f aca="false">IF(T11="","",IF(T11&gt;=Settings!$B$20,"Win",IF(T11&lt;=-Settings!$B$20,"Loss","BE")))</f>
        <v/>
      </c>
      <c r="V11" s="45" t="str">
        <f aca="false">IF(B11="","",Settings!$B$6)</f>
        <v/>
      </c>
      <c r="W11" s="46" t="str">
        <f aca="false">IF(B11="","",(Settings!$B$5+SUM(X$4:X10))*V11)</f>
        <v/>
      </c>
      <c r="X11" s="46" t="str">
        <f aca="false">IF(T11="","",ROUND(T11*W11,2))</f>
        <v/>
      </c>
      <c r="Y11" s="46" t="str">
        <f aca="false">IF(T11="","",Settings!$B$5+SUM(X$5:X11))</f>
        <v/>
      </c>
      <c r="Z11" s="43" t="str">
        <f aca="false">IF(T11="","",SUM(T$5:T11))</f>
        <v/>
      </c>
      <c r="AA11" s="43" t="str">
        <f aca="false">IF(T11="","",MAX(0,MAX(Z$5:Z11)))</f>
        <v/>
      </c>
      <c r="AB11" s="43" t="str">
        <f aca="false">IF(T11="","",Z11-AA11)</f>
        <v/>
      </c>
      <c r="AC11" s="38" t="str">
        <f aca="false">IF(U11="","",IF(U11="Loss",N(AC10)+1,0))</f>
        <v/>
      </c>
      <c r="AD11" s="40"/>
      <c r="AE11" s="38" t="str">
        <f aca="false">IF(B11="","",IF(AND(M11="Yes",OR(AD11="None",AD11="")),"Yes","No"))</f>
        <v/>
      </c>
      <c r="AF11" s="40"/>
      <c r="AG11" s="40"/>
      <c r="AH11" s="47"/>
      <c r="AI11" s="47"/>
    </row>
    <row r="12" customFormat="false" ht="15" hidden="false" customHeight="false" outlineLevel="0" collapsed="false">
      <c r="A12" s="38" t="str">
        <f aca="false">IF(B12="","",ROW()-4)</f>
        <v/>
      </c>
      <c r="B12" s="39"/>
      <c r="C12" s="38" t="str">
        <f aca="false">IF(B12="","",INT((B12-Settings!$B$4)/7)+1)</f>
        <v/>
      </c>
      <c r="D12" s="40"/>
      <c r="E12" s="40"/>
      <c r="F12" s="40"/>
      <c r="G12" s="40"/>
      <c r="H12" s="40"/>
      <c r="I12" s="40"/>
      <c r="J12" s="40"/>
      <c r="K12" s="40"/>
      <c r="L12" s="40"/>
      <c r="M12" s="38" t="str">
        <f aca="false">IF(B12="","",IF(COUNTIF(H12:L12,"Y")=5,"Yes","No"))</f>
        <v/>
      </c>
      <c r="N12" s="41"/>
      <c r="O12" s="42"/>
      <c r="P12" s="42"/>
      <c r="Q12" s="43" t="str">
        <f aca="false">IF(OR(O12="",P12=""),"",IF(F12="Long",O12+Settings!$B$7*(O12-P12),O12-Settings!$B$7*(P12-O12)))</f>
        <v/>
      </c>
      <c r="R12" s="42"/>
      <c r="S12" s="40"/>
      <c r="T12" s="44" t="str">
        <f aca="false">IF(OR(R12="",O12="",P12="",O12=P12),"",ROUND(IF(F12="Long",(R12-O12)/(O12-P12),(O12-R12)/(P12-O12)),2))</f>
        <v/>
      </c>
      <c r="U12" s="38" t="str">
        <f aca="false">IF(T12="","",IF(T12&gt;=Settings!$B$20,"Win",IF(T12&lt;=-Settings!$B$20,"Loss","BE")))</f>
        <v/>
      </c>
      <c r="V12" s="45" t="str">
        <f aca="false">IF(B12="","",Settings!$B$6)</f>
        <v/>
      </c>
      <c r="W12" s="46" t="str">
        <f aca="false">IF(B12="","",(Settings!$B$5+SUM(X$4:X11))*V12)</f>
        <v/>
      </c>
      <c r="X12" s="46" t="str">
        <f aca="false">IF(T12="","",ROUND(T12*W12,2))</f>
        <v/>
      </c>
      <c r="Y12" s="46" t="str">
        <f aca="false">IF(T12="","",Settings!$B$5+SUM(X$5:X12))</f>
        <v/>
      </c>
      <c r="Z12" s="43" t="str">
        <f aca="false">IF(T12="","",SUM(T$5:T12))</f>
        <v/>
      </c>
      <c r="AA12" s="43" t="str">
        <f aca="false">IF(T12="","",MAX(0,MAX(Z$5:Z12)))</f>
        <v/>
      </c>
      <c r="AB12" s="43" t="str">
        <f aca="false">IF(T12="","",Z12-AA12)</f>
        <v/>
      </c>
      <c r="AC12" s="38" t="str">
        <f aca="false">IF(U12="","",IF(U12="Loss",N(AC11)+1,0))</f>
        <v/>
      </c>
      <c r="AD12" s="40"/>
      <c r="AE12" s="38" t="str">
        <f aca="false">IF(B12="","",IF(AND(M12="Yes",OR(AD12="None",AD12="")),"Yes","No"))</f>
        <v/>
      </c>
      <c r="AF12" s="40"/>
      <c r="AG12" s="40"/>
      <c r="AH12" s="47"/>
      <c r="AI12" s="47"/>
    </row>
    <row r="13" customFormat="false" ht="15" hidden="false" customHeight="false" outlineLevel="0" collapsed="false">
      <c r="A13" s="38" t="str">
        <f aca="false">IF(B13="","",ROW()-4)</f>
        <v/>
      </c>
      <c r="B13" s="39"/>
      <c r="C13" s="38" t="str">
        <f aca="false">IF(B13="","",INT((B13-Settings!$B$4)/7)+1)</f>
        <v/>
      </c>
      <c r="D13" s="40"/>
      <c r="E13" s="40"/>
      <c r="F13" s="40"/>
      <c r="G13" s="40"/>
      <c r="H13" s="40"/>
      <c r="I13" s="40"/>
      <c r="J13" s="40"/>
      <c r="K13" s="40"/>
      <c r="L13" s="40"/>
      <c r="M13" s="38" t="str">
        <f aca="false">IF(B13="","",IF(COUNTIF(H13:L13,"Y")=5,"Yes","No"))</f>
        <v/>
      </c>
      <c r="N13" s="41"/>
      <c r="O13" s="42"/>
      <c r="P13" s="42"/>
      <c r="Q13" s="43" t="str">
        <f aca="false">IF(OR(O13="",P13=""),"",IF(F13="Long",O13+Settings!$B$7*(O13-P13),O13-Settings!$B$7*(P13-O13)))</f>
        <v/>
      </c>
      <c r="R13" s="42"/>
      <c r="S13" s="40"/>
      <c r="T13" s="44" t="str">
        <f aca="false">IF(OR(R13="",O13="",P13="",O13=P13),"",ROUND(IF(F13="Long",(R13-O13)/(O13-P13),(O13-R13)/(P13-O13)),2))</f>
        <v/>
      </c>
      <c r="U13" s="38" t="str">
        <f aca="false">IF(T13="","",IF(T13&gt;=Settings!$B$20,"Win",IF(T13&lt;=-Settings!$B$20,"Loss","BE")))</f>
        <v/>
      </c>
      <c r="V13" s="45" t="str">
        <f aca="false">IF(B13="","",Settings!$B$6)</f>
        <v/>
      </c>
      <c r="W13" s="46" t="str">
        <f aca="false">IF(B13="","",(Settings!$B$5+SUM(X$4:X12))*V13)</f>
        <v/>
      </c>
      <c r="X13" s="46" t="str">
        <f aca="false">IF(T13="","",ROUND(T13*W13,2))</f>
        <v/>
      </c>
      <c r="Y13" s="46" t="str">
        <f aca="false">IF(T13="","",Settings!$B$5+SUM(X$5:X13))</f>
        <v/>
      </c>
      <c r="Z13" s="43" t="str">
        <f aca="false">IF(T13="","",SUM(T$5:T13))</f>
        <v/>
      </c>
      <c r="AA13" s="43" t="str">
        <f aca="false">IF(T13="","",MAX(0,MAX(Z$5:Z13)))</f>
        <v/>
      </c>
      <c r="AB13" s="43" t="str">
        <f aca="false">IF(T13="","",Z13-AA13)</f>
        <v/>
      </c>
      <c r="AC13" s="38" t="str">
        <f aca="false">IF(U13="","",IF(U13="Loss",N(AC12)+1,0))</f>
        <v/>
      </c>
      <c r="AD13" s="40"/>
      <c r="AE13" s="38" t="str">
        <f aca="false">IF(B13="","",IF(AND(M13="Yes",OR(AD13="None",AD13="")),"Yes","No"))</f>
        <v/>
      </c>
      <c r="AF13" s="40"/>
      <c r="AG13" s="40"/>
      <c r="AH13" s="47"/>
      <c r="AI13" s="47"/>
    </row>
    <row r="14" customFormat="false" ht="15" hidden="false" customHeight="false" outlineLevel="0" collapsed="false">
      <c r="A14" s="38" t="str">
        <f aca="false">IF(B14="","",ROW()-4)</f>
        <v/>
      </c>
      <c r="B14" s="39"/>
      <c r="C14" s="38" t="str">
        <f aca="false">IF(B14="","",INT((B14-Settings!$B$4)/7)+1)</f>
        <v/>
      </c>
      <c r="D14" s="40"/>
      <c r="E14" s="40"/>
      <c r="F14" s="40"/>
      <c r="G14" s="40"/>
      <c r="H14" s="40"/>
      <c r="I14" s="40"/>
      <c r="J14" s="40"/>
      <c r="K14" s="40"/>
      <c r="L14" s="40"/>
      <c r="M14" s="38" t="str">
        <f aca="false">IF(B14="","",IF(COUNTIF(H14:L14,"Y")=5,"Yes","No"))</f>
        <v/>
      </c>
      <c r="N14" s="41"/>
      <c r="O14" s="42"/>
      <c r="P14" s="42"/>
      <c r="Q14" s="43" t="str">
        <f aca="false">IF(OR(O14="",P14=""),"",IF(F14="Long",O14+Settings!$B$7*(O14-P14),O14-Settings!$B$7*(P14-O14)))</f>
        <v/>
      </c>
      <c r="R14" s="42"/>
      <c r="S14" s="40"/>
      <c r="T14" s="44" t="str">
        <f aca="false">IF(OR(R14="",O14="",P14="",O14=P14),"",ROUND(IF(F14="Long",(R14-O14)/(O14-P14),(O14-R14)/(P14-O14)),2))</f>
        <v/>
      </c>
      <c r="U14" s="38" t="str">
        <f aca="false">IF(T14="","",IF(T14&gt;=Settings!$B$20,"Win",IF(T14&lt;=-Settings!$B$20,"Loss","BE")))</f>
        <v/>
      </c>
      <c r="V14" s="45" t="str">
        <f aca="false">IF(B14="","",Settings!$B$6)</f>
        <v/>
      </c>
      <c r="W14" s="46" t="str">
        <f aca="false">IF(B14="","",(Settings!$B$5+SUM(X$4:X13))*V14)</f>
        <v/>
      </c>
      <c r="X14" s="46" t="str">
        <f aca="false">IF(T14="","",ROUND(T14*W14,2))</f>
        <v/>
      </c>
      <c r="Y14" s="46" t="str">
        <f aca="false">IF(T14="","",Settings!$B$5+SUM(X$5:X14))</f>
        <v/>
      </c>
      <c r="Z14" s="43" t="str">
        <f aca="false">IF(T14="","",SUM(T$5:T14))</f>
        <v/>
      </c>
      <c r="AA14" s="43" t="str">
        <f aca="false">IF(T14="","",MAX(0,MAX(Z$5:Z14)))</f>
        <v/>
      </c>
      <c r="AB14" s="43" t="str">
        <f aca="false">IF(T14="","",Z14-AA14)</f>
        <v/>
      </c>
      <c r="AC14" s="38" t="str">
        <f aca="false">IF(U14="","",IF(U14="Loss",N(AC13)+1,0))</f>
        <v/>
      </c>
      <c r="AD14" s="40"/>
      <c r="AE14" s="38" t="str">
        <f aca="false">IF(B14="","",IF(AND(M14="Yes",OR(AD14="None",AD14="")),"Yes","No"))</f>
        <v/>
      </c>
      <c r="AF14" s="40"/>
      <c r="AG14" s="40"/>
      <c r="AH14" s="47"/>
      <c r="AI14" s="47"/>
    </row>
    <row r="15" customFormat="false" ht="15" hidden="false" customHeight="false" outlineLevel="0" collapsed="false">
      <c r="A15" s="38" t="str">
        <f aca="false">IF(B15="","",ROW()-4)</f>
        <v/>
      </c>
      <c r="B15" s="39"/>
      <c r="C15" s="38" t="str">
        <f aca="false">IF(B15="","",INT((B15-Settings!$B$4)/7)+1)</f>
        <v/>
      </c>
      <c r="D15" s="40"/>
      <c r="E15" s="40"/>
      <c r="F15" s="40"/>
      <c r="G15" s="40"/>
      <c r="H15" s="40"/>
      <c r="I15" s="40"/>
      <c r="J15" s="40"/>
      <c r="K15" s="40"/>
      <c r="L15" s="40"/>
      <c r="M15" s="38" t="str">
        <f aca="false">IF(B15="","",IF(COUNTIF(H15:L15,"Y")=5,"Yes","No"))</f>
        <v/>
      </c>
      <c r="N15" s="41"/>
      <c r="O15" s="42"/>
      <c r="P15" s="42"/>
      <c r="Q15" s="43" t="str">
        <f aca="false">IF(OR(O15="",P15=""),"",IF(F15="Long",O15+Settings!$B$7*(O15-P15),O15-Settings!$B$7*(P15-O15)))</f>
        <v/>
      </c>
      <c r="R15" s="42"/>
      <c r="S15" s="40"/>
      <c r="T15" s="44" t="str">
        <f aca="false">IF(OR(R15="",O15="",P15="",O15=P15),"",ROUND(IF(F15="Long",(R15-O15)/(O15-P15),(O15-R15)/(P15-O15)),2))</f>
        <v/>
      </c>
      <c r="U15" s="38" t="str">
        <f aca="false">IF(T15="","",IF(T15&gt;=Settings!$B$20,"Win",IF(T15&lt;=-Settings!$B$20,"Loss","BE")))</f>
        <v/>
      </c>
      <c r="V15" s="45" t="str">
        <f aca="false">IF(B15="","",Settings!$B$6)</f>
        <v/>
      </c>
      <c r="W15" s="46" t="str">
        <f aca="false">IF(B15="","",(Settings!$B$5+SUM(X$4:X14))*V15)</f>
        <v/>
      </c>
      <c r="X15" s="46" t="str">
        <f aca="false">IF(T15="","",ROUND(T15*W15,2))</f>
        <v/>
      </c>
      <c r="Y15" s="46" t="str">
        <f aca="false">IF(T15="","",Settings!$B$5+SUM(X$5:X15))</f>
        <v/>
      </c>
      <c r="Z15" s="43" t="str">
        <f aca="false">IF(T15="","",SUM(T$5:T15))</f>
        <v/>
      </c>
      <c r="AA15" s="43" t="str">
        <f aca="false">IF(T15="","",MAX(0,MAX(Z$5:Z15)))</f>
        <v/>
      </c>
      <c r="AB15" s="43" t="str">
        <f aca="false">IF(T15="","",Z15-AA15)</f>
        <v/>
      </c>
      <c r="AC15" s="38" t="str">
        <f aca="false">IF(U15="","",IF(U15="Loss",N(AC14)+1,0))</f>
        <v/>
      </c>
      <c r="AD15" s="40"/>
      <c r="AE15" s="38" t="str">
        <f aca="false">IF(B15="","",IF(AND(M15="Yes",OR(AD15="None",AD15="")),"Yes","No"))</f>
        <v/>
      </c>
      <c r="AF15" s="40"/>
      <c r="AG15" s="40"/>
      <c r="AH15" s="47"/>
      <c r="AI15" s="47"/>
    </row>
    <row r="16" customFormat="false" ht="15" hidden="false" customHeight="false" outlineLevel="0" collapsed="false">
      <c r="A16" s="38" t="str">
        <f aca="false">IF(B16="","",ROW()-4)</f>
        <v/>
      </c>
      <c r="B16" s="39"/>
      <c r="C16" s="38" t="str">
        <f aca="false">IF(B16="","",INT((B16-Settings!$B$4)/7)+1)</f>
        <v/>
      </c>
      <c r="D16" s="40"/>
      <c r="E16" s="40"/>
      <c r="F16" s="40"/>
      <c r="G16" s="40"/>
      <c r="H16" s="40"/>
      <c r="I16" s="40"/>
      <c r="J16" s="40"/>
      <c r="K16" s="40"/>
      <c r="L16" s="40"/>
      <c r="M16" s="38" t="str">
        <f aca="false">IF(B16="","",IF(COUNTIF(H16:L16,"Y")=5,"Yes","No"))</f>
        <v/>
      </c>
      <c r="N16" s="41"/>
      <c r="O16" s="42"/>
      <c r="P16" s="42"/>
      <c r="Q16" s="43" t="str">
        <f aca="false">IF(OR(O16="",P16=""),"",IF(F16="Long",O16+Settings!$B$7*(O16-P16),O16-Settings!$B$7*(P16-O16)))</f>
        <v/>
      </c>
      <c r="R16" s="42"/>
      <c r="S16" s="40"/>
      <c r="T16" s="44" t="str">
        <f aca="false">IF(OR(R16="",O16="",P16="",O16=P16),"",ROUND(IF(F16="Long",(R16-O16)/(O16-P16),(O16-R16)/(P16-O16)),2))</f>
        <v/>
      </c>
      <c r="U16" s="38" t="str">
        <f aca="false">IF(T16="","",IF(T16&gt;=Settings!$B$20,"Win",IF(T16&lt;=-Settings!$B$20,"Loss","BE")))</f>
        <v/>
      </c>
      <c r="V16" s="45" t="str">
        <f aca="false">IF(B16="","",Settings!$B$6)</f>
        <v/>
      </c>
      <c r="W16" s="46" t="str">
        <f aca="false">IF(B16="","",(Settings!$B$5+SUM(X$4:X15))*V16)</f>
        <v/>
      </c>
      <c r="X16" s="46" t="str">
        <f aca="false">IF(T16="","",ROUND(T16*W16,2))</f>
        <v/>
      </c>
      <c r="Y16" s="46" t="str">
        <f aca="false">IF(T16="","",Settings!$B$5+SUM(X$5:X16))</f>
        <v/>
      </c>
      <c r="Z16" s="43" t="str">
        <f aca="false">IF(T16="","",SUM(T$5:T16))</f>
        <v/>
      </c>
      <c r="AA16" s="43" t="str">
        <f aca="false">IF(T16="","",MAX(0,MAX(Z$5:Z16)))</f>
        <v/>
      </c>
      <c r="AB16" s="43" t="str">
        <f aca="false">IF(T16="","",Z16-AA16)</f>
        <v/>
      </c>
      <c r="AC16" s="38" t="str">
        <f aca="false">IF(U16="","",IF(U16="Loss",N(AC15)+1,0))</f>
        <v/>
      </c>
      <c r="AD16" s="40"/>
      <c r="AE16" s="38" t="str">
        <f aca="false">IF(B16="","",IF(AND(M16="Yes",OR(AD16="None",AD16="")),"Yes","No"))</f>
        <v/>
      </c>
      <c r="AF16" s="40"/>
      <c r="AG16" s="40"/>
      <c r="AH16" s="47"/>
      <c r="AI16" s="47"/>
    </row>
    <row r="17" customFormat="false" ht="15" hidden="false" customHeight="false" outlineLevel="0" collapsed="false">
      <c r="A17" s="38" t="str">
        <f aca="false">IF(B17="","",ROW()-4)</f>
        <v/>
      </c>
      <c r="B17" s="39"/>
      <c r="C17" s="38" t="str">
        <f aca="false">IF(B17="","",INT((B17-Settings!$B$4)/7)+1)</f>
        <v/>
      </c>
      <c r="D17" s="40"/>
      <c r="E17" s="40"/>
      <c r="F17" s="40"/>
      <c r="G17" s="40"/>
      <c r="H17" s="40"/>
      <c r="I17" s="40"/>
      <c r="J17" s="40"/>
      <c r="K17" s="40"/>
      <c r="L17" s="40"/>
      <c r="M17" s="38" t="str">
        <f aca="false">IF(B17="","",IF(COUNTIF(H17:L17,"Y")=5,"Yes","No"))</f>
        <v/>
      </c>
      <c r="N17" s="41"/>
      <c r="O17" s="42"/>
      <c r="P17" s="42"/>
      <c r="Q17" s="43" t="str">
        <f aca="false">IF(OR(O17="",P17=""),"",IF(F17="Long",O17+Settings!$B$7*(O17-P17),O17-Settings!$B$7*(P17-O17)))</f>
        <v/>
      </c>
      <c r="R17" s="42"/>
      <c r="S17" s="40"/>
      <c r="T17" s="44" t="str">
        <f aca="false">IF(OR(R17="",O17="",P17="",O17=P17),"",ROUND(IF(F17="Long",(R17-O17)/(O17-P17),(O17-R17)/(P17-O17)),2))</f>
        <v/>
      </c>
      <c r="U17" s="38" t="str">
        <f aca="false">IF(T17="","",IF(T17&gt;=Settings!$B$20,"Win",IF(T17&lt;=-Settings!$B$20,"Loss","BE")))</f>
        <v/>
      </c>
      <c r="V17" s="45" t="str">
        <f aca="false">IF(B17="","",Settings!$B$6)</f>
        <v/>
      </c>
      <c r="W17" s="46" t="str">
        <f aca="false">IF(B17="","",(Settings!$B$5+SUM(X$4:X16))*V17)</f>
        <v/>
      </c>
      <c r="X17" s="46" t="str">
        <f aca="false">IF(T17="","",ROUND(T17*W17,2))</f>
        <v/>
      </c>
      <c r="Y17" s="46" t="str">
        <f aca="false">IF(T17="","",Settings!$B$5+SUM(X$5:X17))</f>
        <v/>
      </c>
      <c r="Z17" s="43" t="str">
        <f aca="false">IF(T17="","",SUM(T$5:T17))</f>
        <v/>
      </c>
      <c r="AA17" s="43" t="str">
        <f aca="false">IF(T17="","",MAX(0,MAX(Z$5:Z17)))</f>
        <v/>
      </c>
      <c r="AB17" s="43" t="str">
        <f aca="false">IF(T17="","",Z17-AA17)</f>
        <v/>
      </c>
      <c r="AC17" s="38" t="str">
        <f aca="false">IF(U17="","",IF(U17="Loss",N(AC16)+1,0))</f>
        <v/>
      </c>
      <c r="AD17" s="40"/>
      <c r="AE17" s="38" t="str">
        <f aca="false">IF(B17="","",IF(AND(M17="Yes",OR(AD17="None",AD17="")),"Yes","No"))</f>
        <v/>
      </c>
      <c r="AF17" s="40"/>
      <c r="AG17" s="40"/>
      <c r="AH17" s="47"/>
      <c r="AI17" s="47"/>
    </row>
    <row r="18" customFormat="false" ht="15" hidden="false" customHeight="false" outlineLevel="0" collapsed="false">
      <c r="A18" s="38" t="str">
        <f aca="false">IF(B18="","",ROW()-4)</f>
        <v/>
      </c>
      <c r="B18" s="39"/>
      <c r="C18" s="38" t="str">
        <f aca="false">IF(B18="","",INT((B18-Settings!$B$4)/7)+1)</f>
        <v/>
      </c>
      <c r="D18" s="40"/>
      <c r="E18" s="40"/>
      <c r="F18" s="40"/>
      <c r="G18" s="40"/>
      <c r="H18" s="40"/>
      <c r="I18" s="40"/>
      <c r="J18" s="40"/>
      <c r="K18" s="40"/>
      <c r="L18" s="40"/>
      <c r="M18" s="38" t="str">
        <f aca="false">IF(B18="","",IF(COUNTIF(H18:L18,"Y")=5,"Yes","No"))</f>
        <v/>
      </c>
      <c r="N18" s="41"/>
      <c r="O18" s="42"/>
      <c r="P18" s="42"/>
      <c r="Q18" s="43" t="str">
        <f aca="false">IF(OR(O18="",P18=""),"",IF(F18="Long",O18+Settings!$B$7*(O18-P18),O18-Settings!$B$7*(P18-O18)))</f>
        <v/>
      </c>
      <c r="R18" s="42"/>
      <c r="S18" s="40"/>
      <c r="T18" s="44" t="str">
        <f aca="false">IF(OR(R18="",O18="",P18="",O18=P18),"",ROUND(IF(F18="Long",(R18-O18)/(O18-P18),(O18-R18)/(P18-O18)),2))</f>
        <v/>
      </c>
      <c r="U18" s="38" t="str">
        <f aca="false">IF(T18="","",IF(T18&gt;=Settings!$B$20,"Win",IF(T18&lt;=-Settings!$B$20,"Loss","BE")))</f>
        <v/>
      </c>
      <c r="V18" s="45" t="str">
        <f aca="false">IF(B18="","",Settings!$B$6)</f>
        <v/>
      </c>
      <c r="W18" s="46" t="str">
        <f aca="false">IF(B18="","",(Settings!$B$5+SUM(X$4:X17))*V18)</f>
        <v/>
      </c>
      <c r="X18" s="46" t="str">
        <f aca="false">IF(T18="","",ROUND(T18*W18,2))</f>
        <v/>
      </c>
      <c r="Y18" s="46" t="str">
        <f aca="false">IF(T18="","",Settings!$B$5+SUM(X$5:X18))</f>
        <v/>
      </c>
      <c r="Z18" s="43" t="str">
        <f aca="false">IF(T18="","",SUM(T$5:T18))</f>
        <v/>
      </c>
      <c r="AA18" s="43" t="str">
        <f aca="false">IF(T18="","",MAX(0,MAX(Z$5:Z18)))</f>
        <v/>
      </c>
      <c r="AB18" s="43" t="str">
        <f aca="false">IF(T18="","",Z18-AA18)</f>
        <v/>
      </c>
      <c r="AC18" s="38" t="str">
        <f aca="false">IF(U18="","",IF(U18="Loss",N(AC17)+1,0))</f>
        <v/>
      </c>
      <c r="AD18" s="40"/>
      <c r="AE18" s="38" t="str">
        <f aca="false">IF(B18="","",IF(AND(M18="Yes",OR(AD18="None",AD18="")),"Yes","No"))</f>
        <v/>
      </c>
      <c r="AF18" s="40"/>
      <c r="AG18" s="40"/>
      <c r="AH18" s="47"/>
      <c r="AI18" s="47"/>
    </row>
    <row r="19" customFormat="false" ht="15" hidden="false" customHeight="false" outlineLevel="0" collapsed="false">
      <c r="A19" s="38" t="str">
        <f aca="false">IF(B19="","",ROW()-4)</f>
        <v/>
      </c>
      <c r="B19" s="39"/>
      <c r="C19" s="38" t="str">
        <f aca="false">IF(B19="","",INT((B19-Settings!$B$4)/7)+1)</f>
        <v/>
      </c>
      <c r="D19" s="40"/>
      <c r="E19" s="40"/>
      <c r="F19" s="40"/>
      <c r="G19" s="40"/>
      <c r="H19" s="40"/>
      <c r="I19" s="40"/>
      <c r="J19" s="40"/>
      <c r="K19" s="40"/>
      <c r="L19" s="40"/>
      <c r="M19" s="38" t="str">
        <f aca="false">IF(B19="","",IF(COUNTIF(H19:L19,"Y")=5,"Yes","No"))</f>
        <v/>
      </c>
      <c r="N19" s="41"/>
      <c r="O19" s="42"/>
      <c r="P19" s="42"/>
      <c r="Q19" s="43" t="str">
        <f aca="false">IF(OR(O19="",P19=""),"",IF(F19="Long",O19+Settings!$B$7*(O19-P19),O19-Settings!$B$7*(P19-O19)))</f>
        <v/>
      </c>
      <c r="R19" s="42"/>
      <c r="S19" s="40"/>
      <c r="T19" s="44" t="str">
        <f aca="false">IF(OR(R19="",O19="",P19="",O19=P19),"",ROUND(IF(F19="Long",(R19-O19)/(O19-P19),(O19-R19)/(P19-O19)),2))</f>
        <v/>
      </c>
      <c r="U19" s="38" t="str">
        <f aca="false">IF(T19="","",IF(T19&gt;=Settings!$B$20,"Win",IF(T19&lt;=-Settings!$B$20,"Loss","BE")))</f>
        <v/>
      </c>
      <c r="V19" s="45" t="str">
        <f aca="false">IF(B19="","",Settings!$B$6)</f>
        <v/>
      </c>
      <c r="W19" s="46" t="str">
        <f aca="false">IF(B19="","",(Settings!$B$5+SUM(X$4:X18))*V19)</f>
        <v/>
      </c>
      <c r="X19" s="46" t="str">
        <f aca="false">IF(T19="","",ROUND(T19*W19,2))</f>
        <v/>
      </c>
      <c r="Y19" s="46" t="str">
        <f aca="false">IF(T19="","",Settings!$B$5+SUM(X$5:X19))</f>
        <v/>
      </c>
      <c r="Z19" s="43" t="str">
        <f aca="false">IF(T19="","",SUM(T$5:T19))</f>
        <v/>
      </c>
      <c r="AA19" s="43" t="str">
        <f aca="false">IF(T19="","",MAX(0,MAX(Z$5:Z19)))</f>
        <v/>
      </c>
      <c r="AB19" s="43" t="str">
        <f aca="false">IF(T19="","",Z19-AA19)</f>
        <v/>
      </c>
      <c r="AC19" s="38" t="str">
        <f aca="false">IF(U19="","",IF(U19="Loss",N(AC18)+1,0))</f>
        <v/>
      </c>
      <c r="AD19" s="40"/>
      <c r="AE19" s="38" t="str">
        <f aca="false">IF(B19="","",IF(AND(M19="Yes",OR(AD19="None",AD19="")),"Yes","No"))</f>
        <v/>
      </c>
      <c r="AF19" s="40"/>
      <c r="AG19" s="40"/>
      <c r="AH19" s="47"/>
      <c r="AI19" s="47"/>
    </row>
    <row r="20" customFormat="false" ht="15" hidden="false" customHeight="false" outlineLevel="0" collapsed="false">
      <c r="A20" s="38" t="str">
        <f aca="false">IF(B20="","",ROW()-4)</f>
        <v/>
      </c>
      <c r="B20" s="39"/>
      <c r="C20" s="38" t="str">
        <f aca="false">IF(B20="","",INT((B20-Settings!$B$4)/7)+1)</f>
        <v/>
      </c>
      <c r="D20" s="40"/>
      <c r="E20" s="40"/>
      <c r="F20" s="40"/>
      <c r="G20" s="40"/>
      <c r="H20" s="40"/>
      <c r="I20" s="40"/>
      <c r="J20" s="40"/>
      <c r="K20" s="40"/>
      <c r="L20" s="40"/>
      <c r="M20" s="38" t="str">
        <f aca="false">IF(B20="","",IF(COUNTIF(H20:L20,"Y")=5,"Yes","No"))</f>
        <v/>
      </c>
      <c r="N20" s="41"/>
      <c r="O20" s="42"/>
      <c r="P20" s="42"/>
      <c r="Q20" s="43" t="str">
        <f aca="false">IF(OR(O20="",P20=""),"",IF(F20="Long",O20+Settings!$B$7*(O20-P20),O20-Settings!$B$7*(P20-O20)))</f>
        <v/>
      </c>
      <c r="R20" s="42"/>
      <c r="S20" s="40"/>
      <c r="T20" s="44" t="str">
        <f aca="false">IF(OR(R20="",O20="",P20="",O20=P20),"",ROUND(IF(F20="Long",(R20-O20)/(O20-P20),(O20-R20)/(P20-O20)),2))</f>
        <v/>
      </c>
      <c r="U20" s="38" t="str">
        <f aca="false">IF(T20="","",IF(T20&gt;=Settings!$B$20,"Win",IF(T20&lt;=-Settings!$B$20,"Loss","BE")))</f>
        <v/>
      </c>
      <c r="V20" s="45" t="str">
        <f aca="false">IF(B20="","",Settings!$B$6)</f>
        <v/>
      </c>
      <c r="W20" s="46" t="str">
        <f aca="false">IF(B20="","",(Settings!$B$5+SUM(X$4:X19))*V20)</f>
        <v/>
      </c>
      <c r="X20" s="46" t="str">
        <f aca="false">IF(T20="","",ROUND(T20*W20,2))</f>
        <v/>
      </c>
      <c r="Y20" s="46" t="str">
        <f aca="false">IF(T20="","",Settings!$B$5+SUM(X$5:X20))</f>
        <v/>
      </c>
      <c r="Z20" s="43" t="str">
        <f aca="false">IF(T20="","",SUM(T$5:T20))</f>
        <v/>
      </c>
      <c r="AA20" s="43" t="str">
        <f aca="false">IF(T20="","",MAX(0,MAX(Z$5:Z20)))</f>
        <v/>
      </c>
      <c r="AB20" s="43" t="str">
        <f aca="false">IF(T20="","",Z20-AA20)</f>
        <v/>
      </c>
      <c r="AC20" s="38" t="str">
        <f aca="false">IF(U20="","",IF(U20="Loss",N(AC19)+1,0))</f>
        <v/>
      </c>
      <c r="AD20" s="40"/>
      <c r="AE20" s="38" t="str">
        <f aca="false">IF(B20="","",IF(AND(M20="Yes",OR(AD20="None",AD20="")),"Yes","No"))</f>
        <v/>
      </c>
      <c r="AF20" s="40"/>
      <c r="AG20" s="40"/>
      <c r="AH20" s="47"/>
      <c r="AI20" s="47"/>
    </row>
    <row r="21" customFormat="false" ht="15" hidden="false" customHeight="false" outlineLevel="0" collapsed="false">
      <c r="A21" s="38" t="str">
        <f aca="false">IF(B21="","",ROW()-4)</f>
        <v/>
      </c>
      <c r="B21" s="39"/>
      <c r="C21" s="38" t="str">
        <f aca="false">IF(B21="","",INT((B21-Settings!$B$4)/7)+1)</f>
        <v/>
      </c>
      <c r="D21" s="40"/>
      <c r="E21" s="40"/>
      <c r="F21" s="40"/>
      <c r="G21" s="40"/>
      <c r="H21" s="40"/>
      <c r="I21" s="40"/>
      <c r="J21" s="40"/>
      <c r="K21" s="40"/>
      <c r="L21" s="40"/>
      <c r="M21" s="38" t="str">
        <f aca="false">IF(B21="","",IF(COUNTIF(H21:L21,"Y")=5,"Yes","No"))</f>
        <v/>
      </c>
      <c r="N21" s="41"/>
      <c r="O21" s="42"/>
      <c r="P21" s="42"/>
      <c r="Q21" s="43" t="str">
        <f aca="false">IF(OR(O21="",P21=""),"",IF(F21="Long",O21+Settings!$B$7*(O21-P21),O21-Settings!$B$7*(P21-O21)))</f>
        <v/>
      </c>
      <c r="R21" s="42"/>
      <c r="S21" s="40"/>
      <c r="T21" s="44" t="str">
        <f aca="false">IF(OR(R21="",O21="",P21="",O21=P21),"",ROUND(IF(F21="Long",(R21-O21)/(O21-P21),(O21-R21)/(P21-O21)),2))</f>
        <v/>
      </c>
      <c r="U21" s="38" t="str">
        <f aca="false">IF(T21="","",IF(T21&gt;=Settings!$B$20,"Win",IF(T21&lt;=-Settings!$B$20,"Loss","BE")))</f>
        <v/>
      </c>
      <c r="V21" s="45" t="str">
        <f aca="false">IF(B21="","",Settings!$B$6)</f>
        <v/>
      </c>
      <c r="W21" s="46" t="str">
        <f aca="false">IF(B21="","",(Settings!$B$5+SUM(X$4:X20))*V21)</f>
        <v/>
      </c>
      <c r="X21" s="46" t="str">
        <f aca="false">IF(T21="","",ROUND(T21*W21,2))</f>
        <v/>
      </c>
      <c r="Y21" s="46" t="str">
        <f aca="false">IF(T21="","",Settings!$B$5+SUM(X$5:X21))</f>
        <v/>
      </c>
      <c r="Z21" s="43" t="str">
        <f aca="false">IF(T21="","",SUM(T$5:T21))</f>
        <v/>
      </c>
      <c r="AA21" s="43" t="str">
        <f aca="false">IF(T21="","",MAX(0,MAX(Z$5:Z21)))</f>
        <v/>
      </c>
      <c r="AB21" s="43" t="str">
        <f aca="false">IF(T21="","",Z21-AA21)</f>
        <v/>
      </c>
      <c r="AC21" s="38" t="str">
        <f aca="false">IF(U21="","",IF(U21="Loss",N(AC20)+1,0))</f>
        <v/>
      </c>
      <c r="AD21" s="40"/>
      <c r="AE21" s="38" t="str">
        <f aca="false">IF(B21="","",IF(AND(M21="Yes",OR(AD21="None",AD21="")),"Yes","No"))</f>
        <v/>
      </c>
      <c r="AF21" s="40"/>
      <c r="AG21" s="40"/>
      <c r="AH21" s="47"/>
      <c r="AI21" s="47"/>
    </row>
    <row r="22" customFormat="false" ht="15" hidden="false" customHeight="false" outlineLevel="0" collapsed="false">
      <c r="A22" s="38" t="str">
        <f aca="false">IF(B22="","",ROW()-4)</f>
        <v/>
      </c>
      <c r="B22" s="39"/>
      <c r="C22" s="38" t="str">
        <f aca="false">IF(B22="","",INT((B22-Settings!$B$4)/7)+1)</f>
        <v/>
      </c>
      <c r="D22" s="40"/>
      <c r="E22" s="40"/>
      <c r="F22" s="40"/>
      <c r="G22" s="40"/>
      <c r="H22" s="40"/>
      <c r="I22" s="40"/>
      <c r="J22" s="40"/>
      <c r="K22" s="40"/>
      <c r="L22" s="40"/>
      <c r="M22" s="38" t="str">
        <f aca="false">IF(B22="","",IF(COUNTIF(H22:L22,"Y")=5,"Yes","No"))</f>
        <v/>
      </c>
      <c r="N22" s="41"/>
      <c r="O22" s="42"/>
      <c r="P22" s="42"/>
      <c r="Q22" s="43" t="str">
        <f aca="false">IF(OR(O22="",P22=""),"",IF(F22="Long",O22+Settings!$B$7*(O22-P22),O22-Settings!$B$7*(P22-O22)))</f>
        <v/>
      </c>
      <c r="R22" s="42"/>
      <c r="S22" s="40"/>
      <c r="T22" s="44" t="str">
        <f aca="false">IF(OR(R22="",O22="",P22="",O22=P22),"",ROUND(IF(F22="Long",(R22-O22)/(O22-P22),(O22-R22)/(P22-O22)),2))</f>
        <v/>
      </c>
      <c r="U22" s="38" t="str">
        <f aca="false">IF(T22="","",IF(T22&gt;=Settings!$B$20,"Win",IF(T22&lt;=-Settings!$B$20,"Loss","BE")))</f>
        <v/>
      </c>
      <c r="V22" s="45" t="str">
        <f aca="false">IF(B22="","",Settings!$B$6)</f>
        <v/>
      </c>
      <c r="W22" s="46" t="str">
        <f aca="false">IF(B22="","",(Settings!$B$5+SUM(X$4:X21))*V22)</f>
        <v/>
      </c>
      <c r="X22" s="46" t="str">
        <f aca="false">IF(T22="","",ROUND(T22*W22,2))</f>
        <v/>
      </c>
      <c r="Y22" s="46" t="str">
        <f aca="false">IF(T22="","",Settings!$B$5+SUM(X$5:X22))</f>
        <v/>
      </c>
      <c r="Z22" s="43" t="str">
        <f aca="false">IF(T22="","",SUM(T$5:T22))</f>
        <v/>
      </c>
      <c r="AA22" s="43" t="str">
        <f aca="false">IF(T22="","",MAX(0,MAX(Z$5:Z22)))</f>
        <v/>
      </c>
      <c r="AB22" s="43" t="str">
        <f aca="false">IF(T22="","",Z22-AA22)</f>
        <v/>
      </c>
      <c r="AC22" s="38" t="str">
        <f aca="false">IF(U22="","",IF(U22="Loss",N(AC21)+1,0))</f>
        <v/>
      </c>
      <c r="AD22" s="40"/>
      <c r="AE22" s="38" t="str">
        <f aca="false">IF(B22="","",IF(AND(M22="Yes",OR(AD22="None",AD22="")),"Yes","No"))</f>
        <v/>
      </c>
      <c r="AF22" s="40"/>
      <c r="AG22" s="40"/>
      <c r="AH22" s="47"/>
      <c r="AI22" s="47"/>
    </row>
    <row r="23" customFormat="false" ht="15" hidden="false" customHeight="false" outlineLevel="0" collapsed="false">
      <c r="A23" s="38" t="str">
        <f aca="false">IF(B23="","",ROW()-4)</f>
        <v/>
      </c>
      <c r="B23" s="39"/>
      <c r="C23" s="38" t="str">
        <f aca="false">IF(B23="","",INT((B23-Settings!$B$4)/7)+1)</f>
        <v/>
      </c>
      <c r="D23" s="40"/>
      <c r="E23" s="40"/>
      <c r="F23" s="40"/>
      <c r="G23" s="40"/>
      <c r="H23" s="40"/>
      <c r="I23" s="40"/>
      <c r="J23" s="40"/>
      <c r="K23" s="40"/>
      <c r="L23" s="40"/>
      <c r="M23" s="38" t="str">
        <f aca="false">IF(B23="","",IF(COUNTIF(H23:L23,"Y")=5,"Yes","No"))</f>
        <v/>
      </c>
      <c r="N23" s="41"/>
      <c r="O23" s="42"/>
      <c r="P23" s="42"/>
      <c r="Q23" s="43" t="str">
        <f aca="false">IF(OR(O23="",P23=""),"",IF(F23="Long",O23+Settings!$B$7*(O23-P23),O23-Settings!$B$7*(P23-O23)))</f>
        <v/>
      </c>
      <c r="R23" s="42"/>
      <c r="S23" s="40"/>
      <c r="T23" s="44" t="str">
        <f aca="false">IF(OR(R23="",O23="",P23="",O23=P23),"",ROUND(IF(F23="Long",(R23-O23)/(O23-P23),(O23-R23)/(P23-O23)),2))</f>
        <v/>
      </c>
      <c r="U23" s="38" t="str">
        <f aca="false">IF(T23="","",IF(T23&gt;=Settings!$B$20,"Win",IF(T23&lt;=-Settings!$B$20,"Loss","BE")))</f>
        <v/>
      </c>
      <c r="V23" s="45" t="str">
        <f aca="false">IF(B23="","",Settings!$B$6)</f>
        <v/>
      </c>
      <c r="W23" s="46" t="str">
        <f aca="false">IF(B23="","",(Settings!$B$5+SUM(X$4:X22))*V23)</f>
        <v/>
      </c>
      <c r="X23" s="46" t="str">
        <f aca="false">IF(T23="","",ROUND(T23*W23,2))</f>
        <v/>
      </c>
      <c r="Y23" s="46" t="str">
        <f aca="false">IF(T23="","",Settings!$B$5+SUM(X$5:X23))</f>
        <v/>
      </c>
      <c r="Z23" s="43" t="str">
        <f aca="false">IF(T23="","",SUM(T$5:T23))</f>
        <v/>
      </c>
      <c r="AA23" s="43" t="str">
        <f aca="false">IF(T23="","",MAX(0,MAX(Z$5:Z23)))</f>
        <v/>
      </c>
      <c r="AB23" s="43" t="str">
        <f aca="false">IF(T23="","",Z23-AA23)</f>
        <v/>
      </c>
      <c r="AC23" s="38" t="str">
        <f aca="false">IF(U23="","",IF(U23="Loss",N(AC22)+1,0))</f>
        <v/>
      </c>
      <c r="AD23" s="40"/>
      <c r="AE23" s="38" t="str">
        <f aca="false">IF(B23="","",IF(AND(M23="Yes",OR(AD23="None",AD23="")),"Yes","No"))</f>
        <v/>
      </c>
      <c r="AF23" s="40"/>
      <c r="AG23" s="40"/>
      <c r="AH23" s="47"/>
      <c r="AI23" s="47"/>
    </row>
    <row r="24" customFormat="false" ht="15" hidden="false" customHeight="false" outlineLevel="0" collapsed="false">
      <c r="A24" s="38" t="str">
        <f aca="false">IF(B24="","",ROW()-4)</f>
        <v/>
      </c>
      <c r="B24" s="39"/>
      <c r="C24" s="38" t="str">
        <f aca="false">IF(B24="","",INT((B24-Settings!$B$4)/7)+1)</f>
        <v/>
      </c>
      <c r="D24" s="40"/>
      <c r="E24" s="40"/>
      <c r="F24" s="40"/>
      <c r="G24" s="40"/>
      <c r="H24" s="40"/>
      <c r="I24" s="40"/>
      <c r="J24" s="40"/>
      <c r="K24" s="40"/>
      <c r="L24" s="40"/>
      <c r="M24" s="38" t="str">
        <f aca="false">IF(B24="","",IF(COUNTIF(H24:L24,"Y")=5,"Yes","No"))</f>
        <v/>
      </c>
      <c r="N24" s="41"/>
      <c r="O24" s="42"/>
      <c r="P24" s="42"/>
      <c r="Q24" s="43" t="str">
        <f aca="false">IF(OR(O24="",P24=""),"",IF(F24="Long",O24+Settings!$B$7*(O24-P24),O24-Settings!$B$7*(P24-O24)))</f>
        <v/>
      </c>
      <c r="R24" s="42"/>
      <c r="S24" s="40"/>
      <c r="T24" s="44" t="str">
        <f aca="false">IF(OR(R24="",O24="",P24="",O24=P24),"",ROUND(IF(F24="Long",(R24-O24)/(O24-P24),(O24-R24)/(P24-O24)),2))</f>
        <v/>
      </c>
      <c r="U24" s="38" t="str">
        <f aca="false">IF(T24="","",IF(T24&gt;=Settings!$B$20,"Win",IF(T24&lt;=-Settings!$B$20,"Loss","BE")))</f>
        <v/>
      </c>
      <c r="V24" s="45" t="str">
        <f aca="false">IF(B24="","",Settings!$B$6)</f>
        <v/>
      </c>
      <c r="W24" s="46" t="str">
        <f aca="false">IF(B24="","",(Settings!$B$5+SUM(X$4:X23))*V24)</f>
        <v/>
      </c>
      <c r="X24" s="46" t="str">
        <f aca="false">IF(T24="","",ROUND(T24*W24,2))</f>
        <v/>
      </c>
      <c r="Y24" s="46" t="str">
        <f aca="false">IF(T24="","",Settings!$B$5+SUM(X$5:X24))</f>
        <v/>
      </c>
      <c r="Z24" s="43" t="str">
        <f aca="false">IF(T24="","",SUM(T$5:T24))</f>
        <v/>
      </c>
      <c r="AA24" s="43" t="str">
        <f aca="false">IF(T24="","",MAX(0,MAX(Z$5:Z24)))</f>
        <v/>
      </c>
      <c r="AB24" s="43" t="str">
        <f aca="false">IF(T24="","",Z24-AA24)</f>
        <v/>
      </c>
      <c r="AC24" s="38" t="str">
        <f aca="false">IF(U24="","",IF(U24="Loss",N(AC23)+1,0))</f>
        <v/>
      </c>
      <c r="AD24" s="40"/>
      <c r="AE24" s="38" t="str">
        <f aca="false">IF(B24="","",IF(AND(M24="Yes",OR(AD24="None",AD24="")),"Yes","No"))</f>
        <v/>
      </c>
      <c r="AF24" s="40"/>
      <c r="AG24" s="40"/>
      <c r="AH24" s="47"/>
      <c r="AI24" s="47"/>
    </row>
    <row r="25" customFormat="false" ht="15" hidden="false" customHeight="false" outlineLevel="0" collapsed="false">
      <c r="A25" s="38" t="str">
        <f aca="false">IF(B25="","",ROW()-4)</f>
        <v/>
      </c>
      <c r="B25" s="39"/>
      <c r="C25" s="38" t="str">
        <f aca="false">IF(B25="","",INT((B25-Settings!$B$4)/7)+1)</f>
        <v/>
      </c>
      <c r="D25" s="40"/>
      <c r="E25" s="40"/>
      <c r="F25" s="40"/>
      <c r="G25" s="40"/>
      <c r="H25" s="40"/>
      <c r="I25" s="40"/>
      <c r="J25" s="40"/>
      <c r="K25" s="40"/>
      <c r="L25" s="40"/>
      <c r="M25" s="38" t="str">
        <f aca="false">IF(B25="","",IF(COUNTIF(H25:L25,"Y")=5,"Yes","No"))</f>
        <v/>
      </c>
      <c r="N25" s="41"/>
      <c r="O25" s="42"/>
      <c r="P25" s="42"/>
      <c r="Q25" s="43" t="str">
        <f aca="false">IF(OR(O25="",P25=""),"",IF(F25="Long",O25+Settings!$B$7*(O25-P25),O25-Settings!$B$7*(P25-O25)))</f>
        <v/>
      </c>
      <c r="R25" s="42"/>
      <c r="S25" s="40"/>
      <c r="T25" s="44" t="str">
        <f aca="false">IF(OR(R25="",O25="",P25="",O25=P25),"",ROUND(IF(F25="Long",(R25-O25)/(O25-P25),(O25-R25)/(P25-O25)),2))</f>
        <v/>
      </c>
      <c r="U25" s="38" t="str">
        <f aca="false">IF(T25="","",IF(T25&gt;=Settings!$B$20,"Win",IF(T25&lt;=-Settings!$B$20,"Loss","BE")))</f>
        <v/>
      </c>
      <c r="V25" s="45" t="str">
        <f aca="false">IF(B25="","",Settings!$B$6)</f>
        <v/>
      </c>
      <c r="W25" s="46" t="str">
        <f aca="false">IF(B25="","",(Settings!$B$5+SUM(X$4:X24))*V25)</f>
        <v/>
      </c>
      <c r="X25" s="46" t="str">
        <f aca="false">IF(T25="","",ROUND(T25*W25,2))</f>
        <v/>
      </c>
      <c r="Y25" s="46" t="str">
        <f aca="false">IF(T25="","",Settings!$B$5+SUM(X$5:X25))</f>
        <v/>
      </c>
      <c r="Z25" s="43" t="str">
        <f aca="false">IF(T25="","",SUM(T$5:T25))</f>
        <v/>
      </c>
      <c r="AA25" s="43" t="str">
        <f aca="false">IF(T25="","",MAX(0,MAX(Z$5:Z25)))</f>
        <v/>
      </c>
      <c r="AB25" s="43" t="str">
        <f aca="false">IF(T25="","",Z25-AA25)</f>
        <v/>
      </c>
      <c r="AC25" s="38" t="str">
        <f aca="false">IF(U25="","",IF(U25="Loss",N(AC24)+1,0))</f>
        <v/>
      </c>
      <c r="AD25" s="40"/>
      <c r="AE25" s="38" t="str">
        <f aca="false">IF(B25="","",IF(AND(M25="Yes",OR(AD25="None",AD25="")),"Yes","No"))</f>
        <v/>
      </c>
      <c r="AF25" s="40"/>
      <c r="AG25" s="40"/>
      <c r="AH25" s="47"/>
      <c r="AI25" s="47"/>
    </row>
    <row r="26" customFormat="false" ht="15" hidden="false" customHeight="false" outlineLevel="0" collapsed="false">
      <c r="A26" s="38" t="str">
        <f aca="false">IF(B26="","",ROW()-4)</f>
        <v/>
      </c>
      <c r="B26" s="39"/>
      <c r="C26" s="38" t="str">
        <f aca="false">IF(B26="","",INT((B26-Settings!$B$4)/7)+1)</f>
        <v/>
      </c>
      <c r="D26" s="40"/>
      <c r="E26" s="40"/>
      <c r="F26" s="40"/>
      <c r="G26" s="40"/>
      <c r="H26" s="40"/>
      <c r="I26" s="40"/>
      <c r="J26" s="40"/>
      <c r="K26" s="40"/>
      <c r="L26" s="40"/>
      <c r="M26" s="38" t="str">
        <f aca="false">IF(B26="","",IF(COUNTIF(H26:L26,"Y")=5,"Yes","No"))</f>
        <v/>
      </c>
      <c r="N26" s="41"/>
      <c r="O26" s="42"/>
      <c r="P26" s="42"/>
      <c r="Q26" s="43" t="str">
        <f aca="false">IF(OR(O26="",P26=""),"",IF(F26="Long",O26+Settings!$B$7*(O26-P26),O26-Settings!$B$7*(P26-O26)))</f>
        <v/>
      </c>
      <c r="R26" s="42"/>
      <c r="S26" s="40"/>
      <c r="T26" s="44" t="str">
        <f aca="false">IF(OR(R26="",O26="",P26="",O26=P26),"",ROUND(IF(F26="Long",(R26-O26)/(O26-P26),(O26-R26)/(P26-O26)),2))</f>
        <v/>
      </c>
      <c r="U26" s="38" t="str">
        <f aca="false">IF(T26="","",IF(T26&gt;=Settings!$B$20,"Win",IF(T26&lt;=-Settings!$B$20,"Loss","BE")))</f>
        <v/>
      </c>
      <c r="V26" s="45" t="str">
        <f aca="false">IF(B26="","",Settings!$B$6)</f>
        <v/>
      </c>
      <c r="W26" s="46" t="str">
        <f aca="false">IF(B26="","",(Settings!$B$5+SUM(X$4:X25))*V26)</f>
        <v/>
      </c>
      <c r="X26" s="46" t="str">
        <f aca="false">IF(T26="","",ROUND(T26*W26,2))</f>
        <v/>
      </c>
      <c r="Y26" s="46" t="str">
        <f aca="false">IF(T26="","",Settings!$B$5+SUM(X$5:X26))</f>
        <v/>
      </c>
      <c r="Z26" s="43" t="str">
        <f aca="false">IF(T26="","",SUM(T$5:T26))</f>
        <v/>
      </c>
      <c r="AA26" s="43" t="str">
        <f aca="false">IF(T26="","",MAX(0,MAX(Z$5:Z26)))</f>
        <v/>
      </c>
      <c r="AB26" s="43" t="str">
        <f aca="false">IF(T26="","",Z26-AA26)</f>
        <v/>
      </c>
      <c r="AC26" s="38" t="str">
        <f aca="false">IF(U26="","",IF(U26="Loss",N(AC25)+1,0))</f>
        <v/>
      </c>
      <c r="AD26" s="40"/>
      <c r="AE26" s="38" t="str">
        <f aca="false">IF(B26="","",IF(AND(M26="Yes",OR(AD26="None",AD26="")),"Yes","No"))</f>
        <v/>
      </c>
      <c r="AF26" s="40"/>
      <c r="AG26" s="40"/>
      <c r="AH26" s="47"/>
      <c r="AI26" s="47"/>
    </row>
    <row r="27" customFormat="false" ht="15" hidden="false" customHeight="false" outlineLevel="0" collapsed="false">
      <c r="A27" s="38" t="str">
        <f aca="false">IF(B27="","",ROW()-4)</f>
        <v/>
      </c>
      <c r="B27" s="39"/>
      <c r="C27" s="38" t="str">
        <f aca="false">IF(B27="","",INT((B27-Settings!$B$4)/7)+1)</f>
        <v/>
      </c>
      <c r="D27" s="40"/>
      <c r="E27" s="40"/>
      <c r="F27" s="40"/>
      <c r="G27" s="40"/>
      <c r="H27" s="40"/>
      <c r="I27" s="40"/>
      <c r="J27" s="40"/>
      <c r="K27" s="40"/>
      <c r="L27" s="40"/>
      <c r="M27" s="38" t="str">
        <f aca="false">IF(B27="","",IF(COUNTIF(H27:L27,"Y")=5,"Yes","No"))</f>
        <v/>
      </c>
      <c r="N27" s="41"/>
      <c r="O27" s="42"/>
      <c r="P27" s="42"/>
      <c r="Q27" s="43" t="str">
        <f aca="false">IF(OR(O27="",P27=""),"",IF(F27="Long",O27+Settings!$B$7*(O27-P27),O27-Settings!$B$7*(P27-O27)))</f>
        <v/>
      </c>
      <c r="R27" s="42"/>
      <c r="S27" s="40"/>
      <c r="T27" s="44" t="str">
        <f aca="false">IF(OR(R27="",O27="",P27="",O27=P27),"",ROUND(IF(F27="Long",(R27-O27)/(O27-P27),(O27-R27)/(P27-O27)),2))</f>
        <v/>
      </c>
      <c r="U27" s="38" t="str">
        <f aca="false">IF(T27="","",IF(T27&gt;=Settings!$B$20,"Win",IF(T27&lt;=-Settings!$B$20,"Loss","BE")))</f>
        <v/>
      </c>
      <c r="V27" s="45" t="str">
        <f aca="false">IF(B27="","",Settings!$B$6)</f>
        <v/>
      </c>
      <c r="W27" s="46" t="str">
        <f aca="false">IF(B27="","",(Settings!$B$5+SUM(X$4:X26))*V27)</f>
        <v/>
      </c>
      <c r="X27" s="46" t="str">
        <f aca="false">IF(T27="","",ROUND(T27*W27,2))</f>
        <v/>
      </c>
      <c r="Y27" s="46" t="str">
        <f aca="false">IF(T27="","",Settings!$B$5+SUM(X$5:X27))</f>
        <v/>
      </c>
      <c r="Z27" s="43" t="str">
        <f aca="false">IF(T27="","",SUM(T$5:T27))</f>
        <v/>
      </c>
      <c r="AA27" s="43" t="str">
        <f aca="false">IF(T27="","",MAX(0,MAX(Z$5:Z27)))</f>
        <v/>
      </c>
      <c r="AB27" s="43" t="str">
        <f aca="false">IF(T27="","",Z27-AA27)</f>
        <v/>
      </c>
      <c r="AC27" s="38" t="str">
        <f aca="false">IF(U27="","",IF(U27="Loss",N(AC26)+1,0))</f>
        <v/>
      </c>
      <c r="AD27" s="40"/>
      <c r="AE27" s="38" t="str">
        <f aca="false">IF(B27="","",IF(AND(M27="Yes",OR(AD27="None",AD27="")),"Yes","No"))</f>
        <v/>
      </c>
      <c r="AF27" s="40"/>
      <c r="AG27" s="40"/>
      <c r="AH27" s="47"/>
      <c r="AI27" s="47"/>
    </row>
    <row r="28" customFormat="false" ht="15" hidden="false" customHeight="false" outlineLevel="0" collapsed="false">
      <c r="A28" s="38" t="str">
        <f aca="false">IF(B28="","",ROW()-4)</f>
        <v/>
      </c>
      <c r="B28" s="39"/>
      <c r="C28" s="38" t="str">
        <f aca="false">IF(B28="","",INT((B28-Settings!$B$4)/7)+1)</f>
        <v/>
      </c>
      <c r="D28" s="40"/>
      <c r="E28" s="40"/>
      <c r="F28" s="40"/>
      <c r="G28" s="40"/>
      <c r="H28" s="40"/>
      <c r="I28" s="40"/>
      <c r="J28" s="40"/>
      <c r="K28" s="40"/>
      <c r="L28" s="40"/>
      <c r="M28" s="38" t="str">
        <f aca="false">IF(B28="","",IF(COUNTIF(H28:L28,"Y")=5,"Yes","No"))</f>
        <v/>
      </c>
      <c r="N28" s="41"/>
      <c r="O28" s="42"/>
      <c r="P28" s="42"/>
      <c r="Q28" s="43" t="str">
        <f aca="false">IF(OR(O28="",P28=""),"",IF(F28="Long",O28+Settings!$B$7*(O28-P28),O28-Settings!$B$7*(P28-O28)))</f>
        <v/>
      </c>
      <c r="R28" s="42"/>
      <c r="S28" s="40"/>
      <c r="T28" s="44" t="str">
        <f aca="false">IF(OR(R28="",O28="",P28="",O28=P28),"",ROUND(IF(F28="Long",(R28-O28)/(O28-P28),(O28-R28)/(P28-O28)),2))</f>
        <v/>
      </c>
      <c r="U28" s="38" t="str">
        <f aca="false">IF(T28="","",IF(T28&gt;=Settings!$B$20,"Win",IF(T28&lt;=-Settings!$B$20,"Loss","BE")))</f>
        <v/>
      </c>
      <c r="V28" s="45" t="str">
        <f aca="false">IF(B28="","",Settings!$B$6)</f>
        <v/>
      </c>
      <c r="W28" s="46" t="str">
        <f aca="false">IF(B28="","",(Settings!$B$5+SUM(X$4:X27))*V28)</f>
        <v/>
      </c>
      <c r="X28" s="46" t="str">
        <f aca="false">IF(T28="","",ROUND(T28*W28,2))</f>
        <v/>
      </c>
      <c r="Y28" s="46" t="str">
        <f aca="false">IF(T28="","",Settings!$B$5+SUM(X$5:X28))</f>
        <v/>
      </c>
      <c r="Z28" s="43" t="str">
        <f aca="false">IF(T28="","",SUM(T$5:T28))</f>
        <v/>
      </c>
      <c r="AA28" s="43" t="str">
        <f aca="false">IF(T28="","",MAX(0,MAX(Z$5:Z28)))</f>
        <v/>
      </c>
      <c r="AB28" s="43" t="str">
        <f aca="false">IF(T28="","",Z28-AA28)</f>
        <v/>
      </c>
      <c r="AC28" s="38" t="str">
        <f aca="false">IF(U28="","",IF(U28="Loss",N(AC27)+1,0))</f>
        <v/>
      </c>
      <c r="AD28" s="40"/>
      <c r="AE28" s="38" t="str">
        <f aca="false">IF(B28="","",IF(AND(M28="Yes",OR(AD28="None",AD28="")),"Yes","No"))</f>
        <v/>
      </c>
      <c r="AF28" s="40"/>
      <c r="AG28" s="40"/>
      <c r="AH28" s="47"/>
      <c r="AI28" s="47"/>
    </row>
    <row r="29" customFormat="false" ht="15" hidden="false" customHeight="false" outlineLevel="0" collapsed="false">
      <c r="A29" s="38" t="str">
        <f aca="false">IF(B29="","",ROW()-4)</f>
        <v/>
      </c>
      <c r="B29" s="39"/>
      <c r="C29" s="38" t="str">
        <f aca="false">IF(B29="","",INT((B29-Settings!$B$4)/7)+1)</f>
        <v/>
      </c>
      <c r="D29" s="40"/>
      <c r="E29" s="40"/>
      <c r="F29" s="40"/>
      <c r="G29" s="40"/>
      <c r="H29" s="40"/>
      <c r="I29" s="40"/>
      <c r="J29" s="40"/>
      <c r="K29" s="40"/>
      <c r="L29" s="40"/>
      <c r="M29" s="38" t="str">
        <f aca="false">IF(B29="","",IF(COUNTIF(H29:L29,"Y")=5,"Yes","No"))</f>
        <v/>
      </c>
      <c r="N29" s="41"/>
      <c r="O29" s="42"/>
      <c r="P29" s="42"/>
      <c r="Q29" s="43" t="str">
        <f aca="false">IF(OR(O29="",P29=""),"",IF(F29="Long",O29+Settings!$B$7*(O29-P29),O29-Settings!$B$7*(P29-O29)))</f>
        <v/>
      </c>
      <c r="R29" s="42"/>
      <c r="S29" s="40"/>
      <c r="T29" s="44" t="str">
        <f aca="false">IF(OR(R29="",O29="",P29="",O29=P29),"",ROUND(IF(F29="Long",(R29-O29)/(O29-P29),(O29-R29)/(P29-O29)),2))</f>
        <v/>
      </c>
      <c r="U29" s="38" t="str">
        <f aca="false">IF(T29="","",IF(T29&gt;=Settings!$B$20,"Win",IF(T29&lt;=-Settings!$B$20,"Loss","BE")))</f>
        <v/>
      </c>
      <c r="V29" s="45" t="str">
        <f aca="false">IF(B29="","",Settings!$B$6)</f>
        <v/>
      </c>
      <c r="W29" s="46" t="str">
        <f aca="false">IF(B29="","",(Settings!$B$5+SUM(X$4:X28))*V29)</f>
        <v/>
      </c>
      <c r="X29" s="46" t="str">
        <f aca="false">IF(T29="","",ROUND(T29*W29,2))</f>
        <v/>
      </c>
      <c r="Y29" s="46" t="str">
        <f aca="false">IF(T29="","",Settings!$B$5+SUM(X$5:X29))</f>
        <v/>
      </c>
      <c r="Z29" s="43" t="str">
        <f aca="false">IF(T29="","",SUM(T$5:T29))</f>
        <v/>
      </c>
      <c r="AA29" s="43" t="str">
        <f aca="false">IF(T29="","",MAX(0,MAX(Z$5:Z29)))</f>
        <v/>
      </c>
      <c r="AB29" s="43" t="str">
        <f aca="false">IF(T29="","",Z29-AA29)</f>
        <v/>
      </c>
      <c r="AC29" s="38" t="str">
        <f aca="false">IF(U29="","",IF(U29="Loss",N(AC28)+1,0))</f>
        <v/>
      </c>
      <c r="AD29" s="40"/>
      <c r="AE29" s="38" t="str">
        <f aca="false">IF(B29="","",IF(AND(M29="Yes",OR(AD29="None",AD29="")),"Yes","No"))</f>
        <v/>
      </c>
      <c r="AF29" s="40"/>
      <c r="AG29" s="40"/>
      <c r="AH29" s="47"/>
      <c r="AI29" s="47"/>
    </row>
    <row r="30" customFormat="false" ht="15" hidden="false" customHeight="false" outlineLevel="0" collapsed="false">
      <c r="A30" s="38" t="str">
        <f aca="false">IF(B30="","",ROW()-4)</f>
        <v/>
      </c>
      <c r="B30" s="39"/>
      <c r="C30" s="38" t="str">
        <f aca="false">IF(B30="","",INT((B30-Settings!$B$4)/7)+1)</f>
        <v/>
      </c>
      <c r="D30" s="40"/>
      <c r="E30" s="40"/>
      <c r="F30" s="40"/>
      <c r="G30" s="40"/>
      <c r="H30" s="40"/>
      <c r="I30" s="40"/>
      <c r="J30" s="40"/>
      <c r="K30" s="40"/>
      <c r="L30" s="40"/>
      <c r="M30" s="38" t="str">
        <f aca="false">IF(B30="","",IF(COUNTIF(H30:L30,"Y")=5,"Yes","No"))</f>
        <v/>
      </c>
      <c r="N30" s="41"/>
      <c r="O30" s="42"/>
      <c r="P30" s="42"/>
      <c r="Q30" s="43" t="str">
        <f aca="false">IF(OR(O30="",P30=""),"",IF(F30="Long",O30+Settings!$B$7*(O30-P30),O30-Settings!$B$7*(P30-O30)))</f>
        <v/>
      </c>
      <c r="R30" s="42"/>
      <c r="S30" s="40"/>
      <c r="T30" s="44" t="str">
        <f aca="false">IF(OR(R30="",O30="",P30="",O30=P30),"",ROUND(IF(F30="Long",(R30-O30)/(O30-P30),(O30-R30)/(P30-O30)),2))</f>
        <v/>
      </c>
      <c r="U30" s="38" t="str">
        <f aca="false">IF(T30="","",IF(T30&gt;=Settings!$B$20,"Win",IF(T30&lt;=-Settings!$B$20,"Loss","BE")))</f>
        <v/>
      </c>
      <c r="V30" s="45" t="str">
        <f aca="false">IF(B30="","",Settings!$B$6)</f>
        <v/>
      </c>
      <c r="W30" s="46" t="str">
        <f aca="false">IF(B30="","",(Settings!$B$5+SUM(X$4:X29))*V30)</f>
        <v/>
      </c>
      <c r="X30" s="46" t="str">
        <f aca="false">IF(T30="","",ROUND(T30*W30,2))</f>
        <v/>
      </c>
      <c r="Y30" s="46" t="str">
        <f aca="false">IF(T30="","",Settings!$B$5+SUM(X$5:X30))</f>
        <v/>
      </c>
      <c r="Z30" s="43" t="str">
        <f aca="false">IF(T30="","",SUM(T$5:T30))</f>
        <v/>
      </c>
      <c r="AA30" s="43" t="str">
        <f aca="false">IF(T30="","",MAX(0,MAX(Z$5:Z30)))</f>
        <v/>
      </c>
      <c r="AB30" s="43" t="str">
        <f aca="false">IF(T30="","",Z30-AA30)</f>
        <v/>
      </c>
      <c r="AC30" s="38" t="str">
        <f aca="false">IF(U30="","",IF(U30="Loss",N(AC29)+1,0))</f>
        <v/>
      </c>
      <c r="AD30" s="40"/>
      <c r="AE30" s="38" t="str">
        <f aca="false">IF(B30="","",IF(AND(M30="Yes",OR(AD30="None",AD30="")),"Yes","No"))</f>
        <v/>
      </c>
      <c r="AF30" s="40"/>
      <c r="AG30" s="40"/>
      <c r="AH30" s="47"/>
      <c r="AI30" s="47"/>
    </row>
    <row r="31" customFormat="false" ht="15" hidden="false" customHeight="false" outlineLevel="0" collapsed="false">
      <c r="A31" s="38" t="str">
        <f aca="false">IF(B31="","",ROW()-4)</f>
        <v/>
      </c>
      <c r="B31" s="39"/>
      <c r="C31" s="38" t="str">
        <f aca="false">IF(B31="","",INT((B31-Settings!$B$4)/7)+1)</f>
        <v/>
      </c>
      <c r="D31" s="40"/>
      <c r="E31" s="40"/>
      <c r="F31" s="40"/>
      <c r="G31" s="40"/>
      <c r="H31" s="40"/>
      <c r="I31" s="40"/>
      <c r="J31" s="40"/>
      <c r="K31" s="40"/>
      <c r="L31" s="40"/>
      <c r="M31" s="38" t="str">
        <f aca="false">IF(B31="","",IF(COUNTIF(H31:L31,"Y")=5,"Yes","No"))</f>
        <v/>
      </c>
      <c r="N31" s="41"/>
      <c r="O31" s="42"/>
      <c r="P31" s="42"/>
      <c r="Q31" s="43" t="str">
        <f aca="false">IF(OR(O31="",P31=""),"",IF(F31="Long",O31+Settings!$B$7*(O31-P31),O31-Settings!$B$7*(P31-O31)))</f>
        <v/>
      </c>
      <c r="R31" s="42"/>
      <c r="S31" s="40"/>
      <c r="T31" s="44" t="str">
        <f aca="false">IF(OR(R31="",O31="",P31="",O31=P31),"",ROUND(IF(F31="Long",(R31-O31)/(O31-P31),(O31-R31)/(P31-O31)),2))</f>
        <v/>
      </c>
      <c r="U31" s="38" t="str">
        <f aca="false">IF(T31="","",IF(T31&gt;=Settings!$B$20,"Win",IF(T31&lt;=-Settings!$B$20,"Loss","BE")))</f>
        <v/>
      </c>
      <c r="V31" s="45" t="str">
        <f aca="false">IF(B31="","",Settings!$B$6)</f>
        <v/>
      </c>
      <c r="W31" s="46" t="str">
        <f aca="false">IF(B31="","",(Settings!$B$5+SUM(X$4:X30))*V31)</f>
        <v/>
      </c>
      <c r="X31" s="46" t="str">
        <f aca="false">IF(T31="","",ROUND(T31*W31,2))</f>
        <v/>
      </c>
      <c r="Y31" s="46" t="str">
        <f aca="false">IF(T31="","",Settings!$B$5+SUM(X$5:X31))</f>
        <v/>
      </c>
      <c r="Z31" s="43" t="str">
        <f aca="false">IF(T31="","",SUM(T$5:T31))</f>
        <v/>
      </c>
      <c r="AA31" s="43" t="str">
        <f aca="false">IF(T31="","",MAX(0,MAX(Z$5:Z31)))</f>
        <v/>
      </c>
      <c r="AB31" s="43" t="str">
        <f aca="false">IF(T31="","",Z31-AA31)</f>
        <v/>
      </c>
      <c r="AC31" s="38" t="str">
        <f aca="false">IF(U31="","",IF(U31="Loss",N(AC30)+1,0))</f>
        <v/>
      </c>
      <c r="AD31" s="40"/>
      <c r="AE31" s="38" t="str">
        <f aca="false">IF(B31="","",IF(AND(M31="Yes",OR(AD31="None",AD31="")),"Yes","No"))</f>
        <v/>
      </c>
      <c r="AF31" s="40"/>
      <c r="AG31" s="40"/>
      <c r="AH31" s="47"/>
      <c r="AI31" s="47"/>
    </row>
    <row r="32" customFormat="false" ht="15" hidden="false" customHeight="false" outlineLevel="0" collapsed="false">
      <c r="A32" s="38" t="str">
        <f aca="false">IF(B32="","",ROW()-4)</f>
        <v/>
      </c>
      <c r="B32" s="39"/>
      <c r="C32" s="38" t="str">
        <f aca="false">IF(B32="","",INT((B32-Settings!$B$4)/7)+1)</f>
        <v/>
      </c>
      <c r="D32" s="40"/>
      <c r="E32" s="40"/>
      <c r="F32" s="40"/>
      <c r="G32" s="40"/>
      <c r="H32" s="40"/>
      <c r="I32" s="40"/>
      <c r="J32" s="40"/>
      <c r="K32" s="40"/>
      <c r="L32" s="40"/>
      <c r="M32" s="38" t="str">
        <f aca="false">IF(B32="","",IF(COUNTIF(H32:L32,"Y")=5,"Yes","No"))</f>
        <v/>
      </c>
      <c r="N32" s="41"/>
      <c r="O32" s="42"/>
      <c r="P32" s="42"/>
      <c r="Q32" s="43" t="str">
        <f aca="false">IF(OR(O32="",P32=""),"",IF(F32="Long",O32+Settings!$B$7*(O32-P32),O32-Settings!$B$7*(P32-O32)))</f>
        <v/>
      </c>
      <c r="R32" s="42"/>
      <c r="S32" s="40"/>
      <c r="T32" s="44" t="str">
        <f aca="false">IF(OR(R32="",O32="",P32="",O32=P32),"",ROUND(IF(F32="Long",(R32-O32)/(O32-P32),(O32-R32)/(P32-O32)),2))</f>
        <v/>
      </c>
      <c r="U32" s="38" t="str">
        <f aca="false">IF(T32="","",IF(T32&gt;=Settings!$B$20,"Win",IF(T32&lt;=-Settings!$B$20,"Loss","BE")))</f>
        <v/>
      </c>
      <c r="V32" s="45" t="str">
        <f aca="false">IF(B32="","",Settings!$B$6)</f>
        <v/>
      </c>
      <c r="W32" s="46" t="str">
        <f aca="false">IF(B32="","",(Settings!$B$5+SUM(X$4:X31))*V32)</f>
        <v/>
      </c>
      <c r="X32" s="46" t="str">
        <f aca="false">IF(T32="","",ROUND(T32*W32,2))</f>
        <v/>
      </c>
      <c r="Y32" s="46" t="str">
        <f aca="false">IF(T32="","",Settings!$B$5+SUM(X$5:X32))</f>
        <v/>
      </c>
      <c r="Z32" s="43" t="str">
        <f aca="false">IF(T32="","",SUM(T$5:T32))</f>
        <v/>
      </c>
      <c r="AA32" s="43" t="str">
        <f aca="false">IF(T32="","",MAX(0,MAX(Z$5:Z32)))</f>
        <v/>
      </c>
      <c r="AB32" s="43" t="str">
        <f aca="false">IF(T32="","",Z32-AA32)</f>
        <v/>
      </c>
      <c r="AC32" s="38" t="str">
        <f aca="false">IF(U32="","",IF(U32="Loss",N(AC31)+1,0))</f>
        <v/>
      </c>
      <c r="AD32" s="40"/>
      <c r="AE32" s="38" t="str">
        <f aca="false">IF(B32="","",IF(AND(M32="Yes",OR(AD32="None",AD32="")),"Yes","No"))</f>
        <v/>
      </c>
      <c r="AF32" s="40"/>
      <c r="AG32" s="40"/>
      <c r="AH32" s="47"/>
      <c r="AI32" s="47"/>
    </row>
    <row r="33" customFormat="false" ht="15" hidden="false" customHeight="false" outlineLevel="0" collapsed="false">
      <c r="A33" s="38" t="str">
        <f aca="false">IF(B33="","",ROW()-4)</f>
        <v/>
      </c>
      <c r="B33" s="39"/>
      <c r="C33" s="38" t="str">
        <f aca="false">IF(B33="","",INT((B33-Settings!$B$4)/7)+1)</f>
        <v/>
      </c>
      <c r="D33" s="40"/>
      <c r="E33" s="40"/>
      <c r="F33" s="40"/>
      <c r="G33" s="40"/>
      <c r="H33" s="40"/>
      <c r="I33" s="40"/>
      <c r="J33" s="40"/>
      <c r="K33" s="40"/>
      <c r="L33" s="40"/>
      <c r="M33" s="38" t="str">
        <f aca="false">IF(B33="","",IF(COUNTIF(H33:L33,"Y")=5,"Yes","No"))</f>
        <v/>
      </c>
      <c r="N33" s="41"/>
      <c r="O33" s="42"/>
      <c r="P33" s="42"/>
      <c r="Q33" s="43" t="str">
        <f aca="false">IF(OR(O33="",P33=""),"",IF(F33="Long",O33+Settings!$B$7*(O33-P33),O33-Settings!$B$7*(P33-O33)))</f>
        <v/>
      </c>
      <c r="R33" s="42"/>
      <c r="S33" s="40"/>
      <c r="T33" s="44" t="str">
        <f aca="false">IF(OR(R33="",O33="",P33="",O33=P33),"",ROUND(IF(F33="Long",(R33-O33)/(O33-P33),(O33-R33)/(P33-O33)),2))</f>
        <v/>
      </c>
      <c r="U33" s="38" t="str">
        <f aca="false">IF(T33="","",IF(T33&gt;=Settings!$B$20,"Win",IF(T33&lt;=-Settings!$B$20,"Loss","BE")))</f>
        <v/>
      </c>
      <c r="V33" s="45" t="str">
        <f aca="false">IF(B33="","",Settings!$B$6)</f>
        <v/>
      </c>
      <c r="W33" s="46" t="str">
        <f aca="false">IF(B33="","",(Settings!$B$5+SUM(X$4:X32))*V33)</f>
        <v/>
      </c>
      <c r="X33" s="46" t="str">
        <f aca="false">IF(T33="","",ROUND(T33*W33,2))</f>
        <v/>
      </c>
      <c r="Y33" s="46" t="str">
        <f aca="false">IF(T33="","",Settings!$B$5+SUM(X$5:X33))</f>
        <v/>
      </c>
      <c r="Z33" s="43" t="str">
        <f aca="false">IF(T33="","",SUM(T$5:T33))</f>
        <v/>
      </c>
      <c r="AA33" s="43" t="str">
        <f aca="false">IF(T33="","",MAX(0,MAX(Z$5:Z33)))</f>
        <v/>
      </c>
      <c r="AB33" s="43" t="str">
        <f aca="false">IF(T33="","",Z33-AA33)</f>
        <v/>
      </c>
      <c r="AC33" s="38" t="str">
        <f aca="false">IF(U33="","",IF(U33="Loss",N(AC32)+1,0))</f>
        <v/>
      </c>
      <c r="AD33" s="40"/>
      <c r="AE33" s="38" t="str">
        <f aca="false">IF(B33="","",IF(AND(M33="Yes",OR(AD33="None",AD33="")),"Yes","No"))</f>
        <v/>
      </c>
      <c r="AF33" s="40"/>
      <c r="AG33" s="40"/>
      <c r="AH33" s="47"/>
      <c r="AI33" s="47"/>
    </row>
    <row r="34" customFormat="false" ht="15" hidden="false" customHeight="false" outlineLevel="0" collapsed="false">
      <c r="A34" s="38" t="str">
        <f aca="false">IF(B34="","",ROW()-4)</f>
        <v/>
      </c>
      <c r="B34" s="39"/>
      <c r="C34" s="38" t="str">
        <f aca="false">IF(B34="","",INT((B34-Settings!$B$4)/7)+1)</f>
        <v/>
      </c>
      <c r="D34" s="40"/>
      <c r="E34" s="40"/>
      <c r="F34" s="40"/>
      <c r="G34" s="40"/>
      <c r="H34" s="40"/>
      <c r="I34" s="40"/>
      <c r="J34" s="40"/>
      <c r="K34" s="40"/>
      <c r="L34" s="40"/>
      <c r="M34" s="38" t="str">
        <f aca="false">IF(B34="","",IF(COUNTIF(H34:L34,"Y")=5,"Yes","No"))</f>
        <v/>
      </c>
      <c r="N34" s="41"/>
      <c r="O34" s="42"/>
      <c r="P34" s="42"/>
      <c r="Q34" s="43" t="str">
        <f aca="false">IF(OR(O34="",P34=""),"",IF(F34="Long",O34+Settings!$B$7*(O34-P34),O34-Settings!$B$7*(P34-O34)))</f>
        <v/>
      </c>
      <c r="R34" s="42"/>
      <c r="S34" s="40"/>
      <c r="T34" s="44" t="str">
        <f aca="false">IF(OR(R34="",O34="",P34="",O34=P34),"",ROUND(IF(F34="Long",(R34-O34)/(O34-P34),(O34-R34)/(P34-O34)),2))</f>
        <v/>
      </c>
      <c r="U34" s="38" t="str">
        <f aca="false">IF(T34="","",IF(T34&gt;=Settings!$B$20,"Win",IF(T34&lt;=-Settings!$B$20,"Loss","BE")))</f>
        <v/>
      </c>
      <c r="V34" s="45" t="str">
        <f aca="false">IF(B34="","",Settings!$B$6)</f>
        <v/>
      </c>
      <c r="W34" s="46" t="str">
        <f aca="false">IF(B34="","",(Settings!$B$5+SUM(X$4:X33))*V34)</f>
        <v/>
      </c>
      <c r="X34" s="46" t="str">
        <f aca="false">IF(T34="","",ROUND(T34*W34,2))</f>
        <v/>
      </c>
      <c r="Y34" s="46" t="str">
        <f aca="false">IF(T34="","",Settings!$B$5+SUM(X$5:X34))</f>
        <v/>
      </c>
      <c r="Z34" s="43" t="str">
        <f aca="false">IF(T34="","",SUM(T$5:T34))</f>
        <v/>
      </c>
      <c r="AA34" s="43" t="str">
        <f aca="false">IF(T34="","",MAX(0,MAX(Z$5:Z34)))</f>
        <v/>
      </c>
      <c r="AB34" s="43" t="str">
        <f aca="false">IF(T34="","",Z34-AA34)</f>
        <v/>
      </c>
      <c r="AC34" s="38" t="str">
        <f aca="false">IF(U34="","",IF(U34="Loss",N(AC33)+1,0))</f>
        <v/>
      </c>
      <c r="AD34" s="40"/>
      <c r="AE34" s="38" t="str">
        <f aca="false">IF(B34="","",IF(AND(M34="Yes",OR(AD34="None",AD34="")),"Yes","No"))</f>
        <v/>
      </c>
      <c r="AF34" s="40"/>
      <c r="AG34" s="40"/>
      <c r="AH34" s="47"/>
      <c r="AI34" s="47"/>
    </row>
    <row r="35" customFormat="false" ht="15" hidden="false" customHeight="false" outlineLevel="0" collapsed="false">
      <c r="A35" s="38" t="str">
        <f aca="false">IF(B35="","",ROW()-4)</f>
        <v/>
      </c>
      <c r="B35" s="39"/>
      <c r="C35" s="38" t="str">
        <f aca="false">IF(B35="","",INT((B35-Settings!$B$4)/7)+1)</f>
        <v/>
      </c>
      <c r="D35" s="40"/>
      <c r="E35" s="40"/>
      <c r="F35" s="40"/>
      <c r="G35" s="40"/>
      <c r="H35" s="40"/>
      <c r="I35" s="40"/>
      <c r="J35" s="40"/>
      <c r="K35" s="40"/>
      <c r="L35" s="40"/>
      <c r="M35" s="38" t="str">
        <f aca="false">IF(B35="","",IF(COUNTIF(H35:L35,"Y")=5,"Yes","No"))</f>
        <v/>
      </c>
      <c r="N35" s="41"/>
      <c r="O35" s="42"/>
      <c r="P35" s="42"/>
      <c r="Q35" s="43" t="str">
        <f aca="false">IF(OR(O35="",P35=""),"",IF(F35="Long",O35+Settings!$B$7*(O35-P35),O35-Settings!$B$7*(P35-O35)))</f>
        <v/>
      </c>
      <c r="R35" s="42"/>
      <c r="S35" s="40"/>
      <c r="T35" s="44" t="str">
        <f aca="false">IF(OR(R35="",O35="",P35="",O35=P35),"",ROUND(IF(F35="Long",(R35-O35)/(O35-P35),(O35-R35)/(P35-O35)),2))</f>
        <v/>
      </c>
      <c r="U35" s="38" t="str">
        <f aca="false">IF(T35="","",IF(T35&gt;=Settings!$B$20,"Win",IF(T35&lt;=-Settings!$B$20,"Loss","BE")))</f>
        <v/>
      </c>
      <c r="V35" s="45" t="str">
        <f aca="false">IF(B35="","",Settings!$B$6)</f>
        <v/>
      </c>
      <c r="W35" s="46" t="str">
        <f aca="false">IF(B35="","",(Settings!$B$5+SUM(X$4:X34))*V35)</f>
        <v/>
      </c>
      <c r="X35" s="46" t="str">
        <f aca="false">IF(T35="","",ROUND(T35*W35,2))</f>
        <v/>
      </c>
      <c r="Y35" s="46" t="str">
        <f aca="false">IF(T35="","",Settings!$B$5+SUM(X$5:X35))</f>
        <v/>
      </c>
      <c r="Z35" s="43" t="str">
        <f aca="false">IF(T35="","",SUM(T$5:T35))</f>
        <v/>
      </c>
      <c r="AA35" s="43" t="str">
        <f aca="false">IF(T35="","",MAX(0,MAX(Z$5:Z35)))</f>
        <v/>
      </c>
      <c r="AB35" s="43" t="str">
        <f aca="false">IF(T35="","",Z35-AA35)</f>
        <v/>
      </c>
      <c r="AC35" s="38" t="str">
        <f aca="false">IF(U35="","",IF(U35="Loss",N(AC34)+1,0))</f>
        <v/>
      </c>
      <c r="AD35" s="40"/>
      <c r="AE35" s="38" t="str">
        <f aca="false">IF(B35="","",IF(AND(M35="Yes",OR(AD35="None",AD35="")),"Yes","No"))</f>
        <v/>
      </c>
      <c r="AF35" s="40"/>
      <c r="AG35" s="40"/>
      <c r="AH35" s="47"/>
      <c r="AI35" s="47"/>
    </row>
    <row r="36" customFormat="false" ht="15" hidden="false" customHeight="false" outlineLevel="0" collapsed="false">
      <c r="A36" s="38" t="str">
        <f aca="false">IF(B36="","",ROW()-4)</f>
        <v/>
      </c>
      <c r="B36" s="39"/>
      <c r="C36" s="38" t="str">
        <f aca="false">IF(B36="","",INT((B36-Settings!$B$4)/7)+1)</f>
        <v/>
      </c>
      <c r="D36" s="40"/>
      <c r="E36" s="40"/>
      <c r="F36" s="40"/>
      <c r="G36" s="40"/>
      <c r="H36" s="40"/>
      <c r="I36" s="40"/>
      <c r="J36" s="40"/>
      <c r="K36" s="40"/>
      <c r="L36" s="40"/>
      <c r="M36" s="38" t="str">
        <f aca="false">IF(B36="","",IF(COUNTIF(H36:L36,"Y")=5,"Yes","No"))</f>
        <v/>
      </c>
      <c r="N36" s="41"/>
      <c r="O36" s="42"/>
      <c r="P36" s="42"/>
      <c r="Q36" s="43" t="str">
        <f aca="false">IF(OR(O36="",P36=""),"",IF(F36="Long",O36+Settings!$B$7*(O36-P36),O36-Settings!$B$7*(P36-O36)))</f>
        <v/>
      </c>
      <c r="R36" s="42"/>
      <c r="S36" s="40"/>
      <c r="T36" s="44" t="str">
        <f aca="false">IF(OR(R36="",O36="",P36="",O36=P36),"",ROUND(IF(F36="Long",(R36-O36)/(O36-P36),(O36-R36)/(P36-O36)),2))</f>
        <v/>
      </c>
      <c r="U36" s="38" t="str">
        <f aca="false">IF(T36="","",IF(T36&gt;=Settings!$B$20,"Win",IF(T36&lt;=-Settings!$B$20,"Loss","BE")))</f>
        <v/>
      </c>
      <c r="V36" s="45" t="str">
        <f aca="false">IF(B36="","",Settings!$B$6)</f>
        <v/>
      </c>
      <c r="W36" s="46" t="str">
        <f aca="false">IF(B36="","",(Settings!$B$5+SUM(X$4:X35))*V36)</f>
        <v/>
      </c>
      <c r="X36" s="46" t="str">
        <f aca="false">IF(T36="","",ROUND(T36*W36,2))</f>
        <v/>
      </c>
      <c r="Y36" s="46" t="str">
        <f aca="false">IF(T36="","",Settings!$B$5+SUM(X$5:X36))</f>
        <v/>
      </c>
      <c r="Z36" s="43" t="str">
        <f aca="false">IF(T36="","",SUM(T$5:T36))</f>
        <v/>
      </c>
      <c r="AA36" s="43" t="str">
        <f aca="false">IF(T36="","",MAX(0,MAX(Z$5:Z36)))</f>
        <v/>
      </c>
      <c r="AB36" s="43" t="str">
        <f aca="false">IF(T36="","",Z36-AA36)</f>
        <v/>
      </c>
      <c r="AC36" s="38" t="str">
        <f aca="false">IF(U36="","",IF(U36="Loss",N(AC35)+1,0))</f>
        <v/>
      </c>
      <c r="AD36" s="40"/>
      <c r="AE36" s="38" t="str">
        <f aca="false">IF(B36="","",IF(AND(M36="Yes",OR(AD36="None",AD36="")),"Yes","No"))</f>
        <v/>
      </c>
      <c r="AF36" s="40"/>
      <c r="AG36" s="40"/>
      <c r="AH36" s="47"/>
      <c r="AI36" s="47"/>
    </row>
    <row r="37" customFormat="false" ht="15" hidden="false" customHeight="false" outlineLevel="0" collapsed="false">
      <c r="A37" s="38" t="str">
        <f aca="false">IF(B37="","",ROW()-4)</f>
        <v/>
      </c>
      <c r="B37" s="39"/>
      <c r="C37" s="38" t="str">
        <f aca="false">IF(B37="","",INT((B37-Settings!$B$4)/7)+1)</f>
        <v/>
      </c>
      <c r="D37" s="40"/>
      <c r="E37" s="40"/>
      <c r="F37" s="40"/>
      <c r="G37" s="40"/>
      <c r="H37" s="40"/>
      <c r="I37" s="40"/>
      <c r="J37" s="40"/>
      <c r="K37" s="40"/>
      <c r="L37" s="40"/>
      <c r="M37" s="38" t="str">
        <f aca="false">IF(B37="","",IF(COUNTIF(H37:L37,"Y")=5,"Yes","No"))</f>
        <v/>
      </c>
      <c r="N37" s="41"/>
      <c r="O37" s="42"/>
      <c r="P37" s="42"/>
      <c r="Q37" s="43" t="str">
        <f aca="false">IF(OR(O37="",P37=""),"",IF(F37="Long",O37+Settings!$B$7*(O37-P37),O37-Settings!$B$7*(P37-O37)))</f>
        <v/>
      </c>
      <c r="R37" s="42"/>
      <c r="S37" s="40"/>
      <c r="T37" s="44" t="str">
        <f aca="false">IF(OR(R37="",O37="",P37="",O37=P37),"",ROUND(IF(F37="Long",(R37-O37)/(O37-P37),(O37-R37)/(P37-O37)),2))</f>
        <v/>
      </c>
      <c r="U37" s="38" t="str">
        <f aca="false">IF(T37="","",IF(T37&gt;=Settings!$B$20,"Win",IF(T37&lt;=-Settings!$B$20,"Loss","BE")))</f>
        <v/>
      </c>
      <c r="V37" s="45" t="str">
        <f aca="false">IF(B37="","",Settings!$B$6)</f>
        <v/>
      </c>
      <c r="W37" s="46" t="str">
        <f aca="false">IF(B37="","",(Settings!$B$5+SUM(X$4:X36))*V37)</f>
        <v/>
      </c>
      <c r="X37" s="46" t="str">
        <f aca="false">IF(T37="","",ROUND(T37*W37,2))</f>
        <v/>
      </c>
      <c r="Y37" s="46" t="str">
        <f aca="false">IF(T37="","",Settings!$B$5+SUM(X$5:X37))</f>
        <v/>
      </c>
      <c r="Z37" s="43" t="str">
        <f aca="false">IF(T37="","",SUM(T$5:T37))</f>
        <v/>
      </c>
      <c r="AA37" s="43" t="str">
        <f aca="false">IF(T37="","",MAX(0,MAX(Z$5:Z37)))</f>
        <v/>
      </c>
      <c r="AB37" s="43" t="str">
        <f aca="false">IF(T37="","",Z37-AA37)</f>
        <v/>
      </c>
      <c r="AC37" s="38" t="str">
        <f aca="false">IF(U37="","",IF(U37="Loss",N(AC36)+1,0))</f>
        <v/>
      </c>
      <c r="AD37" s="40"/>
      <c r="AE37" s="38" t="str">
        <f aca="false">IF(B37="","",IF(AND(M37="Yes",OR(AD37="None",AD37="")),"Yes","No"))</f>
        <v/>
      </c>
      <c r="AF37" s="40"/>
      <c r="AG37" s="40"/>
      <c r="AH37" s="47"/>
      <c r="AI37" s="47"/>
    </row>
    <row r="38" customFormat="false" ht="15" hidden="false" customHeight="false" outlineLevel="0" collapsed="false">
      <c r="A38" s="38" t="str">
        <f aca="false">IF(B38="","",ROW()-4)</f>
        <v/>
      </c>
      <c r="B38" s="39"/>
      <c r="C38" s="38" t="str">
        <f aca="false">IF(B38="","",INT((B38-Settings!$B$4)/7)+1)</f>
        <v/>
      </c>
      <c r="D38" s="40"/>
      <c r="E38" s="40"/>
      <c r="F38" s="40"/>
      <c r="G38" s="40"/>
      <c r="H38" s="40"/>
      <c r="I38" s="40"/>
      <c r="J38" s="40"/>
      <c r="K38" s="40"/>
      <c r="L38" s="40"/>
      <c r="M38" s="38" t="str">
        <f aca="false">IF(B38="","",IF(COUNTIF(H38:L38,"Y")=5,"Yes","No"))</f>
        <v/>
      </c>
      <c r="N38" s="41"/>
      <c r="O38" s="42"/>
      <c r="P38" s="42"/>
      <c r="Q38" s="43" t="str">
        <f aca="false">IF(OR(O38="",P38=""),"",IF(F38="Long",O38+Settings!$B$7*(O38-P38),O38-Settings!$B$7*(P38-O38)))</f>
        <v/>
      </c>
      <c r="R38" s="42"/>
      <c r="S38" s="40"/>
      <c r="T38" s="44" t="str">
        <f aca="false">IF(OR(R38="",O38="",P38="",O38=P38),"",ROUND(IF(F38="Long",(R38-O38)/(O38-P38),(O38-R38)/(P38-O38)),2))</f>
        <v/>
      </c>
      <c r="U38" s="38" t="str">
        <f aca="false">IF(T38="","",IF(T38&gt;=Settings!$B$20,"Win",IF(T38&lt;=-Settings!$B$20,"Loss","BE")))</f>
        <v/>
      </c>
      <c r="V38" s="45" t="str">
        <f aca="false">IF(B38="","",Settings!$B$6)</f>
        <v/>
      </c>
      <c r="W38" s="46" t="str">
        <f aca="false">IF(B38="","",(Settings!$B$5+SUM(X$4:X37))*V38)</f>
        <v/>
      </c>
      <c r="X38" s="46" t="str">
        <f aca="false">IF(T38="","",ROUND(T38*W38,2))</f>
        <v/>
      </c>
      <c r="Y38" s="46" t="str">
        <f aca="false">IF(T38="","",Settings!$B$5+SUM(X$5:X38))</f>
        <v/>
      </c>
      <c r="Z38" s="43" t="str">
        <f aca="false">IF(T38="","",SUM(T$5:T38))</f>
        <v/>
      </c>
      <c r="AA38" s="43" t="str">
        <f aca="false">IF(T38="","",MAX(0,MAX(Z$5:Z38)))</f>
        <v/>
      </c>
      <c r="AB38" s="43" t="str">
        <f aca="false">IF(T38="","",Z38-AA38)</f>
        <v/>
      </c>
      <c r="AC38" s="38" t="str">
        <f aca="false">IF(U38="","",IF(U38="Loss",N(AC37)+1,0))</f>
        <v/>
      </c>
      <c r="AD38" s="40"/>
      <c r="AE38" s="38" t="str">
        <f aca="false">IF(B38="","",IF(AND(M38="Yes",OR(AD38="None",AD38="")),"Yes","No"))</f>
        <v/>
      </c>
      <c r="AF38" s="40"/>
      <c r="AG38" s="40"/>
      <c r="AH38" s="47"/>
      <c r="AI38" s="47"/>
    </row>
    <row r="39" customFormat="false" ht="15" hidden="false" customHeight="false" outlineLevel="0" collapsed="false">
      <c r="A39" s="38" t="str">
        <f aca="false">IF(B39="","",ROW()-4)</f>
        <v/>
      </c>
      <c r="B39" s="39"/>
      <c r="C39" s="38" t="str">
        <f aca="false">IF(B39="","",INT((B39-Settings!$B$4)/7)+1)</f>
        <v/>
      </c>
      <c r="D39" s="40"/>
      <c r="E39" s="40"/>
      <c r="F39" s="40"/>
      <c r="G39" s="40"/>
      <c r="H39" s="40"/>
      <c r="I39" s="40"/>
      <c r="J39" s="40"/>
      <c r="K39" s="40"/>
      <c r="L39" s="40"/>
      <c r="M39" s="38" t="str">
        <f aca="false">IF(B39="","",IF(COUNTIF(H39:L39,"Y")=5,"Yes","No"))</f>
        <v/>
      </c>
      <c r="N39" s="41"/>
      <c r="O39" s="42"/>
      <c r="P39" s="42"/>
      <c r="Q39" s="43" t="str">
        <f aca="false">IF(OR(O39="",P39=""),"",IF(F39="Long",O39+Settings!$B$7*(O39-P39),O39-Settings!$B$7*(P39-O39)))</f>
        <v/>
      </c>
      <c r="R39" s="42"/>
      <c r="S39" s="40"/>
      <c r="T39" s="44" t="str">
        <f aca="false">IF(OR(R39="",O39="",P39="",O39=P39),"",ROUND(IF(F39="Long",(R39-O39)/(O39-P39),(O39-R39)/(P39-O39)),2))</f>
        <v/>
      </c>
      <c r="U39" s="38" t="str">
        <f aca="false">IF(T39="","",IF(T39&gt;=Settings!$B$20,"Win",IF(T39&lt;=-Settings!$B$20,"Loss","BE")))</f>
        <v/>
      </c>
      <c r="V39" s="45" t="str">
        <f aca="false">IF(B39="","",Settings!$B$6)</f>
        <v/>
      </c>
      <c r="W39" s="46" t="str">
        <f aca="false">IF(B39="","",(Settings!$B$5+SUM(X$4:X38))*V39)</f>
        <v/>
      </c>
      <c r="X39" s="46" t="str">
        <f aca="false">IF(T39="","",ROUND(T39*W39,2))</f>
        <v/>
      </c>
      <c r="Y39" s="46" t="str">
        <f aca="false">IF(T39="","",Settings!$B$5+SUM(X$5:X39))</f>
        <v/>
      </c>
      <c r="Z39" s="43" t="str">
        <f aca="false">IF(T39="","",SUM(T$5:T39))</f>
        <v/>
      </c>
      <c r="AA39" s="43" t="str">
        <f aca="false">IF(T39="","",MAX(0,MAX(Z$5:Z39)))</f>
        <v/>
      </c>
      <c r="AB39" s="43" t="str">
        <f aca="false">IF(T39="","",Z39-AA39)</f>
        <v/>
      </c>
      <c r="AC39" s="38" t="str">
        <f aca="false">IF(U39="","",IF(U39="Loss",N(AC38)+1,0))</f>
        <v/>
      </c>
      <c r="AD39" s="40"/>
      <c r="AE39" s="38" t="str">
        <f aca="false">IF(B39="","",IF(AND(M39="Yes",OR(AD39="None",AD39="")),"Yes","No"))</f>
        <v/>
      </c>
      <c r="AF39" s="40"/>
      <c r="AG39" s="40"/>
      <c r="AH39" s="47"/>
      <c r="AI39" s="47"/>
    </row>
    <row r="40" customFormat="false" ht="15" hidden="false" customHeight="false" outlineLevel="0" collapsed="false">
      <c r="A40" s="38" t="str">
        <f aca="false">IF(B40="","",ROW()-4)</f>
        <v/>
      </c>
      <c r="B40" s="39"/>
      <c r="C40" s="38" t="str">
        <f aca="false">IF(B40="","",INT((B40-Settings!$B$4)/7)+1)</f>
        <v/>
      </c>
      <c r="D40" s="40"/>
      <c r="E40" s="40"/>
      <c r="F40" s="40"/>
      <c r="G40" s="40"/>
      <c r="H40" s="40"/>
      <c r="I40" s="40"/>
      <c r="J40" s="40"/>
      <c r="K40" s="40"/>
      <c r="L40" s="40"/>
      <c r="M40" s="38" t="str">
        <f aca="false">IF(B40="","",IF(COUNTIF(H40:L40,"Y")=5,"Yes","No"))</f>
        <v/>
      </c>
      <c r="N40" s="41"/>
      <c r="O40" s="42"/>
      <c r="P40" s="42"/>
      <c r="Q40" s="43" t="str">
        <f aca="false">IF(OR(O40="",P40=""),"",IF(F40="Long",O40+Settings!$B$7*(O40-P40),O40-Settings!$B$7*(P40-O40)))</f>
        <v/>
      </c>
      <c r="R40" s="42"/>
      <c r="S40" s="40"/>
      <c r="T40" s="44" t="str">
        <f aca="false">IF(OR(R40="",O40="",P40="",O40=P40),"",ROUND(IF(F40="Long",(R40-O40)/(O40-P40),(O40-R40)/(P40-O40)),2))</f>
        <v/>
      </c>
      <c r="U40" s="38" t="str">
        <f aca="false">IF(T40="","",IF(T40&gt;=Settings!$B$20,"Win",IF(T40&lt;=-Settings!$B$20,"Loss","BE")))</f>
        <v/>
      </c>
      <c r="V40" s="45" t="str">
        <f aca="false">IF(B40="","",Settings!$B$6)</f>
        <v/>
      </c>
      <c r="W40" s="46" t="str">
        <f aca="false">IF(B40="","",(Settings!$B$5+SUM(X$4:X39))*V40)</f>
        <v/>
      </c>
      <c r="X40" s="46" t="str">
        <f aca="false">IF(T40="","",ROUND(T40*W40,2))</f>
        <v/>
      </c>
      <c r="Y40" s="46" t="str">
        <f aca="false">IF(T40="","",Settings!$B$5+SUM(X$5:X40))</f>
        <v/>
      </c>
      <c r="Z40" s="43" t="str">
        <f aca="false">IF(T40="","",SUM(T$5:T40))</f>
        <v/>
      </c>
      <c r="AA40" s="43" t="str">
        <f aca="false">IF(T40="","",MAX(0,MAX(Z$5:Z40)))</f>
        <v/>
      </c>
      <c r="AB40" s="43" t="str">
        <f aca="false">IF(T40="","",Z40-AA40)</f>
        <v/>
      </c>
      <c r="AC40" s="38" t="str">
        <f aca="false">IF(U40="","",IF(U40="Loss",N(AC39)+1,0))</f>
        <v/>
      </c>
      <c r="AD40" s="40"/>
      <c r="AE40" s="38" t="str">
        <f aca="false">IF(B40="","",IF(AND(M40="Yes",OR(AD40="None",AD40="")),"Yes","No"))</f>
        <v/>
      </c>
      <c r="AF40" s="40"/>
      <c r="AG40" s="40"/>
      <c r="AH40" s="47"/>
      <c r="AI40" s="47"/>
    </row>
    <row r="41" customFormat="false" ht="15" hidden="false" customHeight="false" outlineLevel="0" collapsed="false">
      <c r="A41" s="38" t="str">
        <f aca="false">IF(B41="","",ROW()-4)</f>
        <v/>
      </c>
      <c r="B41" s="39"/>
      <c r="C41" s="38" t="str">
        <f aca="false">IF(B41="","",INT((B41-Settings!$B$4)/7)+1)</f>
        <v/>
      </c>
      <c r="D41" s="40"/>
      <c r="E41" s="40"/>
      <c r="F41" s="40"/>
      <c r="G41" s="40"/>
      <c r="H41" s="40"/>
      <c r="I41" s="40"/>
      <c r="J41" s="40"/>
      <c r="K41" s="40"/>
      <c r="L41" s="40"/>
      <c r="M41" s="38" t="str">
        <f aca="false">IF(B41="","",IF(COUNTIF(H41:L41,"Y")=5,"Yes","No"))</f>
        <v/>
      </c>
      <c r="N41" s="41"/>
      <c r="O41" s="42"/>
      <c r="P41" s="42"/>
      <c r="Q41" s="43" t="str">
        <f aca="false">IF(OR(O41="",P41=""),"",IF(F41="Long",O41+Settings!$B$7*(O41-P41),O41-Settings!$B$7*(P41-O41)))</f>
        <v/>
      </c>
      <c r="R41" s="42"/>
      <c r="S41" s="40"/>
      <c r="T41" s="44" t="str">
        <f aca="false">IF(OR(R41="",O41="",P41="",O41=P41),"",ROUND(IF(F41="Long",(R41-O41)/(O41-P41),(O41-R41)/(P41-O41)),2))</f>
        <v/>
      </c>
      <c r="U41" s="38" t="str">
        <f aca="false">IF(T41="","",IF(T41&gt;=Settings!$B$20,"Win",IF(T41&lt;=-Settings!$B$20,"Loss","BE")))</f>
        <v/>
      </c>
      <c r="V41" s="45" t="str">
        <f aca="false">IF(B41="","",Settings!$B$6)</f>
        <v/>
      </c>
      <c r="W41" s="46" t="str">
        <f aca="false">IF(B41="","",(Settings!$B$5+SUM(X$4:X40))*V41)</f>
        <v/>
      </c>
      <c r="X41" s="46" t="str">
        <f aca="false">IF(T41="","",ROUND(T41*W41,2))</f>
        <v/>
      </c>
      <c r="Y41" s="46" t="str">
        <f aca="false">IF(T41="","",Settings!$B$5+SUM(X$5:X41))</f>
        <v/>
      </c>
      <c r="Z41" s="43" t="str">
        <f aca="false">IF(T41="","",SUM(T$5:T41))</f>
        <v/>
      </c>
      <c r="AA41" s="43" t="str">
        <f aca="false">IF(T41="","",MAX(0,MAX(Z$5:Z41)))</f>
        <v/>
      </c>
      <c r="AB41" s="43" t="str">
        <f aca="false">IF(T41="","",Z41-AA41)</f>
        <v/>
      </c>
      <c r="AC41" s="38" t="str">
        <f aca="false">IF(U41="","",IF(U41="Loss",N(AC40)+1,0))</f>
        <v/>
      </c>
      <c r="AD41" s="40"/>
      <c r="AE41" s="38" t="str">
        <f aca="false">IF(B41="","",IF(AND(M41="Yes",OR(AD41="None",AD41="")),"Yes","No"))</f>
        <v/>
      </c>
      <c r="AF41" s="40"/>
      <c r="AG41" s="40"/>
      <c r="AH41" s="47"/>
      <c r="AI41" s="47"/>
    </row>
    <row r="42" customFormat="false" ht="15" hidden="false" customHeight="false" outlineLevel="0" collapsed="false">
      <c r="A42" s="38" t="str">
        <f aca="false">IF(B42="","",ROW()-4)</f>
        <v/>
      </c>
      <c r="B42" s="39"/>
      <c r="C42" s="38" t="str">
        <f aca="false">IF(B42="","",INT((B42-Settings!$B$4)/7)+1)</f>
        <v/>
      </c>
      <c r="D42" s="40"/>
      <c r="E42" s="40"/>
      <c r="F42" s="40"/>
      <c r="G42" s="40"/>
      <c r="H42" s="40"/>
      <c r="I42" s="40"/>
      <c r="J42" s="40"/>
      <c r="K42" s="40"/>
      <c r="L42" s="40"/>
      <c r="M42" s="38" t="str">
        <f aca="false">IF(B42="","",IF(COUNTIF(H42:L42,"Y")=5,"Yes","No"))</f>
        <v/>
      </c>
      <c r="N42" s="41"/>
      <c r="O42" s="42"/>
      <c r="P42" s="42"/>
      <c r="Q42" s="43" t="str">
        <f aca="false">IF(OR(O42="",P42=""),"",IF(F42="Long",O42+Settings!$B$7*(O42-P42),O42-Settings!$B$7*(P42-O42)))</f>
        <v/>
      </c>
      <c r="R42" s="42"/>
      <c r="S42" s="40"/>
      <c r="T42" s="44" t="str">
        <f aca="false">IF(OR(R42="",O42="",P42="",O42=P42),"",ROUND(IF(F42="Long",(R42-O42)/(O42-P42),(O42-R42)/(P42-O42)),2))</f>
        <v/>
      </c>
      <c r="U42" s="38" t="str">
        <f aca="false">IF(T42="","",IF(T42&gt;=Settings!$B$20,"Win",IF(T42&lt;=-Settings!$B$20,"Loss","BE")))</f>
        <v/>
      </c>
      <c r="V42" s="45" t="str">
        <f aca="false">IF(B42="","",Settings!$B$6)</f>
        <v/>
      </c>
      <c r="W42" s="46" t="str">
        <f aca="false">IF(B42="","",(Settings!$B$5+SUM(X$4:X41))*V42)</f>
        <v/>
      </c>
      <c r="X42" s="46" t="str">
        <f aca="false">IF(T42="","",ROUND(T42*W42,2))</f>
        <v/>
      </c>
      <c r="Y42" s="46" t="str">
        <f aca="false">IF(T42="","",Settings!$B$5+SUM(X$5:X42))</f>
        <v/>
      </c>
      <c r="Z42" s="43" t="str">
        <f aca="false">IF(T42="","",SUM(T$5:T42))</f>
        <v/>
      </c>
      <c r="AA42" s="43" t="str">
        <f aca="false">IF(T42="","",MAX(0,MAX(Z$5:Z42)))</f>
        <v/>
      </c>
      <c r="AB42" s="43" t="str">
        <f aca="false">IF(T42="","",Z42-AA42)</f>
        <v/>
      </c>
      <c r="AC42" s="38" t="str">
        <f aca="false">IF(U42="","",IF(U42="Loss",N(AC41)+1,0))</f>
        <v/>
      </c>
      <c r="AD42" s="40"/>
      <c r="AE42" s="38" t="str">
        <f aca="false">IF(B42="","",IF(AND(M42="Yes",OR(AD42="None",AD42="")),"Yes","No"))</f>
        <v/>
      </c>
      <c r="AF42" s="40"/>
      <c r="AG42" s="40"/>
      <c r="AH42" s="47"/>
      <c r="AI42" s="47"/>
    </row>
    <row r="43" customFormat="false" ht="15" hidden="false" customHeight="false" outlineLevel="0" collapsed="false">
      <c r="A43" s="38" t="str">
        <f aca="false">IF(B43="","",ROW()-4)</f>
        <v/>
      </c>
      <c r="B43" s="39"/>
      <c r="C43" s="38" t="str">
        <f aca="false">IF(B43="","",INT((B43-Settings!$B$4)/7)+1)</f>
        <v/>
      </c>
      <c r="D43" s="40"/>
      <c r="E43" s="40"/>
      <c r="F43" s="40"/>
      <c r="G43" s="40"/>
      <c r="H43" s="40"/>
      <c r="I43" s="40"/>
      <c r="J43" s="40"/>
      <c r="K43" s="40"/>
      <c r="L43" s="40"/>
      <c r="M43" s="38" t="str">
        <f aca="false">IF(B43="","",IF(COUNTIF(H43:L43,"Y")=5,"Yes","No"))</f>
        <v/>
      </c>
      <c r="N43" s="41"/>
      <c r="O43" s="42"/>
      <c r="P43" s="42"/>
      <c r="Q43" s="43" t="str">
        <f aca="false">IF(OR(O43="",P43=""),"",IF(F43="Long",O43+Settings!$B$7*(O43-P43),O43-Settings!$B$7*(P43-O43)))</f>
        <v/>
      </c>
      <c r="R43" s="42"/>
      <c r="S43" s="40"/>
      <c r="T43" s="44" t="str">
        <f aca="false">IF(OR(R43="",O43="",P43="",O43=P43),"",ROUND(IF(F43="Long",(R43-O43)/(O43-P43),(O43-R43)/(P43-O43)),2))</f>
        <v/>
      </c>
      <c r="U43" s="38" t="str">
        <f aca="false">IF(T43="","",IF(T43&gt;=Settings!$B$20,"Win",IF(T43&lt;=-Settings!$B$20,"Loss","BE")))</f>
        <v/>
      </c>
      <c r="V43" s="45" t="str">
        <f aca="false">IF(B43="","",Settings!$B$6)</f>
        <v/>
      </c>
      <c r="W43" s="46" t="str">
        <f aca="false">IF(B43="","",(Settings!$B$5+SUM(X$4:X42))*V43)</f>
        <v/>
      </c>
      <c r="X43" s="46" t="str">
        <f aca="false">IF(T43="","",ROUND(T43*W43,2))</f>
        <v/>
      </c>
      <c r="Y43" s="46" t="str">
        <f aca="false">IF(T43="","",Settings!$B$5+SUM(X$5:X43))</f>
        <v/>
      </c>
      <c r="Z43" s="43" t="str">
        <f aca="false">IF(T43="","",SUM(T$5:T43))</f>
        <v/>
      </c>
      <c r="AA43" s="43" t="str">
        <f aca="false">IF(T43="","",MAX(0,MAX(Z$5:Z43)))</f>
        <v/>
      </c>
      <c r="AB43" s="43" t="str">
        <f aca="false">IF(T43="","",Z43-AA43)</f>
        <v/>
      </c>
      <c r="AC43" s="38" t="str">
        <f aca="false">IF(U43="","",IF(U43="Loss",N(AC42)+1,0))</f>
        <v/>
      </c>
      <c r="AD43" s="40"/>
      <c r="AE43" s="38" t="str">
        <f aca="false">IF(B43="","",IF(AND(M43="Yes",OR(AD43="None",AD43="")),"Yes","No"))</f>
        <v/>
      </c>
      <c r="AF43" s="40"/>
      <c r="AG43" s="40"/>
      <c r="AH43" s="47"/>
      <c r="AI43" s="47"/>
    </row>
    <row r="44" customFormat="false" ht="15" hidden="false" customHeight="false" outlineLevel="0" collapsed="false">
      <c r="A44" s="38" t="str">
        <f aca="false">IF(B44="","",ROW()-4)</f>
        <v/>
      </c>
      <c r="B44" s="39"/>
      <c r="C44" s="38" t="str">
        <f aca="false">IF(B44="","",INT((B44-Settings!$B$4)/7)+1)</f>
        <v/>
      </c>
      <c r="D44" s="40"/>
      <c r="E44" s="40"/>
      <c r="F44" s="40"/>
      <c r="G44" s="40"/>
      <c r="H44" s="40"/>
      <c r="I44" s="40"/>
      <c r="J44" s="40"/>
      <c r="K44" s="40"/>
      <c r="L44" s="40"/>
      <c r="M44" s="38" t="str">
        <f aca="false">IF(B44="","",IF(COUNTIF(H44:L44,"Y")=5,"Yes","No"))</f>
        <v/>
      </c>
      <c r="N44" s="41"/>
      <c r="O44" s="42"/>
      <c r="P44" s="42"/>
      <c r="Q44" s="43" t="str">
        <f aca="false">IF(OR(O44="",P44=""),"",IF(F44="Long",O44+Settings!$B$7*(O44-P44),O44-Settings!$B$7*(P44-O44)))</f>
        <v/>
      </c>
      <c r="R44" s="42"/>
      <c r="S44" s="40"/>
      <c r="T44" s="44" t="str">
        <f aca="false">IF(OR(R44="",O44="",P44="",O44=P44),"",ROUND(IF(F44="Long",(R44-O44)/(O44-P44),(O44-R44)/(P44-O44)),2))</f>
        <v/>
      </c>
      <c r="U44" s="38" t="str">
        <f aca="false">IF(T44="","",IF(T44&gt;=Settings!$B$20,"Win",IF(T44&lt;=-Settings!$B$20,"Loss","BE")))</f>
        <v/>
      </c>
      <c r="V44" s="45" t="str">
        <f aca="false">IF(B44="","",Settings!$B$6)</f>
        <v/>
      </c>
      <c r="W44" s="46" t="str">
        <f aca="false">IF(B44="","",(Settings!$B$5+SUM(X$4:X43))*V44)</f>
        <v/>
      </c>
      <c r="X44" s="46" t="str">
        <f aca="false">IF(T44="","",ROUND(T44*W44,2))</f>
        <v/>
      </c>
      <c r="Y44" s="46" t="str">
        <f aca="false">IF(T44="","",Settings!$B$5+SUM(X$5:X44))</f>
        <v/>
      </c>
      <c r="Z44" s="43" t="str">
        <f aca="false">IF(T44="","",SUM(T$5:T44))</f>
        <v/>
      </c>
      <c r="AA44" s="43" t="str">
        <f aca="false">IF(T44="","",MAX(0,MAX(Z$5:Z44)))</f>
        <v/>
      </c>
      <c r="AB44" s="43" t="str">
        <f aca="false">IF(T44="","",Z44-AA44)</f>
        <v/>
      </c>
      <c r="AC44" s="38" t="str">
        <f aca="false">IF(U44="","",IF(U44="Loss",N(AC43)+1,0))</f>
        <v/>
      </c>
      <c r="AD44" s="40"/>
      <c r="AE44" s="38" t="str">
        <f aca="false">IF(B44="","",IF(AND(M44="Yes",OR(AD44="None",AD44="")),"Yes","No"))</f>
        <v/>
      </c>
      <c r="AF44" s="40"/>
      <c r="AG44" s="40"/>
      <c r="AH44" s="47"/>
      <c r="AI44" s="47"/>
    </row>
    <row r="45" customFormat="false" ht="15" hidden="false" customHeight="false" outlineLevel="0" collapsed="false">
      <c r="A45" s="38" t="str">
        <f aca="false">IF(B45="","",ROW()-4)</f>
        <v/>
      </c>
      <c r="B45" s="39"/>
      <c r="C45" s="38" t="str">
        <f aca="false">IF(B45="","",INT((B45-Settings!$B$4)/7)+1)</f>
        <v/>
      </c>
      <c r="D45" s="40"/>
      <c r="E45" s="40"/>
      <c r="F45" s="40"/>
      <c r="G45" s="40"/>
      <c r="H45" s="40"/>
      <c r="I45" s="40"/>
      <c r="J45" s="40"/>
      <c r="K45" s="40"/>
      <c r="L45" s="40"/>
      <c r="M45" s="38" t="str">
        <f aca="false">IF(B45="","",IF(COUNTIF(H45:L45,"Y")=5,"Yes","No"))</f>
        <v/>
      </c>
      <c r="N45" s="41"/>
      <c r="O45" s="42"/>
      <c r="P45" s="42"/>
      <c r="Q45" s="43" t="str">
        <f aca="false">IF(OR(O45="",P45=""),"",IF(F45="Long",O45+Settings!$B$7*(O45-P45),O45-Settings!$B$7*(P45-O45)))</f>
        <v/>
      </c>
      <c r="R45" s="42"/>
      <c r="S45" s="40"/>
      <c r="T45" s="44" t="str">
        <f aca="false">IF(OR(R45="",O45="",P45="",O45=P45),"",ROUND(IF(F45="Long",(R45-O45)/(O45-P45),(O45-R45)/(P45-O45)),2))</f>
        <v/>
      </c>
      <c r="U45" s="38" t="str">
        <f aca="false">IF(T45="","",IF(T45&gt;=Settings!$B$20,"Win",IF(T45&lt;=-Settings!$B$20,"Loss","BE")))</f>
        <v/>
      </c>
      <c r="V45" s="45" t="str">
        <f aca="false">IF(B45="","",Settings!$B$6)</f>
        <v/>
      </c>
      <c r="W45" s="46" t="str">
        <f aca="false">IF(B45="","",(Settings!$B$5+SUM(X$4:X44))*V45)</f>
        <v/>
      </c>
      <c r="X45" s="46" t="str">
        <f aca="false">IF(T45="","",ROUND(T45*W45,2))</f>
        <v/>
      </c>
      <c r="Y45" s="46" t="str">
        <f aca="false">IF(T45="","",Settings!$B$5+SUM(X$5:X45))</f>
        <v/>
      </c>
      <c r="Z45" s="43" t="str">
        <f aca="false">IF(T45="","",SUM(T$5:T45))</f>
        <v/>
      </c>
      <c r="AA45" s="43" t="str">
        <f aca="false">IF(T45="","",MAX(0,MAX(Z$5:Z45)))</f>
        <v/>
      </c>
      <c r="AB45" s="43" t="str">
        <f aca="false">IF(T45="","",Z45-AA45)</f>
        <v/>
      </c>
      <c r="AC45" s="38" t="str">
        <f aca="false">IF(U45="","",IF(U45="Loss",N(AC44)+1,0))</f>
        <v/>
      </c>
      <c r="AD45" s="40"/>
      <c r="AE45" s="38" t="str">
        <f aca="false">IF(B45="","",IF(AND(M45="Yes",OR(AD45="None",AD45="")),"Yes","No"))</f>
        <v/>
      </c>
      <c r="AF45" s="40"/>
      <c r="AG45" s="40"/>
      <c r="AH45" s="47"/>
      <c r="AI45" s="47"/>
    </row>
    <row r="46" customFormat="false" ht="15" hidden="false" customHeight="false" outlineLevel="0" collapsed="false">
      <c r="A46" s="38" t="str">
        <f aca="false">IF(B46="","",ROW()-4)</f>
        <v/>
      </c>
      <c r="B46" s="39"/>
      <c r="C46" s="38" t="str">
        <f aca="false">IF(B46="","",INT((B46-Settings!$B$4)/7)+1)</f>
        <v/>
      </c>
      <c r="D46" s="40"/>
      <c r="E46" s="40"/>
      <c r="F46" s="40"/>
      <c r="G46" s="40"/>
      <c r="H46" s="40"/>
      <c r="I46" s="40"/>
      <c r="J46" s="40"/>
      <c r="K46" s="40"/>
      <c r="L46" s="40"/>
      <c r="M46" s="38" t="str">
        <f aca="false">IF(B46="","",IF(COUNTIF(H46:L46,"Y")=5,"Yes","No"))</f>
        <v/>
      </c>
      <c r="N46" s="41"/>
      <c r="O46" s="42"/>
      <c r="P46" s="42"/>
      <c r="Q46" s="43" t="str">
        <f aca="false">IF(OR(O46="",P46=""),"",IF(F46="Long",O46+Settings!$B$7*(O46-P46),O46-Settings!$B$7*(P46-O46)))</f>
        <v/>
      </c>
      <c r="R46" s="42"/>
      <c r="S46" s="40"/>
      <c r="T46" s="44" t="str">
        <f aca="false">IF(OR(R46="",O46="",P46="",O46=P46),"",ROUND(IF(F46="Long",(R46-O46)/(O46-P46),(O46-R46)/(P46-O46)),2))</f>
        <v/>
      </c>
      <c r="U46" s="38" t="str">
        <f aca="false">IF(T46="","",IF(T46&gt;=Settings!$B$20,"Win",IF(T46&lt;=-Settings!$B$20,"Loss","BE")))</f>
        <v/>
      </c>
      <c r="V46" s="45" t="str">
        <f aca="false">IF(B46="","",Settings!$B$6)</f>
        <v/>
      </c>
      <c r="W46" s="46" t="str">
        <f aca="false">IF(B46="","",(Settings!$B$5+SUM(X$4:X45))*V46)</f>
        <v/>
      </c>
      <c r="X46" s="46" t="str">
        <f aca="false">IF(T46="","",ROUND(T46*W46,2))</f>
        <v/>
      </c>
      <c r="Y46" s="46" t="str">
        <f aca="false">IF(T46="","",Settings!$B$5+SUM(X$5:X46))</f>
        <v/>
      </c>
      <c r="Z46" s="43" t="str">
        <f aca="false">IF(T46="","",SUM(T$5:T46))</f>
        <v/>
      </c>
      <c r="AA46" s="43" t="str">
        <f aca="false">IF(T46="","",MAX(0,MAX(Z$5:Z46)))</f>
        <v/>
      </c>
      <c r="AB46" s="43" t="str">
        <f aca="false">IF(T46="","",Z46-AA46)</f>
        <v/>
      </c>
      <c r="AC46" s="38" t="str">
        <f aca="false">IF(U46="","",IF(U46="Loss",N(AC45)+1,0))</f>
        <v/>
      </c>
      <c r="AD46" s="40"/>
      <c r="AE46" s="38" t="str">
        <f aca="false">IF(B46="","",IF(AND(M46="Yes",OR(AD46="None",AD46="")),"Yes","No"))</f>
        <v/>
      </c>
      <c r="AF46" s="40"/>
      <c r="AG46" s="40"/>
      <c r="AH46" s="47"/>
      <c r="AI46" s="47"/>
    </row>
    <row r="47" customFormat="false" ht="15" hidden="false" customHeight="false" outlineLevel="0" collapsed="false">
      <c r="A47" s="38" t="str">
        <f aca="false">IF(B47="","",ROW()-4)</f>
        <v/>
      </c>
      <c r="B47" s="39"/>
      <c r="C47" s="38" t="str">
        <f aca="false">IF(B47="","",INT((B47-Settings!$B$4)/7)+1)</f>
        <v/>
      </c>
      <c r="D47" s="40"/>
      <c r="E47" s="40"/>
      <c r="F47" s="40"/>
      <c r="G47" s="40"/>
      <c r="H47" s="40"/>
      <c r="I47" s="40"/>
      <c r="J47" s="40"/>
      <c r="K47" s="40"/>
      <c r="L47" s="40"/>
      <c r="M47" s="38" t="str">
        <f aca="false">IF(B47="","",IF(COUNTIF(H47:L47,"Y")=5,"Yes","No"))</f>
        <v/>
      </c>
      <c r="N47" s="41"/>
      <c r="O47" s="42"/>
      <c r="P47" s="42"/>
      <c r="Q47" s="43" t="str">
        <f aca="false">IF(OR(O47="",P47=""),"",IF(F47="Long",O47+Settings!$B$7*(O47-P47),O47-Settings!$B$7*(P47-O47)))</f>
        <v/>
      </c>
      <c r="R47" s="42"/>
      <c r="S47" s="40"/>
      <c r="T47" s="44" t="str">
        <f aca="false">IF(OR(R47="",O47="",P47="",O47=P47),"",ROUND(IF(F47="Long",(R47-O47)/(O47-P47),(O47-R47)/(P47-O47)),2))</f>
        <v/>
      </c>
      <c r="U47" s="38" t="str">
        <f aca="false">IF(T47="","",IF(T47&gt;=Settings!$B$20,"Win",IF(T47&lt;=-Settings!$B$20,"Loss","BE")))</f>
        <v/>
      </c>
      <c r="V47" s="45" t="str">
        <f aca="false">IF(B47="","",Settings!$B$6)</f>
        <v/>
      </c>
      <c r="W47" s="46" t="str">
        <f aca="false">IF(B47="","",(Settings!$B$5+SUM(X$4:X46))*V47)</f>
        <v/>
      </c>
      <c r="X47" s="46" t="str">
        <f aca="false">IF(T47="","",ROUND(T47*W47,2))</f>
        <v/>
      </c>
      <c r="Y47" s="46" t="str">
        <f aca="false">IF(T47="","",Settings!$B$5+SUM(X$5:X47))</f>
        <v/>
      </c>
      <c r="Z47" s="43" t="str">
        <f aca="false">IF(T47="","",SUM(T$5:T47))</f>
        <v/>
      </c>
      <c r="AA47" s="43" t="str">
        <f aca="false">IF(T47="","",MAX(0,MAX(Z$5:Z47)))</f>
        <v/>
      </c>
      <c r="AB47" s="43" t="str">
        <f aca="false">IF(T47="","",Z47-AA47)</f>
        <v/>
      </c>
      <c r="AC47" s="38" t="str">
        <f aca="false">IF(U47="","",IF(U47="Loss",N(AC46)+1,0))</f>
        <v/>
      </c>
      <c r="AD47" s="40"/>
      <c r="AE47" s="38" t="str">
        <f aca="false">IF(B47="","",IF(AND(M47="Yes",OR(AD47="None",AD47="")),"Yes","No"))</f>
        <v/>
      </c>
      <c r="AF47" s="40"/>
      <c r="AG47" s="40"/>
      <c r="AH47" s="47"/>
      <c r="AI47" s="47"/>
    </row>
    <row r="48" customFormat="false" ht="15" hidden="false" customHeight="false" outlineLevel="0" collapsed="false">
      <c r="A48" s="38" t="str">
        <f aca="false">IF(B48="","",ROW()-4)</f>
        <v/>
      </c>
      <c r="B48" s="39"/>
      <c r="C48" s="38" t="str">
        <f aca="false">IF(B48="","",INT((B48-Settings!$B$4)/7)+1)</f>
        <v/>
      </c>
      <c r="D48" s="40"/>
      <c r="E48" s="40"/>
      <c r="F48" s="40"/>
      <c r="G48" s="40"/>
      <c r="H48" s="40"/>
      <c r="I48" s="40"/>
      <c r="J48" s="40"/>
      <c r="K48" s="40"/>
      <c r="L48" s="40"/>
      <c r="M48" s="38" t="str">
        <f aca="false">IF(B48="","",IF(COUNTIF(H48:L48,"Y")=5,"Yes","No"))</f>
        <v/>
      </c>
      <c r="N48" s="41"/>
      <c r="O48" s="42"/>
      <c r="P48" s="42"/>
      <c r="Q48" s="43" t="str">
        <f aca="false">IF(OR(O48="",P48=""),"",IF(F48="Long",O48+Settings!$B$7*(O48-P48),O48-Settings!$B$7*(P48-O48)))</f>
        <v/>
      </c>
      <c r="R48" s="42"/>
      <c r="S48" s="40"/>
      <c r="T48" s="44" t="str">
        <f aca="false">IF(OR(R48="",O48="",P48="",O48=P48),"",ROUND(IF(F48="Long",(R48-O48)/(O48-P48),(O48-R48)/(P48-O48)),2))</f>
        <v/>
      </c>
      <c r="U48" s="38" t="str">
        <f aca="false">IF(T48="","",IF(T48&gt;=Settings!$B$20,"Win",IF(T48&lt;=-Settings!$B$20,"Loss","BE")))</f>
        <v/>
      </c>
      <c r="V48" s="45" t="str">
        <f aca="false">IF(B48="","",Settings!$B$6)</f>
        <v/>
      </c>
      <c r="W48" s="46" t="str">
        <f aca="false">IF(B48="","",(Settings!$B$5+SUM(X$4:X47))*V48)</f>
        <v/>
      </c>
      <c r="X48" s="46" t="str">
        <f aca="false">IF(T48="","",ROUND(T48*W48,2))</f>
        <v/>
      </c>
      <c r="Y48" s="46" t="str">
        <f aca="false">IF(T48="","",Settings!$B$5+SUM(X$5:X48))</f>
        <v/>
      </c>
      <c r="Z48" s="43" t="str">
        <f aca="false">IF(T48="","",SUM(T$5:T48))</f>
        <v/>
      </c>
      <c r="AA48" s="43" t="str">
        <f aca="false">IF(T48="","",MAX(0,MAX(Z$5:Z48)))</f>
        <v/>
      </c>
      <c r="AB48" s="43" t="str">
        <f aca="false">IF(T48="","",Z48-AA48)</f>
        <v/>
      </c>
      <c r="AC48" s="38" t="str">
        <f aca="false">IF(U48="","",IF(U48="Loss",N(AC47)+1,0))</f>
        <v/>
      </c>
      <c r="AD48" s="40"/>
      <c r="AE48" s="38" t="str">
        <f aca="false">IF(B48="","",IF(AND(M48="Yes",OR(AD48="None",AD48="")),"Yes","No"))</f>
        <v/>
      </c>
      <c r="AF48" s="40"/>
      <c r="AG48" s="40"/>
      <c r="AH48" s="47"/>
      <c r="AI48" s="47"/>
    </row>
    <row r="49" customFormat="false" ht="15" hidden="false" customHeight="false" outlineLevel="0" collapsed="false">
      <c r="A49" s="38" t="str">
        <f aca="false">IF(B49="","",ROW()-4)</f>
        <v/>
      </c>
      <c r="B49" s="39"/>
      <c r="C49" s="38" t="str">
        <f aca="false">IF(B49="","",INT((B49-Settings!$B$4)/7)+1)</f>
        <v/>
      </c>
      <c r="D49" s="40"/>
      <c r="E49" s="40"/>
      <c r="F49" s="40"/>
      <c r="G49" s="40"/>
      <c r="H49" s="40"/>
      <c r="I49" s="40"/>
      <c r="J49" s="40"/>
      <c r="K49" s="40"/>
      <c r="L49" s="40"/>
      <c r="M49" s="38" t="str">
        <f aca="false">IF(B49="","",IF(COUNTIF(H49:L49,"Y")=5,"Yes","No"))</f>
        <v/>
      </c>
      <c r="N49" s="41"/>
      <c r="O49" s="42"/>
      <c r="P49" s="42"/>
      <c r="Q49" s="43" t="str">
        <f aca="false">IF(OR(O49="",P49=""),"",IF(F49="Long",O49+Settings!$B$7*(O49-P49),O49-Settings!$B$7*(P49-O49)))</f>
        <v/>
      </c>
      <c r="R49" s="42"/>
      <c r="S49" s="40"/>
      <c r="T49" s="44" t="str">
        <f aca="false">IF(OR(R49="",O49="",P49="",O49=P49),"",ROUND(IF(F49="Long",(R49-O49)/(O49-P49),(O49-R49)/(P49-O49)),2))</f>
        <v/>
      </c>
      <c r="U49" s="38" t="str">
        <f aca="false">IF(T49="","",IF(T49&gt;=Settings!$B$20,"Win",IF(T49&lt;=-Settings!$B$20,"Loss","BE")))</f>
        <v/>
      </c>
      <c r="V49" s="45" t="str">
        <f aca="false">IF(B49="","",Settings!$B$6)</f>
        <v/>
      </c>
      <c r="W49" s="46" t="str">
        <f aca="false">IF(B49="","",(Settings!$B$5+SUM(X$4:X48))*V49)</f>
        <v/>
      </c>
      <c r="X49" s="46" t="str">
        <f aca="false">IF(T49="","",ROUND(T49*W49,2))</f>
        <v/>
      </c>
      <c r="Y49" s="46" t="str">
        <f aca="false">IF(T49="","",Settings!$B$5+SUM(X$5:X49))</f>
        <v/>
      </c>
      <c r="Z49" s="43" t="str">
        <f aca="false">IF(T49="","",SUM(T$5:T49))</f>
        <v/>
      </c>
      <c r="AA49" s="43" t="str">
        <f aca="false">IF(T49="","",MAX(0,MAX(Z$5:Z49)))</f>
        <v/>
      </c>
      <c r="AB49" s="43" t="str">
        <f aca="false">IF(T49="","",Z49-AA49)</f>
        <v/>
      </c>
      <c r="AC49" s="38" t="str">
        <f aca="false">IF(U49="","",IF(U49="Loss",N(AC48)+1,0))</f>
        <v/>
      </c>
      <c r="AD49" s="40"/>
      <c r="AE49" s="38" t="str">
        <f aca="false">IF(B49="","",IF(AND(M49="Yes",OR(AD49="None",AD49="")),"Yes","No"))</f>
        <v/>
      </c>
      <c r="AF49" s="40"/>
      <c r="AG49" s="40"/>
      <c r="AH49" s="47"/>
      <c r="AI49" s="47"/>
    </row>
    <row r="50" customFormat="false" ht="15" hidden="false" customHeight="false" outlineLevel="0" collapsed="false">
      <c r="A50" s="38" t="str">
        <f aca="false">IF(B50="","",ROW()-4)</f>
        <v/>
      </c>
      <c r="B50" s="39"/>
      <c r="C50" s="38" t="str">
        <f aca="false">IF(B50="","",INT((B50-Settings!$B$4)/7)+1)</f>
        <v/>
      </c>
      <c r="D50" s="40"/>
      <c r="E50" s="40"/>
      <c r="F50" s="40"/>
      <c r="G50" s="40"/>
      <c r="H50" s="40"/>
      <c r="I50" s="40"/>
      <c r="J50" s="40"/>
      <c r="K50" s="40"/>
      <c r="L50" s="40"/>
      <c r="M50" s="38" t="str">
        <f aca="false">IF(B50="","",IF(COUNTIF(H50:L50,"Y")=5,"Yes","No"))</f>
        <v/>
      </c>
      <c r="N50" s="41"/>
      <c r="O50" s="42"/>
      <c r="P50" s="42"/>
      <c r="Q50" s="43" t="str">
        <f aca="false">IF(OR(O50="",P50=""),"",IF(F50="Long",O50+Settings!$B$7*(O50-P50),O50-Settings!$B$7*(P50-O50)))</f>
        <v/>
      </c>
      <c r="R50" s="42"/>
      <c r="S50" s="40"/>
      <c r="T50" s="44" t="str">
        <f aca="false">IF(OR(R50="",O50="",P50="",O50=P50),"",ROUND(IF(F50="Long",(R50-O50)/(O50-P50),(O50-R50)/(P50-O50)),2))</f>
        <v/>
      </c>
      <c r="U50" s="38" t="str">
        <f aca="false">IF(T50="","",IF(T50&gt;=Settings!$B$20,"Win",IF(T50&lt;=-Settings!$B$20,"Loss","BE")))</f>
        <v/>
      </c>
      <c r="V50" s="45" t="str">
        <f aca="false">IF(B50="","",Settings!$B$6)</f>
        <v/>
      </c>
      <c r="W50" s="46" t="str">
        <f aca="false">IF(B50="","",(Settings!$B$5+SUM(X$4:X49))*V50)</f>
        <v/>
      </c>
      <c r="X50" s="46" t="str">
        <f aca="false">IF(T50="","",ROUND(T50*W50,2))</f>
        <v/>
      </c>
      <c r="Y50" s="46" t="str">
        <f aca="false">IF(T50="","",Settings!$B$5+SUM(X$5:X50))</f>
        <v/>
      </c>
      <c r="Z50" s="43" t="str">
        <f aca="false">IF(T50="","",SUM(T$5:T50))</f>
        <v/>
      </c>
      <c r="AA50" s="43" t="str">
        <f aca="false">IF(T50="","",MAX(0,MAX(Z$5:Z50)))</f>
        <v/>
      </c>
      <c r="AB50" s="43" t="str">
        <f aca="false">IF(T50="","",Z50-AA50)</f>
        <v/>
      </c>
      <c r="AC50" s="38" t="str">
        <f aca="false">IF(U50="","",IF(U50="Loss",N(AC49)+1,0))</f>
        <v/>
      </c>
      <c r="AD50" s="40"/>
      <c r="AE50" s="38" t="str">
        <f aca="false">IF(B50="","",IF(AND(M50="Yes",OR(AD50="None",AD50="")),"Yes","No"))</f>
        <v/>
      </c>
      <c r="AF50" s="40"/>
      <c r="AG50" s="40"/>
      <c r="AH50" s="47"/>
      <c r="AI50" s="47"/>
    </row>
    <row r="51" customFormat="false" ht="15" hidden="false" customHeight="false" outlineLevel="0" collapsed="false">
      <c r="A51" s="38" t="str">
        <f aca="false">IF(B51="","",ROW()-4)</f>
        <v/>
      </c>
      <c r="B51" s="39"/>
      <c r="C51" s="38" t="str">
        <f aca="false">IF(B51="","",INT((B51-Settings!$B$4)/7)+1)</f>
        <v/>
      </c>
      <c r="D51" s="40"/>
      <c r="E51" s="40"/>
      <c r="F51" s="40"/>
      <c r="G51" s="40"/>
      <c r="H51" s="40"/>
      <c r="I51" s="40"/>
      <c r="J51" s="40"/>
      <c r="K51" s="40"/>
      <c r="L51" s="40"/>
      <c r="M51" s="38" t="str">
        <f aca="false">IF(B51="","",IF(COUNTIF(H51:L51,"Y")=5,"Yes","No"))</f>
        <v/>
      </c>
      <c r="N51" s="41"/>
      <c r="O51" s="42"/>
      <c r="P51" s="42"/>
      <c r="Q51" s="43" t="str">
        <f aca="false">IF(OR(O51="",P51=""),"",IF(F51="Long",O51+Settings!$B$7*(O51-P51),O51-Settings!$B$7*(P51-O51)))</f>
        <v/>
      </c>
      <c r="R51" s="42"/>
      <c r="S51" s="40"/>
      <c r="T51" s="44" t="str">
        <f aca="false">IF(OR(R51="",O51="",P51="",O51=P51),"",ROUND(IF(F51="Long",(R51-O51)/(O51-P51),(O51-R51)/(P51-O51)),2))</f>
        <v/>
      </c>
      <c r="U51" s="38" t="str">
        <f aca="false">IF(T51="","",IF(T51&gt;=Settings!$B$20,"Win",IF(T51&lt;=-Settings!$B$20,"Loss","BE")))</f>
        <v/>
      </c>
      <c r="V51" s="45" t="str">
        <f aca="false">IF(B51="","",Settings!$B$6)</f>
        <v/>
      </c>
      <c r="W51" s="46" t="str">
        <f aca="false">IF(B51="","",(Settings!$B$5+SUM(X$4:X50))*V51)</f>
        <v/>
      </c>
      <c r="X51" s="46" t="str">
        <f aca="false">IF(T51="","",ROUND(T51*W51,2))</f>
        <v/>
      </c>
      <c r="Y51" s="46" t="str">
        <f aca="false">IF(T51="","",Settings!$B$5+SUM(X$5:X51))</f>
        <v/>
      </c>
      <c r="Z51" s="43" t="str">
        <f aca="false">IF(T51="","",SUM(T$5:T51))</f>
        <v/>
      </c>
      <c r="AA51" s="43" t="str">
        <f aca="false">IF(T51="","",MAX(0,MAX(Z$5:Z51)))</f>
        <v/>
      </c>
      <c r="AB51" s="43" t="str">
        <f aca="false">IF(T51="","",Z51-AA51)</f>
        <v/>
      </c>
      <c r="AC51" s="38" t="str">
        <f aca="false">IF(U51="","",IF(U51="Loss",N(AC50)+1,0))</f>
        <v/>
      </c>
      <c r="AD51" s="40"/>
      <c r="AE51" s="38" t="str">
        <f aca="false">IF(B51="","",IF(AND(M51="Yes",OR(AD51="None",AD51="")),"Yes","No"))</f>
        <v/>
      </c>
      <c r="AF51" s="40"/>
      <c r="AG51" s="40"/>
      <c r="AH51" s="47"/>
      <c r="AI51" s="47"/>
    </row>
    <row r="52" customFormat="false" ht="15" hidden="false" customHeight="false" outlineLevel="0" collapsed="false">
      <c r="A52" s="38" t="str">
        <f aca="false">IF(B52="","",ROW()-4)</f>
        <v/>
      </c>
      <c r="B52" s="39"/>
      <c r="C52" s="38" t="str">
        <f aca="false">IF(B52="","",INT((B52-Settings!$B$4)/7)+1)</f>
        <v/>
      </c>
      <c r="D52" s="40"/>
      <c r="E52" s="40"/>
      <c r="F52" s="40"/>
      <c r="G52" s="40"/>
      <c r="H52" s="40"/>
      <c r="I52" s="40"/>
      <c r="J52" s="40"/>
      <c r="K52" s="40"/>
      <c r="L52" s="40"/>
      <c r="M52" s="38" t="str">
        <f aca="false">IF(B52="","",IF(COUNTIF(H52:L52,"Y")=5,"Yes","No"))</f>
        <v/>
      </c>
      <c r="N52" s="41"/>
      <c r="O52" s="42"/>
      <c r="P52" s="42"/>
      <c r="Q52" s="43" t="str">
        <f aca="false">IF(OR(O52="",P52=""),"",IF(F52="Long",O52+Settings!$B$7*(O52-P52),O52-Settings!$B$7*(P52-O52)))</f>
        <v/>
      </c>
      <c r="R52" s="42"/>
      <c r="S52" s="40"/>
      <c r="T52" s="44" t="str">
        <f aca="false">IF(OR(R52="",O52="",P52="",O52=P52),"",ROUND(IF(F52="Long",(R52-O52)/(O52-P52),(O52-R52)/(P52-O52)),2))</f>
        <v/>
      </c>
      <c r="U52" s="38" t="str">
        <f aca="false">IF(T52="","",IF(T52&gt;=Settings!$B$20,"Win",IF(T52&lt;=-Settings!$B$20,"Loss","BE")))</f>
        <v/>
      </c>
      <c r="V52" s="45" t="str">
        <f aca="false">IF(B52="","",Settings!$B$6)</f>
        <v/>
      </c>
      <c r="W52" s="46" t="str">
        <f aca="false">IF(B52="","",(Settings!$B$5+SUM(X$4:X51))*V52)</f>
        <v/>
      </c>
      <c r="X52" s="46" t="str">
        <f aca="false">IF(T52="","",ROUND(T52*W52,2))</f>
        <v/>
      </c>
      <c r="Y52" s="46" t="str">
        <f aca="false">IF(T52="","",Settings!$B$5+SUM(X$5:X52))</f>
        <v/>
      </c>
      <c r="Z52" s="43" t="str">
        <f aca="false">IF(T52="","",SUM(T$5:T52))</f>
        <v/>
      </c>
      <c r="AA52" s="43" t="str">
        <f aca="false">IF(T52="","",MAX(0,MAX(Z$5:Z52)))</f>
        <v/>
      </c>
      <c r="AB52" s="43" t="str">
        <f aca="false">IF(T52="","",Z52-AA52)</f>
        <v/>
      </c>
      <c r="AC52" s="38" t="str">
        <f aca="false">IF(U52="","",IF(U52="Loss",N(AC51)+1,0))</f>
        <v/>
      </c>
      <c r="AD52" s="40"/>
      <c r="AE52" s="38" t="str">
        <f aca="false">IF(B52="","",IF(AND(M52="Yes",OR(AD52="None",AD52="")),"Yes","No"))</f>
        <v/>
      </c>
      <c r="AF52" s="40"/>
      <c r="AG52" s="40"/>
      <c r="AH52" s="47"/>
      <c r="AI52" s="47"/>
    </row>
    <row r="53" customFormat="false" ht="15" hidden="false" customHeight="false" outlineLevel="0" collapsed="false">
      <c r="A53" s="38" t="str">
        <f aca="false">IF(B53="","",ROW()-4)</f>
        <v/>
      </c>
      <c r="B53" s="39"/>
      <c r="C53" s="38" t="str">
        <f aca="false">IF(B53="","",INT((B53-Settings!$B$4)/7)+1)</f>
        <v/>
      </c>
      <c r="D53" s="40"/>
      <c r="E53" s="40"/>
      <c r="F53" s="40"/>
      <c r="G53" s="40"/>
      <c r="H53" s="40"/>
      <c r="I53" s="40"/>
      <c r="J53" s="40"/>
      <c r="K53" s="40"/>
      <c r="L53" s="40"/>
      <c r="M53" s="38" t="str">
        <f aca="false">IF(B53="","",IF(COUNTIF(H53:L53,"Y")=5,"Yes","No"))</f>
        <v/>
      </c>
      <c r="N53" s="41"/>
      <c r="O53" s="42"/>
      <c r="P53" s="42"/>
      <c r="Q53" s="43" t="str">
        <f aca="false">IF(OR(O53="",P53=""),"",IF(F53="Long",O53+Settings!$B$7*(O53-P53),O53-Settings!$B$7*(P53-O53)))</f>
        <v/>
      </c>
      <c r="R53" s="42"/>
      <c r="S53" s="40"/>
      <c r="T53" s="44" t="str">
        <f aca="false">IF(OR(R53="",O53="",P53="",O53=P53),"",ROUND(IF(F53="Long",(R53-O53)/(O53-P53),(O53-R53)/(P53-O53)),2))</f>
        <v/>
      </c>
      <c r="U53" s="38" t="str">
        <f aca="false">IF(T53="","",IF(T53&gt;=Settings!$B$20,"Win",IF(T53&lt;=-Settings!$B$20,"Loss","BE")))</f>
        <v/>
      </c>
      <c r="V53" s="45" t="str">
        <f aca="false">IF(B53="","",Settings!$B$6)</f>
        <v/>
      </c>
      <c r="W53" s="46" t="str">
        <f aca="false">IF(B53="","",(Settings!$B$5+SUM(X$4:X52))*V53)</f>
        <v/>
      </c>
      <c r="X53" s="46" t="str">
        <f aca="false">IF(T53="","",ROUND(T53*W53,2))</f>
        <v/>
      </c>
      <c r="Y53" s="46" t="str">
        <f aca="false">IF(T53="","",Settings!$B$5+SUM(X$5:X53))</f>
        <v/>
      </c>
      <c r="Z53" s="43" t="str">
        <f aca="false">IF(T53="","",SUM(T$5:T53))</f>
        <v/>
      </c>
      <c r="AA53" s="43" t="str">
        <f aca="false">IF(T53="","",MAX(0,MAX(Z$5:Z53)))</f>
        <v/>
      </c>
      <c r="AB53" s="43" t="str">
        <f aca="false">IF(T53="","",Z53-AA53)</f>
        <v/>
      </c>
      <c r="AC53" s="38" t="str">
        <f aca="false">IF(U53="","",IF(U53="Loss",N(AC52)+1,0))</f>
        <v/>
      </c>
      <c r="AD53" s="40"/>
      <c r="AE53" s="38" t="str">
        <f aca="false">IF(B53="","",IF(AND(M53="Yes",OR(AD53="None",AD53="")),"Yes","No"))</f>
        <v/>
      </c>
      <c r="AF53" s="40"/>
      <c r="AG53" s="40"/>
      <c r="AH53" s="47"/>
      <c r="AI53" s="47"/>
    </row>
    <row r="54" customFormat="false" ht="15" hidden="false" customHeight="false" outlineLevel="0" collapsed="false">
      <c r="A54" s="38" t="str">
        <f aca="false">IF(B54="","",ROW()-4)</f>
        <v/>
      </c>
      <c r="B54" s="39"/>
      <c r="C54" s="38" t="str">
        <f aca="false">IF(B54="","",INT((B54-Settings!$B$4)/7)+1)</f>
        <v/>
      </c>
      <c r="D54" s="40"/>
      <c r="E54" s="40"/>
      <c r="F54" s="40"/>
      <c r="G54" s="40"/>
      <c r="H54" s="40"/>
      <c r="I54" s="40"/>
      <c r="J54" s="40"/>
      <c r="K54" s="40"/>
      <c r="L54" s="40"/>
      <c r="M54" s="38" t="str">
        <f aca="false">IF(B54="","",IF(COUNTIF(H54:L54,"Y")=5,"Yes","No"))</f>
        <v/>
      </c>
      <c r="N54" s="41"/>
      <c r="O54" s="42"/>
      <c r="P54" s="42"/>
      <c r="Q54" s="43" t="str">
        <f aca="false">IF(OR(O54="",P54=""),"",IF(F54="Long",O54+Settings!$B$7*(O54-P54),O54-Settings!$B$7*(P54-O54)))</f>
        <v/>
      </c>
      <c r="R54" s="42"/>
      <c r="S54" s="40"/>
      <c r="T54" s="44" t="str">
        <f aca="false">IF(OR(R54="",O54="",P54="",O54=P54),"",ROUND(IF(F54="Long",(R54-O54)/(O54-P54),(O54-R54)/(P54-O54)),2))</f>
        <v/>
      </c>
      <c r="U54" s="38" t="str">
        <f aca="false">IF(T54="","",IF(T54&gt;=Settings!$B$20,"Win",IF(T54&lt;=-Settings!$B$20,"Loss","BE")))</f>
        <v/>
      </c>
      <c r="V54" s="45" t="str">
        <f aca="false">IF(B54="","",Settings!$B$6)</f>
        <v/>
      </c>
      <c r="W54" s="46" t="str">
        <f aca="false">IF(B54="","",(Settings!$B$5+SUM(X$4:X53))*V54)</f>
        <v/>
      </c>
      <c r="X54" s="46" t="str">
        <f aca="false">IF(T54="","",ROUND(T54*W54,2))</f>
        <v/>
      </c>
      <c r="Y54" s="46" t="str">
        <f aca="false">IF(T54="","",Settings!$B$5+SUM(X$5:X54))</f>
        <v/>
      </c>
      <c r="Z54" s="43" t="str">
        <f aca="false">IF(T54="","",SUM(T$5:T54))</f>
        <v/>
      </c>
      <c r="AA54" s="43" t="str">
        <f aca="false">IF(T54="","",MAX(0,MAX(Z$5:Z54)))</f>
        <v/>
      </c>
      <c r="AB54" s="43" t="str">
        <f aca="false">IF(T54="","",Z54-AA54)</f>
        <v/>
      </c>
      <c r="AC54" s="38" t="str">
        <f aca="false">IF(U54="","",IF(U54="Loss",N(AC53)+1,0))</f>
        <v/>
      </c>
      <c r="AD54" s="40"/>
      <c r="AE54" s="38" t="str">
        <f aca="false">IF(B54="","",IF(AND(M54="Yes",OR(AD54="None",AD54="")),"Yes","No"))</f>
        <v/>
      </c>
      <c r="AF54" s="40"/>
      <c r="AG54" s="40"/>
      <c r="AH54" s="47"/>
      <c r="AI54" s="47"/>
    </row>
    <row r="55" customFormat="false" ht="15" hidden="false" customHeight="false" outlineLevel="0" collapsed="false">
      <c r="A55" s="38" t="str">
        <f aca="false">IF(B55="","",ROW()-4)</f>
        <v/>
      </c>
      <c r="B55" s="39"/>
      <c r="C55" s="38" t="str">
        <f aca="false">IF(B55="","",INT((B55-Settings!$B$4)/7)+1)</f>
        <v/>
      </c>
      <c r="D55" s="40"/>
      <c r="E55" s="40"/>
      <c r="F55" s="40"/>
      <c r="G55" s="40"/>
      <c r="H55" s="40"/>
      <c r="I55" s="40"/>
      <c r="J55" s="40"/>
      <c r="K55" s="40"/>
      <c r="L55" s="40"/>
      <c r="M55" s="38" t="str">
        <f aca="false">IF(B55="","",IF(COUNTIF(H55:L55,"Y")=5,"Yes","No"))</f>
        <v/>
      </c>
      <c r="N55" s="41"/>
      <c r="O55" s="42"/>
      <c r="P55" s="42"/>
      <c r="Q55" s="43" t="str">
        <f aca="false">IF(OR(O55="",P55=""),"",IF(F55="Long",O55+Settings!$B$7*(O55-P55),O55-Settings!$B$7*(P55-O55)))</f>
        <v/>
      </c>
      <c r="R55" s="42"/>
      <c r="S55" s="40"/>
      <c r="T55" s="44" t="str">
        <f aca="false">IF(OR(R55="",O55="",P55="",O55=P55),"",ROUND(IF(F55="Long",(R55-O55)/(O55-P55),(O55-R55)/(P55-O55)),2))</f>
        <v/>
      </c>
      <c r="U55" s="38" t="str">
        <f aca="false">IF(T55="","",IF(T55&gt;=Settings!$B$20,"Win",IF(T55&lt;=-Settings!$B$20,"Loss","BE")))</f>
        <v/>
      </c>
      <c r="V55" s="45" t="str">
        <f aca="false">IF(B55="","",Settings!$B$6)</f>
        <v/>
      </c>
      <c r="W55" s="46" t="str">
        <f aca="false">IF(B55="","",(Settings!$B$5+SUM(X$4:X54))*V55)</f>
        <v/>
      </c>
      <c r="X55" s="46" t="str">
        <f aca="false">IF(T55="","",ROUND(T55*W55,2))</f>
        <v/>
      </c>
      <c r="Y55" s="46" t="str">
        <f aca="false">IF(T55="","",Settings!$B$5+SUM(X$5:X55))</f>
        <v/>
      </c>
      <c r="Z55" s="43" t="str">
        <f aca="false">IF(T55="","",SUM(T$5:T55))</f>
        <v/>
      </c>
      <c r="AA55" s="43" t="str">
        <f aca="false">IF(T55="","",MAX(0,MAX(Z$5:Z55)))</f>
        <v/>
      </c>
      <c r="AB55" s="43" t="str">
        <f aca="false">IF(T55="","",Z55-AA55)</f>
        <v/>
      </c>
      <c r="AC55" s="38" t="str">
        <f aca="false">IF(U55="","",IF(U55="Loss",N(AC54)+1,0))</f>
        <v/>
      </c>
      <c r="AD55" s="40"/>
      <c r="AE55" s="38" t="str">
        <f aca="false">IF(B55="","",IF(AND(M55="Yes",OR(AD55="None",AD55="")),"Yes","No"))</f>
        <v/>
      </c>
      <c r="AF55" s="40"/>
      <c r="AG55" s="40"/>
      <c r="AH55" s="47"/>
      <c r="AI55" s="47"/>
    </row>
    <row r="56" customFormat="false" ht="15" hidden="false" customHeight="false" outlineLevel="0" collapsed="false">
      <c r="A56" s="38" t="str">
        <f aca="false">IF(B56="","",ROW()-4)</f>
        <v/>
      </c>
      <c r="B56" s="39"/>
      <c r="C56" s="38" t="str">
        <f aca="false">IF(B56="","",INT((B56-Settings!$B$4)/7)+1)</f>
        <v/>
      </c>
      <c r="D56" s="40"/>
      <c r="E56" s="40"/>
      <c r="F56" s="40"/>
      <c r="G56" s="40"/>
      <c r="H56" s="40"/>
      <c r="I56" s="40"/>
      <c r="J56" s="40"/>
      <c r="K56" s="40"/>
      <c r="L56" s="40"/>
      <c r="M56" s="38" t="str">
        <f aca="false">IF(B56="","",IF(COUNTIF(H56:L56,"Y")=5,"Yes","No"))</f>
        <v/>
      </c>
      <c r="N56" s="41"/>
      <c r="O56" s="42"/>
      <c r="P56" s="42"/>
      <c r="Q56" s="43" t="str">
        <f aca="false">IF(OR(O56="",P56=""),"",IF(F56="Long",O56+Settings!$B$7*(O56-P56),O56-Settings!$B$7*(P56-O56)))</f>
        <v/>
      </c>
      <c r="R56" s="42"/>
      <c r="S56" s="40"/>
      <c r="T56" s="44" t="str">
        <f aca="false">IF(OR(R56="",O56="",P56="",O56=P56),"",ROUND(IF(F56="Long",(R56-O56)/(O56-P56),(O56-R56)/(P56-O56)),2))</f>
        <v/>
      </c>
      <c r="U56" s="38" t="str">
        <f aca="false">IF(T56="","",IF(T56&gt;=Settings!$B$20,"Win",IF(T56&lt;=-Settings!$B$20,"Loss","BE")))</f>
        <v/>
      </c>
      <c r="V56" s="45" t="str">
        <f aca="false">IF(B56="","",Settings!$B$6)</f>
        <v/>
      </c>
      <c r="W56" s="46" t="str">
        <f aca="false">IF(B56="","",(Settings!$B$5+SUM(X$4:X55))*V56)</f>
        <v/>
      </c>
      <c r="X56" s="46" t="str">
        <f aca="false">IF(T56="","",ROUND(T56*W56,2))</f>
        <v/>
      </c>
      <c r="Y56" s="46" t="str">
        <f aca="false">IF(T56="","",Settings!$B$5+SUM(X$5:X56))</f>
        <v/>
      </c>
      <c r="Z56" s="43" t="str">
        <f aca="false">IF(T56="","",SUM(T$5:T56))</f>
        <v/>
      </c>
      <c r="AA56" s="43" t="str">
        <f aca="false">IF(T56="","",MAX(0,MAX(Z$5:Z56)))</f>
        <v/>
      </c>
      <c r="AB56" s="43" t="str">
        <f aca="false">IF(T56="","",Z56-AA56)</f>
        <v/>
      </c>
      <c r="AC56" s="38" t="str">
        <f aca="false">IF(U56="","",IF(U56="Loss",N(AC55)+1,0))</f>
        <v/>
      </c>
      <c r="AD56" s="40"/>
      <c r="AE56" s="38" t="str">
        <f aca="false">IF(B56="","",IF(AND(M56="Yes",OR(AD56="None",AD56="")),"Yes","No"))</f>
        <v/>
      </c>
      <c r="AF56" s="40"/>
      <c r="AG56" s="40"/>
      <c r="AH56" s="47"/>
      <c r="AI56" s="47"/>
    </row>
    <row r="57" customFormat="false" ht="15" hidden="false" customHeight="false" outlineLevel="0" collapsed="false">
      <c r="A57" s="38" t="str">
        <f aca="false">IF(B57="","",ROW()-4)</f>
        <v/>
      </c>
      <c r="B57" s="39"/>
      <c r="C57" s="38" t="str">
        <f aca="false">IF(B57="","",INT((B57-Settings!$B$4)/7)+1)</f>
        <v/>
      </c>
      <c r="D57" s="40"/>
      <c r="E57" s="40"/>
      <c r="F57" s="40"/>
      <c r="G57" s="40"/>
      <c r="H57" s="40"/>
      <c r="I57" s="40"/>
      <c r="J57" s="40"/>
      <c r="K57" s="40"/>
      <c r="L57" s="40"/>
      <c r="M57" s="38" t="str">
        <f aca="false">IF(B57="","",IF(COUNTIF(H57:L57,"Y")=5,"Yes","No"))</f>
        <v/>
      </c>
      <c r="N57" s="41"/>
      <c r="O57" s="42"/>
      <c r="P57" s="42"/>
      <c r="Q57" s="43" t="str">
        <f aca="false">IF(OR(O57="",P57=""),"",IF(F57="Long",O57+Settings!$B$7*(O57-P57),O57-Settings!$B$7*(P57-O57)))</f>
        <v/>
      </c>
      <c r="R57" s="42"/>
      <c r="S57" s="40"/>
      <c r="T57" s="44" t="str">
        <f aca="false">IF(OR(R57="",O57="",P57="",O57=P57),"",ROUND(IF(F57="Long",(R57-O57)/(O57-P57),(O57-R57)/(P57-O57)),2))</f>
        <v/>
      </c>
      <c r="U57" s="38" t="str">
        <f aca="false">IF(T57="","",IF(T57&gt;=Settings!$B$20,"Win",IF(T57&lt;=-Settings!$B$20,"Loss","BE")))</f>
        <v/>
      </c>
      <c r="V57" s="45" t="str">
        <f aca="false">IF(B57="","",Settings!$B$6)</f>
        <v/>
      </c>
      <c r="W57" s="46" t="str">
        <f aca="false">IF(B57="","",(Settings!$B$5+SUM(X$4:X56))*V57)</f>
        <v/>
      </c>
      <c r="X57" s="46" t="str">
        <f aca="false">IF(T57="","",ROUND(T57*W57,2))</f>
        <v/>
      </c>
      <c r="Y57" s="46" t="str">
        <f aca="false">IF(T57="","",Settings!$B$5+SUM(X$5:X57))</f>
        <v/>
      </c>
      <c r="Z57" s="43" t="str">
        <f aca="false">IF(T57="","",SUM(T$5:T57))</f>
        <v/>
      </c>
      <c r="AA57" s="43" t="str">
        <f aca="false">IF(T57="","",MAX(0,MAX(Z$5:Z57)))</f>
        <v/>
      </c>
      <c r="AB57" s="43" t="str">
        <f aca="false">IF(T57="","",Z57-AA57)</f>
        <v/>
      </c>
      <c r="AC57" s="38" t="str">
        <f aca="false">IF(U57="","",IF(U57="Loss",N(AC56)+1,0))</f>
        <v/>
      </c>
      <c r="AD57" s="40"/>
      <c r="AE57" s="38" t="str">
        <f aca="false">IF(B57="","",IF(AND(M57="Yes",OR(AD57="None",AD57="")),"Yes","No"))</f>
        <v/>
      </c>
      <c r="AF57" s="40"/>
      <c r="AG57" s="40"/>
      <c r="AH57" s="47"/>
      <c r="AI57" s="47"/>
    </row>
    <row r="58" customFormat="false" ht="15" hidden="false" customHeight="false" outlineLevel="0" collapsed="false">
      <c r="A58" s="38" t="str">
        <f aca="false">IF(B58="","",ROW()-4)</f>
        <v/>
      </c>
      <c r="B58" s="39"/>
      <c r="C58" s="38" t="str">
        <f aca="false">IF(B58="","",INT((B58-Settings!$B$4)/7)+1)</f>
        <v/>
      </c>
      <c r="D58" s="40"/>
      <c r="E58" s="40"/>
      <c r="F58" s="40"/>
      <c r="G58" s="40"/>
      <c r="H58" s="40"/>
      <c r="I58" s="40"/>
      <c r="J58" s="40"/>
      <c r="K58" s="40"/>
      <c r="L58" s="40"/>
      <c r="M58" s="38" t="str">
        <f aca="false">IF(B58="","",IF(COUNTIF(H58:L58,"Y")=5,"Yes","No"))</f>
        <v/>
      </c>
      <c r="N58" s="41"/>
      <c r="O58" s="42"/>
      <c r="P58" s="42"/>
      <c r="Q58" s="43" t="str">
        <f aca="false">IF(OR(O58="",P58=""),"",IF(F58="Long",O58+Settings!$B$7*(O58-P58),O58-Settings!$B$7*(P58-O58)))</f>
        <v/>
      </c>
      <c r="R58" s="42"/>
      <c r="S58" s="40"/>
      <c r="T58" s="44" t="str">
        <f aca="false">IF(OR(R58="",O58="",P58="",O58=P58),"",ROUND(IF(F58="Long",(R58-O58)/(O58-P58),(O58-R58)/(P58-O58)),2))</f>
        <v/>
      </c>
      <c r="U58" s="38" t="str">
        <f aca="false">IF(T58="","",IF(T58&gt;=Settings!$B$20,"Win",IF(T58&lt;=-Settings!$B$20,"Loss","BE")))</f>
        <v/>
      </c>
      <c r="V58" s="45" t="str">
        <f aca="false">IF(B58="","",Settings!$B$6)</f>
        <v/>
      </c>
      <c r="W58" s="46" t="str">
        <f aca="false">IF(B58="","",(Settings!$B$5+SUM(X$4:X57))*V58)</f>
        <v/>
      </c>
      <c r="X58" s="46" t="str">
        <f aca="false">IF(T58="","",ROUND(T58*W58,2))</f>
        <v/>
      </c>
      <c r="Y58" s="46" t="str">
        <f aca="false">IF(T58="","",Settings!$B$5+SUM(X$5:X58))</f>
        <v/>
      </c>
      <c r="Z58" s="43" t="str">
        <f aca="false">IF(T58="","",SUM(T$5:T58))</f>
        <v/>
      </c>
      <c r="AA58" s="43" t="str">
        <f aca="false">IF(T58="","",MAX(0,MAX(Z$5:Z58)))</f>
        <v/>
      </c>
      <c r="AB58" s="43" t="str">
        <f aca="false">IF(T58="","",Z58-AA58)</f>
        <v/>
      </c>
      <c r="AC58" s="38" t="str">
        <f aca="false">IF(U58="","",IF(U58="Loss",N(AC57)+1,0))</f>
        <v/>
      </c>
      <c r="AD58" s="40"/>
      <c r="AE58" s="38" t="str">
        <f aca="false">IF(B58="","",IF(AND(M58="Yes",OR(AD58="None",AD58="")),"Yes","No"))</f>
        <v/>
      </c>
      <c r="AF58" s="40"/>
      <c r="AG58" s="40"/>
      <c r="AH58" s="47"/>
      <c r="AI58" s="47"/>
    </row>
    <row r="59" customFormat="false" ht="15" hidden="false" customHeight="false" outlineLevel="0" collapsed="false">
      <c r="A59" s="38" t="str">
        <f aca="false">IF(B59="","",ROW()-4)</f>
        <v/>
      </c>
      <c r="B59" s="39"/>
      <c r="C59" s="38" t="str">
        <f aca="false">IF(B59="","",INT((B59-Settings!$B$4)/7)+1)</f>
        <v/>
      </c>
      <c r="D59" s="40"/>
      <c r="E59" s="40"/>
      <c r="F59" s="40"/>
      <c r="G59" s="40"/>
      <c r="H59" s="40"/>
      <c r="I59" s="40"/>
      <c r="J59" s="40"/>
      <c r="K59" s="40"/>
      <c r="L59" s="40"/>
      <c r="M59" s="38" t="str">
        <f aca="false">IF(B59="","",IF(COUNTIF(H59:L59,"Y")=5,"Yes","No"))</f>
        <v/>
      </c>
      <c r="N59" s="41"/>
      <c r="O59" s="42"/>
      <c r="P59" s="42"/>
      <c r="Q59" s="43" t="str">
        <f aca="false">IF(OR(O59="",P59=""),"",IF(F59="Long",O59+Settings!$B$7*(O59-P59),O59-Settings!$B$7*(P59-O59)))</f>
        <v/>
      </c>
      <c r="R59" s="42"/>
      <c r="S59" s="40"/>
      <c r="T59" s="44" t="str">
        <f aca="false">IF(OR(R59="",O59="",P59="",O59=P59),"",ROUND(IF(F59="Long",(R59-O59)/(O59-P59),(O59-R59)/(P59-O59)),2))</f>
        <v/>
      </c>
      <c r="U59" s="38" t="str">
        <f aca="false">IF(T59="","",IF(T59&gt;=Settings!$B$20,"Win",IF(T59&lt;=-Settings!$B$20,"Loss","BE")))</f>
        <v/>
      </c>
      <c r="V59" s="45" t="str">
        <f aca="false">IF(B59="","",Settings!$B$6)</f>
        <v/>
      </c>
      <c r="W59" s="46" t="str">
        <f aca="false">IF(B59="","",(Settings!$B$5+SUM(X$4:X58))*V59)</f>
        <v/>
      </c>
      <c r="X59" s="46" t="str">
        <f aca="false">IF(T59="","",ROUND(T59*W59,2))</f>
        <v/>
      </c>
      <c r="Y59" s="46" t="str">
        <f aca="false">IF(T59="","",Settings!$B$5+SUM(X$5:X59))</f>
        <v/>
      </c>
      <c r="Z59" s="43" t="str">
        <f aca="false">IF(T59="","",SUM(T$5:T59))</f>
        <v/>
      </c>
      <c r="AA59" s="43" t="str">
        <f aca="false">IF(T59="","",MAX(0,MAX(Z$5:Z59)))</f>
        <v/>
      </c>
      <c r="AB59" s="43" t="str">
        <f aca="false">IF(T59="","",Z59-AA59)</f>
        <v/>
      </c>
      <c r="AC59" s="38" t="str">
        <f aca="false">IF(U59="","",IF(U59="Loss",N(AC58)+1,0))</f>
        <v/>
      </c>
      <c r="AD59" s="40"/>
      <c r="AE59" s="38" t="str">
        <f aca="false">IF(B59="","",IF(AND(M59="Yes",OR(AD59="None",AD59="")),"Yes","No"))</f>
        <v/>
      </c>
      <c r="AF59" s="40"/>
      <c r="AG59" s="40"/>
      <c r="AH59" s="47"/>
      <c r="AI59" s="47"/>
    </row>
    <row r="60" customFormat="false" ht="15" hidden="false" customHeight="false" outlineLevel="0" collapsed="false">
      <c r="A60" s="38" t="str">
        <f aca="false">IF(B60="","",ROW()-4)</f>
        <v/>
      </c>
      <c r="B60" s="39"/>
      <c r="C60" s="38" t="str">
        <f aca="false">IF(B60="","",INT((B60-Settings!$B$4)/7)+1)</f>
        <v/>
      </c>
      <c r="D60" s="40"/>
      <c r="E60" s="40"/>
      <c r="F60" s="40"/>
      <c r="G60" s="40"/>
      <c r="H60" s="40"/>
      <c r="I60" s="40"/>
      <c r="J60" s="40"/>
      <c r="K60" s="40"/>
      <c r="L60" s="40"/>
      <c r="M60" s="38" t="str">
        <f aca="false">IF(B60="","",IF(COUNTIF(H60:L60,"Y")=5,"Yes","No"))</f>
        <v/>
      </c>
      <c r="N60" s="41"/>
      <c r="O60" s="42"/>
      <c r="P60" s="42"/>
      <c r="Q60" s="43" t="str">
        <f aca="false">IF(OR(O60="",P60=""),"",IF(F60="Long",O60+Settings!$B$7*(O60-P60),O60-Settings!$B$7*(P60-O60)))</f>
        <v/>
      </c>
      <c r="R60" s="42"/>
      <c r="S60" s="40"/>
      <c r="T60" s="44" t="str">
        <f aca="false">IF(OR(R60="",O60="",P60="",O60=P60),"",ROUND(IF(F60="Long",(R60-O60)/(O60-P60),(O60-R60)/(P60-O60)),2))</f>
        <v/>
      </c>
      <c r="U60" s="38" t="str">
        <f aca="false">IF(T60="","",IF(T60&gt;=Settings!$B$20,"Win",IF(T60&lt;=-Settings!$B$20,"Loss","BE")))</f>
        <v/>
      </c>
      <c r="V60" s="45" t="str">
        <f aca="false">IF(B60="","",Settings!$B$6)</f>
        <v/>
      </c>
      <c r="W60" s="46" t="str">
        <f aca="false">IF(B60="","",(Settings!$B$5+SUM(X$4:X59))*V60)</f>
        <v/>
      </c>
      <c r="X60" s="46" t="str">
        <f aca="false">IF(T60="","",ROUND(T60*W60,2))</f>
        <v/>
      </c>
      <c r="Y60" s="46" t="str">
        <f aca="false">IF(T60="","",Settings!$B$5+SUM(X$5:X60))</f>
        <v/>
      </c>
      <c r="Z60" s="43" t="str">
        <f aca="false">IF(T60="","",SUM(T$5:T60))</f>
        <v/>
      </c>
      <c r="AA60" s="43" t="str">
        <f aca="false">IF(T60="","",MAX(0,MAX(Z$5:Z60)))</f>
        <v/>
      </c>
      <c r="AB60" s="43" t="str">
        <f aca="false">IF(T60="","",Z60-AA60)</f>
        <v/>
      </c>
      <c r="AC60" s="38" t="str">
        <f aca="false">IF(U60="","",IF(U60="Loss",N(AC59)+1,0))</f>
        <v/>
      </c>
      <c r="AD60" s="40"/>
      <c r="AE60" s="38" t="str">
        <f aca="false">IF(B60="","",IF(AND(M60="Yes",OR(AD60="None",AD60="")),"Yes","No"))</f>
        <v/>
      </c>
      <c r="AF60" s="40"/>
      <c r="AG60" s="40"/>
      <c r="AH60" s="47"/>
      <c r="AI60" s="47"/>
    </row>
    <row r="61" customFormat="false" ht="15" hidden="false" customHeight="false" outlineLevel="0" collapsed="false">
      <c r="A61" s="38" t="str">
        <f aca="false">IF(B61="","",ROW()-4)</f>
        <v/>
      </c>
      <c r="B61" s="39"/>
      <c r="C61" s="38" t="str">
        <f aca="false">IF(B61="","",INT((B61-Settings!$B$4)/7)+1)</f>
        <v/>
      </c>
      <c r="D61" s="40"/>
      <c r="E61" s="40"/>
      <c r="F61" s="40"/>
      <c r="G61" s="40"/>
      <c r="H61" s="40"/>
      <c r="I61" s="40"/>
      <c r="J61" s="40"/>
      <c r="K61" s="40"/>
      <c r="L61" s="40"/>
      <c r="M61" s="38" t="str">
        <f aca="false">IF(B61="","",IF(COUNTIF(H61:L61,"Y")=5,"Yes","No"))</f>
        <v/>
      </c>
      <c r="N61" s="41"/>
      <c r="O61" s="42"/>
      <c r="P61" s="42"/>
      <c r="Q61" s="43" t="str">
        <f aca="false">IF(OR(O61="",P61=""),"",IF(F61="Long",O61+Settings!$B$7*(O61-P61),O61-Settings!$B$7*(P61-O61)))</f>
        <v/>
      </c>
      <c r="R61" s="42"/>
      <c r="S61" s="40"/>
      <c r="T61" s="44" t="str">
        <f aca="false">IF(OR(R61="",O61="",P61="",O61=P61),"",ROUND(IF(F61="Long",(R61-O61)/(O61-P61),(O61-R61)/(P61-O61)),2))</f>
        <v/>
      </c>
      <c r="U61" s="38" t="str">
        <f aca="false">IF(T61="","",IF(T61&gt;=Settings!$B$20,"Win",IF(T61&lt;=-Settings!$B$20,"Loss","BE")))</f>
        <v/>
      </c>
      <c r="V61" s="45" t="str">
        <f aca="false">IF(B61="","",Settings!$B$6)</f>
        <v/>
      </c>
      <c r="W61" s="46" t="str">
        <f aca="false">IF(B61="","",(Settings!$B$5+SUM(X$4:X60))*V61)</f>
        <v/>
      </c>
      <c r="X61" s="46" t="str">
        <f aca="false">IF(T61="","",ROUND(T61*W61,2))</f>
        <v/>
      </c>
      <c r="Y61" s="46" t="str">
        <f aca="false">IF(T61="","",Settings!$B$5+SUM(X$5:X61))</f>
        <v/>
      </c>
      <c r="Z61" s="43" t="str">
        <f aca="false">IF(T61="","",SUM(T$5:T61))</f>
        <v/>
      </c>
      <c r="AA61" s="43" t="str">
        <f aca="false">IF(T61="","",MAX(0,MAX(Z$5:Z61)))</f>
        <v/>
      </c>
      <c r="AB61" s="43" t="str">
        <f aca="false">IF(T61="","",Z61-AA61)</f>
        <v/>
      </c>
      <c r="AC61" s="38" t="str">
        <f aca="false">IF(U61="","",IF(U61="Loss",N(AC60)+1,0))</f>
        <v/>
      </c>
      <c r="AD61" s="40"/>
      <c r="AE61" s="38" t="str">
        <f aca="false">IF(B61="","",IF(AND(M61="Yes",OR(AD61="None",AD61="")),"Yes","No"))</f>
        <v/>
      </c>
      <c r="AF61" s="40"/>
      <c r="AG61" s="40"/>
      <c r="AH61" s="47"/>
      <c r="AI61" s="47"/>
    </row>
    <row r="62" customFormat="false" ht="15" hidden="false" customHeight="false" outlineLevel="0" collapsed="false">
      <c r="A62" s="38" t="str">
        <f aca="false">IF(B62="","",ROW()-4)</f>
        <v/>
      </c>
      <c r="B62" s="39"/>
      <c r="C62" s="38" t="str">
        <f aca="false">IF(B62="","",INT((B62-Settings!$B$4)/7)+1)</f>
        <v/>
      </c>
      <c r="D62" s="40"/>
      <c r="E62" s="40"/>
      <c r="F62" s="40"/>
      <c r="G62" s="40"/>
      <c r="H62" s="40"/>
      <c r="I62" s="40"/>
      <c r="J62" s="40"/>
      <c r="K62" s="40"/>
      <c r="L62" s="40"/>
      <c r="M62" s="38" t="str">
        <f aca="false">IF(B62="","",IF(COUNTIF(H62:L62,"Y")=5,"Yes","No"))</f>
        <v/>
      </c>
      <c r="N62" s="41"/>
      <c r="O62" s="42"/>
      <c r="P62" s="42"/>
      <c r="Q62" s="43" t="str">
        <f aca="false">IF(OR(O62="",P62=""),"",IF(F62="Long",O62+Settings!$B$7*(O62-P62),O62-Settings!$B$7*(P62-O62)))</f>
        <v/>
      </c>
      <c r="R62" s="42"/>
      <c r="S62" s="40"/>
      <c r="T62" s="44" t="str">
        <f aca="false">IF(OR(R62="",O62="",P62="",O62=P62),"",ROUND(IF(F62="Long",(R62-O62)/(O62-P62),(O62-R62)/(P62-O62)),2))</f>
        <v/>
      </c>
      <c r="U62" s="38" t="str">
        <f aca="false">IF(T62="","",IF(T62&gt;=Settings!$B$20,"Win",IF(T62&lt;=-Settings!$B$20,"Loss","BE")))</f>
        <v/>
      </c>
      <c r="V62" s="45" t="str">
        <f aca="false">IF(B62="","",Settings!$B$6)</f>
        <v/>
      </c>
      <c r="W62" s="46" t="str">
        <f aca="false">IF(B62="","",(Settings!$B$5+SUM(X$4:X61))*V62)</f>
        <v/>
      </c>
      <c r="X62" s="46" t="str">
        <f aca="false">IF(T62="","",ROUND(T62*W62,2))</f>
        <v/>
      </c>
      <c r="Y62" s="46" t="str">
        <f aca="false">IF(T62="","",Settings!$B$5+SUM(X$5:X62))</f>
        <v/>
      </c>
      <c r="Z62" s="43" t="str">
        <f aca="false">IF(T62="","",SUM(T$5:T62))</f>
        <v/>
      </c>
      <c r="AA62" s="43" t="str">
        <f aca="false">IF(T62="","",MAX(0,MAX(Z$5:Z62)))</f>
        <v/>
      </c>
      <c r="AB62" s="43" t="str">
        <f aca="false">IF(T62="","",Z62-AA62)</f>
        <v/>
      </c>
      <c r="AC62" s="38" t="str">
        <f aca="false">IF(U62="","",IF(U62="Loss",N(AC61)+1,0))</f>
        <v/>
      </c>
      <c r="AD62" s="40"/>
      <c r="AE62" s="38" t="str">
        <f aca="false">IF(B62="","",IF(AND(M62="Yes",OR(AD62="None",AD62="")),"Yes","No"))</f>
        <v/>
      </c>
      <c r="AF62" s="40"/>
      <c r="AG62" s="40"/>
      <c r="AH62" s="47"/>
      <c r="AI62" s="47"/>
    </row>
    <row r="63" customFormat="false" ht="15" hidden="false" customHeight="false" outlineLevel="0" collapsed="false">
      <c r="A63" s="38" t="str">
        <f aca="false">IF(B63="","",ROW()-4)</f>
        <v/>
      </c>
      <c r="B63" s="39"/>
      <c r="C63" s="38" t="str">
        <f aca="false">IF(B63="","",INT((B63-Settings!$B$4)/7)+1)</f>
        <v/>
      </c>
      <c r="D63" s="40"/>
      <c r="E63" s="40"/>
      <c r="F63" s="40"/>
      <c r="G63" s="40"/>
      <c r="H63" s="40"/>
      <c r="I63" s="40"/>
      <c r="J63" s="40"/>
      <c r="K63" s="40"/>
      <c r="L63" s="40"/>
      <c r="M63" s="38" t="str">
        <f aca="false">IF(B63="","",IF(COUNTIF(H63:L63,"Y")=5,"Yes","No"))</f>
        <v/>
      </c>
      <c r="N63" s="41"/>
      <c r="O63" s="42"/>
      <c r="P63" s="42"/>
      <c r="Q63" s="43" t="str">
        <f aca="false">IF(OR(O63="",P63=""),"",IF(F63="Long",O63+Settings!$B$7*(O63-P63),O63-Settings!$B$7*(P63-O63)))</f>
        <v/>
      </c>
      <c r="R63" s="42"/>
      <c r="S63" s="40"/>
      <c r="T63" s="44" t="str">
        <f aca="false">IF(OR(R63="",O63="",P63="",O63=P63),"",ROUND(IF(F63="Long",(R63-O63)/(O63-P63),(O63-R63)/(P63-O63)),2))</f>
        <v/>
      </c>
      <c r="U63" s="38" t="str">
        <f aca="false">IF(T63="","",IF(T63&gt;=Settings!$B$20,"Win",IF(T63&lt;=-Settings!$B$20,"Loss","BE")))</f>
        <v/>
      </c>
      <c r="V63" s="45" t="str">
        <f aca="false">IF(B63="","",Settings!$B$6)</f>
        <v/>
      </c>
      <c r="W63" s="46" t="str">
        <f aca="false">IF(B63="","",(Settings!$B$5+SUM(X$4:X62))*V63)</f>
        <v/>
      </c>
      <c r="X63" s="46" t="str">
        <f aca="false">IF(T63="","",ROUND(T63*W63,2))</f>
        <v/>
      </c>
      <c r="Y63" s="46" t="str">
        <f aca="false">IF(T63="","",Settings!$B$5+SUM(X$5:X63))</f>
        <v/>
      </c>
      <c r="Z63" s="43" t="str">
        <f aca="false">IF(T63="","",SUM(T$5:T63))</f>
        <v/>
      </c>
      <c r="AA63" s="43" t="str">
        <f aca="false">IF(T63="","",MAX(0,MAX(Z$5:Z63)))</f>
        <v/>
      </c>
      <c r="AB63" s="43" t="str">
        <f aca="false">IF(T63="","",Z63-AA63)</f>
        <v/>
      </c>
      <c r="AC63" s="38" t="str">
        <f aca="false">IF(U63="","",IF(U63="Loss",N(AC62)+1,0))</f>
        <v/>
      </c>
      <c r="AD63" s="40"/>
      <c r="AE63" s="38" t="str">
        <f aca="false">IF(B63="","",IF(AND(M63="Yes",OR(AD63="None",AD63="")),"Yes","No"))</f>
        <v/>
      </c>
      <c r="AF63" s="40"/>
      <c r="AG63" s="40"/>
      <c r="AH63" s="47"/>
      <c r="AI63" s="47"/>
    </row>
    <row r="64" customFormat="false" ht="15" hidden="false" customHeight="false" outlineLevel="0" collapsed="false">
      <c r="A64" s="38" t="str">
        <f aca="false">IF(B64="","",ROW()-4)</f>
        <v/>
      </c>
      <c r="B64" s="39"/>
      <c r="C64" s="38" t="str">
        <f aca="false">IF(B64="","",INT((B64-Settings!$B$4)/7)+1)</f>
        <v/>
      </c>
      <c r="D64" s="40"/>
      <c r="E64" s="40"/>
      <c r="F64" s="40"/>
      <c r="G64" s="40"/>
      <c r="H64" s="40"/>
      <c r="I64" s="40"/>
      <c r="J64" s="40"/>
      <c r="K64" s="40"/>
      <c r="L64" s="40"/>
      <c r="M64" s="38" t="str">
        <f aca="false">IF(B64="","",IF(COUNTIF(H64:L64,"Y")=5,"Yes","No"))</f>
        <v/>
      </c>
      <c r="N64" s="41"/>
      <c r="O64" s="42"/>
      <c r="P64" s="42"/>
      <c r="Q64" s="43" t="str">
        <f aca="false">IF(OR(O64="",P64=""),"",IF(F64="Long",O64+Settings!$B$7*(O64-P64),O64-Settings!$B$7*(P64-O64)))</f>
        <v/>
      </c>
      <c r="R64" s="42"/>
      <c r="S64" s="40"/>
      <c r="T64" s="44" t="str">
        <f aca="false">IF(OR(R64="",O64="",P64="",O64=P64),"",ROUND(IF(F64="Long",(R64-O64)/(O64-P64),(O64-R64)/(P64-O64)),2))</f>
        <v/>
      </c>
      <c r="U64" s="38" t="str">
        <f aca="false">IF(T64="","",IF(T64&gt;=Settings!$B$20,"Win",IF(T64&lt;=-Settings!$B$20,"Loss","BE")))</f>
        <v/>
      </c>
      <c r="V64" s="45" t="str">
        <f aca="false">IF(B64="","",Settings!$B$6)</f>
        <v/>
      </c>
      <c r="W64" s="46" t="str">
        <f aca="false">IF(B64="","",(Settings!$B$5+SUM(X$4:X63))*V64)</f>
        <v/>
      </c>
      <c r="X64" s="46" t="str">
        <f aca="false">IF(T64="","",ROUND(T64*W64,2))</f>
        <v/>
      </c>
      <c r="Y64" s="46" t="str">
        <f aca="false">IF(T64="","",Settings!$B$5+SUM(X$5:X64))</f>
        <v/>
      </c>
      <c r="Z64" s="43" t="str">
        <f aca="false">IF(T64="","",SUM(T$5:T64))</f>
        <v/>
      </c>
      <c r="AA64" s="43" t="str">
        <f aca="false">IF(T64="","",MAX(0,MAX(Z$5:Z64)))</f>
        <v/>
      </c>
      <c r="AB64" s="43" t="str">
        <f aca="false">IF(T64="","",Z64-AA64)</f>
        <v/>
      </c>
      <c r="AC64" s="38" t="str">
        <f aca="false">IF(U64="","",IF(U64="Loss",N(AC63)+1,0))</f>
        <v/>
      </c>
      <c r="AD64" s="40"/>
      <c r="AE64" s="38" t="str">
        <f aca="false">IF(B64="","",IF(AND(M64="Yes",OR(AD64="None",AD64="")),"Yes","No"))</f>
        <v/>
      </c>
      <c r="AF64" s="40"/>
      <c r="AG64" s="40"/>
      <c r="AH64" s="47"/>
      <c r="AI64" s="47"/>
    </row>
    <row r="65" customFormat="false" ht="15" hidden="false" customHeight="false" outlineLevel="0" collapsed="false">
      <c r="A65" s="38" t="str">
        <f aca="false">IF(B65="","",ROW()-4)</f>
        <v/>
      </c>
      <c r="B65" s="39"/>
      <c r="C65" s="38" t="str">
        <f aca="false">IF(B65="","",INT((B65-Settings!$B$4)/7)+1)</f>
        <v/>
      </c>
      <c r="D65" s="40"/>
      <c r="E65" s="40"/>
      <c r="F65" s="40"/>
      <c r="G65" s="40"/>
      <c r="H65" s="40"/>
      <c r="I65" s="40"/>
      <c r="J65" s="40"/>
      <c r="K65" s="40"/>
      <c r="L65" s="40"/>
      <c r="M65" s="38" t="str">
        <f aca="false">IF(B65="","",IF(COUNTIF(H65:L65,"Y")=5,"Yes","No"))</f>
        <v/>
      </c>
      <c r="N65" s="41"/>
      <c r="O65" s="42"/>
      <c r="P65" s="42"/>
      <c r="Q65" s="43" t="str">
        <f aca="false">IF(OR(O65="",P65=""),"",IF(F65="Long",O65+Settings!$B$7*(O65-P65),O65-Settings!$B$7*(P65-O65)))</f>
        <v/>
      </c>
      <c r="R65" s="42"/>
      <c r="S65" s="40"/>
      <c r="T65" s="44" t="str">
        <f aca="false">IF(OR(R65="",O65="",P65="",O65=P65),"",ROUND(IF(F65="Long",(R65-O65)/(O65-P65),(O65-R65)/(P65-O65)),2))</f>
        <v/>
      </c>
      <c r="U65" s="38" t="str">
        <f aca="false">IF(T65="","",IF(T65&gt;=Settings!$B$20,"Win",IF(T65&lt;=-Settings!$B$20,"Loss","BE")))</f>
        <v/>
      </c>
      <c r="V65" s="45" t="str">
        <f aca="false">IF(B65="","",Settings!$B$6)</f>
        <v/>
      </c>
      <c r="W65" s="46" t="str">
        <f aca="false">IF(B65="","",(Settings!$B$5+SUM(X$4:X64))*V65)</f>
        <v/>
      </c>
      <c r="X65" s="46" t="str">
        <f aca="false">IF(T65="","",ROUND(T65*W65,2))</f>
        <v/>
      </c>
      <c r="Y65" s="46" t="str">
        <f aca="false">IF(T65="","",Settings!$B$5+SUM(X$5:X65))</f>
        <v/>
      </c>
      <c r="Z65" s="43" t="str">
        <f aca="false">IF(T65="","",SUM(T$5:T65))</f>
        <v/>
      </c>
      <c r="AA65" s="43" t="str">
        <f aca="false">IF(T65="","",MAX(0,MAX(Z$5:Z65)))</f>
        <v/>
      </c>
      <c r="AB65" s="43" t="str">
        <f aca="false">IF(T65="","",Z65-AA65)</f>
        <v/>
      </c>
      <c r="AC65" s="38" t="str">
        <f aca="false">IF(U65="","",IF(U65="Loss",N(AC64)+1,0))</f>
        <v/>
      </c>
      <c r="AD65" s="40"/>
      <c r="AE65" s="38" t="str">
        <f aca="false">IF(B65="","",IF(AND(M65="Yes",OR(AD65="None",AD65="")),"Yes","No"))</f>
        <v/>
      </c>
      <c r="AF65" s="40"/>
      <c r="AG65" s="40"/>
      <c r="AH65" s="47"/>
      <c r="AI65" s="47"/>
    </row>
    <row r="66" customFormat="false" ht="15" hidden="false" customHeight="false" outlineLevel="0" collapsed="false">
      <c r="A66" s="38" t="str">
        <f aca="false">IF(B66="","",ROW()-4)</f>
        <v/>
      </c>
      <c r="B66" s="39"/>
      <c r="C66" s="38" t="str">
        <f aca="false">IF(B66="","",INT((B66-Settings!$B$4)/7)+1)</f>
        <v/>
      </c>
      <c r="D66" s="40"/>
      <c r="E66" s="40"/>
      <c r="F66" s="40"/>
      <c r="G66" s="40"/>
      <c r="H66" s="40"/>
      <c r="I66" s="40"/>
      <c r="J66" s="40"/>
      <c r="K66" s="40"/>
      <c r="L66" s="40"/>
      <c r="M66" s="38" t="str">
        <f aca="false">IF(B66="","",IF(COUNTIF(H66:L66,"Y")=5,"Yes","No"))</f>
        <v/>
      </c>
      <c r="N66" s="41"/>
      <c r="O66" s="42"/>
      <c r="P66" s="42"/>
      <c r="Q66" s="43" t="str">
        <f aca="false">IF(OR(O66="",P66=""),"",IF(F66="Long",O66+Settings!$B$7*(O66-P66),O66-Settings!$B$7*(P66-O66)))</f>
        <v/>
      </c>
      <c r="R66" s="42"/>
      <c r="S66" s="40"/>
      <c r="T66" s="44" t="str">
        <f aca="false">IF(OR(R66="",O66="",P66="",O66=P66),"",ROUND(IF(F66="Long",(R66-O66)/(O66-P66),(O66-R66)/(P66-O66)),2))</f>
        <v/>
      </c>
      <c r="U66" s="38" t="str">
        <f aca="false">IF(T66="","",IF(T66&gt;=Settings!$B$20,"Win",IF(T66&lt;=-Settings!$B$20,"Loss","BE")))</f>
        <v/>
      </c>
      <c r="V66" s="45" t="str">
        <f aca="false">IF(B66="","",Settings!$B$6)</f>
        <v/>
      </c>
      <c r="W66" s="46" t="str">
        <f aca="false">IF(B66="","",(Settings!$B$5+SUM(X$4:X65))*V66)</f>
        <v/>
      </c>
      <c r="X66" s="46" t="str">
        <f aca="false">IF(T66="","",ROUND(T66*W66,2))</f>
        <v/>
      </c>
      <c r="Y66" s="46" t="str">
        <f aca="false">IF(T66="","",Settings!$B$5+SUM(X$5:X66))</f>
        <v/>
      </c>
      <c r="Z66" s="43" t="str">
        <f aca="false">IF(T66="","",SUM(T$5:T66))</f>
        <v/>
      </c>
      <c r="AA66" s="43" t="str">
        <f aca="false">IF(T66="","",MAX(0,MAX(Z$5:Z66)))</f>
        <v/>
      </c>
      <c r="AB66" s="43" t="str">
        <f aca="false">IF(T66="","",Z66-AA66)</f>
        <v/>
      </c>
      <c r="AC66" s="38" t="str">
        <f aca="false">IF(U66="","",IF(U66="Loss",N(AC65)+1,0))</f>
        <v/>
      </c>
      <c r="AD66" s="40"/>
      <c r="AE66" s="38" t="str">
        <f aca="false">IF(B66="","",IF(AND(M66="Yes",OR(AD66="None",AD66="")),"Yes","No"))</f>
        <v/>
      </c>
      <c r="AF66" s="40"/>
      <c r="AG66" s="40"/>
      <c r="AH66" s="47"/>
      <c r="AI66" s="47"/>
    </row>
    <row r="67" customFormat="false" ht="15" hidden="false" customHeight="false" outlineLevel="0" collapsed="false">
      <c r="A67" s="38" t="str">
        <f aca="false">IF(B67="","",ROW()-4)</f>
        <v/>
      </c>
      <c r="B67" s="39"/>
      <c r="C67" s="38" t="str">
        <f aca="false">IF(B67="","",INT((B67-Settings!$B$4)/7)+1)</f>
        <v/>
      </c>
      <c r="D67" s="40"/>
      <c r="E67" s="40"/>
      <c r="F67" s="40"/>
      <c r="G67" s="40"/>
      <c r="H67" s="40"/>
      <c r="I67" s="40"/>
      <c r="J67" s="40"/>
      <c r="K67" s="40"/>
      <c r="L67" s="40"/>
      <c r="M67" s="38" t="str">
        <f aca="false">IF(B67="","",IF(COUNTIF(H67:L67,"Y")=5,"Yes","No"))</f>
        <v/>
      </c>
      <c r="N67" s="41"/>
      <c r="O67" s="42"/>
      <c r="P67" s="42"/>
      <c r="Q67" s="43" t="str">
        <f aca="false">IF(OR(O67="",P67=""),"",IF(F67="Long",O67+Settings!$B$7*(O67-P67),O67-Settings!$B$7*(P67-O67)))</f>
        <v/>
      </c>
      <c r="R67" s="42"/>
      <c r="S67" s="40"/>
      <c r="T67" s="44" t="str">
        <f aca="false">IF(OR(R67="",O67="",P67="",O67=P67),"",ROUND(IF(F67="Long",(R67-O67)/(O67-P67),(O67-R67)/(P67-O67)),2))</f>
        <v/>
      </c>
      <c r="U67" s="38" t="str">
        <f aca="false">IF(T67="","",IF(T67&gt;=Settings!$B$20,"Win",IF(T67&lt;=-Settings!$B$20,"Loss","BE")))</f>
        <v/>
      </c>
      <c r="V67" s="45" t="str">
        <f aca="false">IF(B67="","",Settings!$B$6)</f>
        <v/>
      </c>
      <c r="W67" s="46" t="str">
        <f aca="false">IF(B67="","",(Settings!$B$5+SUM(X$4:X66))*V67)</f>
        <v/>
      </c>
      <c r="X67" s="46" t="str">
        <f aca="false">IF(T67="","",ROUND(T67*W67,2))</f>
        <v/>
      </c>
      <c r="Y67" s="46" t="str">
        <f aca="false">IF(T67="","",Settings!$B$5+SUM(X$5:X67))</f>
        <v/>
      </c>
      <c r="Z67" s="43" t="str">
        <f aca="false">IF(T67="","",SUM(T$5:T67))</f>
        <v/>
      </c>
      <c r="AA67" s="43" t="str">
        <f aca="false">IF(T67="","",MAX(0,MAX(Z$5:Z67)))</f>
        <v/>
      </c>
      <c r="AB67" s="43" t="str">
        <f aca="false">IF(T67="","",Z67-AA67)</f>
        <v/>
      </c>
      <c r="AC67" s="38" t="str">
        <f aca="false">IF(U67="","",IF(U67="Loss",N(AC66)+1,0))</f>
        <v/>
      </c>
      <c r="AD67" s="40"/>
      <c r="AE67" s="38" t="str">
        <f aca="false">IF(B67="","",IF(AND(M67="Yes",OR(AD67="None",AD67="")),"Yes","No"))</f>
        <v/>
      </c>
      <c r="AF67" s="40"/>
      <c r="AG67" s="40"/>
      <c r="AH67" s="47"/>
      <c r="AI67" s="47"/>
    </row>
    <row r="68" customFormat="false" ht="15" hidden="false" customHeight="false" outlineLevel="0" collapsed="false">
      <c r="A68" s="38" t="str">
        <f aca="false">IF(B68="","",ROW()-4)</f>
        <v/>
      </c>
      <c r="B68" s="39"/>
      <c r="C68" s="38" t="str">
        <f aca="false">IF(B68="","",INT((B68-Settings!$B$4)/7)+1)</f>
        <v/>
      </c>
      <c r="D68" s="40"/>
      <c r="E68" s="40"/>
      <c r="F68" s="40"/>
      <c r="G68" s="40"/>
      <c r="H68" s="40"/>
      <c r="I68" s="40"/>
      <c r="J68" s="40"/>
      <c r="K68" s="40"/>
      <c r="L68" s="40"/>
      <c r="M68" s="38" t="str">
        <f aca="false">IF(B68="","",IF(COUNTIF(H68:L68,"Y")=5,"Yes","No"))</f>
        <v/>
      </c>
      <c r="N68" s="41"/>
      <c r="O68" s="42"/>
      <c r="P68" s="42"/>
      <c r="Q68" s="43" t="str">
        <f aca="false">IF(OR(O68="",P68=""),"",IF(F68="Long",O68+Settings!$B$7*(O68-P68),O68-Settings!$B$7*(P68-O68)))</f>
        <v/>
      </c>
      <c r="R68" s="42"/>
      <c r="S68" s="40"/>
      <c r="T68" s="44" t="str">
        <f aca="false">IF(OR(R68="",O68="",P68="",O68=P68),"",ROUND(IF(F68="Long",(R68-O68)/(O68-P68),(O68-R68)/(P68-O68)),2))</f>
        <v/>
      </c>
      <c r="U68" s="38" t="str">
        <f aca="false">IF(T68="","",IF(T68&gt;=Settings!$B$20,"Win",IF(T68&lt;=-Settings!$B$20,"Loss","BE")))</f>
        <v/>
      </c>
      <c r="V68" s="45" t="str">
        <f aca="false">IF(B68="","",Settings!$B$6)</f>
        <v/>
      </c>
      <c r="W68" s="46" t="str">
        <f aca="false">IF(B68="","",(Settings!$B$5+SUM(X$4:X67))*V68)</f>
        <v/>
      </c>
      <c r="X68" s="46" t="str">
        <f aca="false">IF(T68="","",ROUND(T68*W68,2))</f>
        <v/>
      </c>
      <c r="Y68" s="46" t="str">
        <f aca="false">IF(T68="","",Settings!$B$5+SUM(X$5:X68))</f>
        <v/>
      </c>
      <c r="Z68" s="43" t="str">
        <f aca="false">IF(T68="","",SUM(T$5:T68))</f>
        <v/>
      </c>
      <c r="AA68" s="43" t="str">
        <f aca="false">IF(T68="","",MAX(0,MAX(Z$5:Z68)))</f>
        <v/>
      </c>
      <c r="AB68" s="43" t="str">
        <f aca="false">IF(T68="","",Z68-AA68)</f>
        <v/>
      </c>
      <c r="AC68" s="38" t="str">
        <f aca="false">IF(U68="","",IF(U68="Loss",N(AC67)+1,0))</f>
        <v/>
      </c>
      <c r="AD68" s="40"/>
      <c r="AE68" s="38" t="str">
        <f aca="false">IF(B68="","",IF(AND(M68="Yes",OR(AD68="None",AD68="")),"Yes","No"))</f>
        <v/>
      </c>
      <c r="AF68" s="40"/>
      <c r="AG68" s="40"/>
      <c r="AH68" s="47"/>
      <c r="AI68" s="47"/>
    </row>
    <row r="69" customFormat="false" ht="15" hidden="false" customHeight="false" outlineLevel="0" collapsed="false">
      <c r="A69" s="38" t="str">
        <f aca="false">IF(B69="","",ROW()-4)</f>
        <v/>
      </c>
      <c r="B69" s="39"/>
      <c r="C69" s="38" t="str">
        <f aca="false">IF(B69="","",INT((B69-Settings!$B$4)/7)+1)</f>
        <v/>
      </c>
      <c r="D69" s="40"/>
      <c r="E69" s="40"/>
      <c r="F69" s="40"/>
      <c r="G69" s="40"/>
      <c r="H69" s="40"/>
      <c r="I69" s="40"/>
      <c r="J69" s="40"/>
      <c r="K69" s="40"/>
      <c r="L69" s="40"/>
      <c r="M69" s="38" t="str">
        <f aca="false">IF(B69="","",IF(COUNTIF(H69:L69,"Y")=5,"Yes","No"))</f>
        <v/>
      </c>
      <c r="N69" s="41"/>
      <c r="O69" s="42"/>
      <c r="P69" s="42"/>
      <c r="Q69" s="43" t="str">
        <f aca="false">IF(OR(O69="",P69=""),"",IF(F69="Long",O69+Settings!$B$7*(O69-P69),O69-Settings!$B$7*(P69-O69)))</f>
        <v/>
      </c>
      <c r="R69" s="42"/>
      <c r="S69" s="40"/>
      <c r="T69" s="44" t="str">
        <f aca="false">IF(OR(R69="",O69="",P69="",O69=P69),"",ROUND(IF(F69="Long",(R69-O69)/(O69-P69),(O69-R69)/(P69-O69)),2))</f>
        <v/>
      </c>
      <c r="U69" s="38" t="str">
        <f aca="false">IF(T69="","",IF(T69&gt;=Settings!$B$20,"Win",IF(T69&lt;=-Settings!$B$20,"Loss","BE")))</f>
        <v/>
      </c>
      <c r="V69" s="45" t="str">
        <f aca="false">IF(B69="","",Settings!$B$6)</f>
        <v/>
      </c>
      <c r="W69" s="46" t="str">
        <f aca="false">IF(B69="","",(Settings!$B$5+SUM(X$4:X68))*V69)</f>
        <v/>
      </c>
      <c r="X69" s="46" t="str">
        <f aca="false">IF(T69="","",ROUND(T69*W69,2))</f>
        <v/>
      </c>
      <c r="Y69" s="46" t="str">
        <f aca="false">IF(T69="","",Settings!$B$5+SUM(X$5:X69))</f>
        <v/>
      </c>
      <c r="Z69" s="43" t="str">
        <f aca="false">IF(T69="","",SUM(T$5:T69))</f>
        <v/>
      </c>
      <c r="AA69" s="43" t="str">
        <f aca="false">IF(T69="","",MAX(0,MAX(Z$5:Z69)))</f>
        <v/>
      </c>
      <c r="AB69" s="43" t="str">
        <f aca="false">IF(T69="","",Z69-AA69)</f>
        <v/>
      </c>
      <c r="AC69" s="38" t="str">
        <f aca="false">IF(U69="","",IF(U69="Loss",N(AC68)+1,0))</f>
        <v/>
      </c>
      <c r="AD69" s="40"/>
      <c r="AE69" s="38" t="str">
        <f aca="false">IF(B69="","",IF(AND(M69="Yes",OR(AD69="None",AD69="")),"Yes","No"))</f>
        <v/>
      </c>
      <c r="AF69" s="40"/>
      <c r="AG69" s="40"/>
      <c r="AH69" s="47"/>
      <c r="AI69" s="47"/>
    </row>
    <row r="70" customFormat="false" ht="15" hidden="false" customHeight="false" outlineLevel="0" collapsed="false">
      <c r="A70" s="38" t="str">
        <f aca="false">IF(B70="","",ROW()-4)</f>
        <v/>
      </c>
      <c r="B70" s="39"/>
      <c r="C70" s="38" t="str">
        <f aca="false">IF(B70="","",INT((B70-Settings!$B$4)/7)+1)</f>
        <v/>
      </c>
      <c r="D70" s="40"/>
      <c r="E70" s="40"/>
      <c r="F70" s="40"/>
      <c r="G70" s="40"/>
      <c r="H70" s="40"/>
      <c r="I70" s="40"/>
      <c r="J70" s="40"/>
      <c r="K70" s="40"/>
      <c r="L70" s="40"/>
      <c r="M70" s="38" t="str">
        <f aca="false">IF(B70="","",IF(COUNTIF(H70:L70,"Y")=5,"Yes","No"))</f>
        <v/>
      </c>
      <c r="N70" s="41"/>
      <c r="O70" s="42"/>
      <c r="P70" s="42"/>
      <c r="Q70" s="43" t="str">
        <f aca="false">IF(OR(O70="",P70=""),"",IF(F70="Long",O70+Settings!$B$7*(O70-P70),O70-Settings!$B$7*(P70-O70)))</f>
        <v/>
      </c>
      <c r="R70" s="42"/>
      <c r="S70" s="40"/>
      <c r="T70" s="44" t="str">
        <f aca="false">IF(OR(R70="",O70="",P70="",O70=P70),"",ROUND(IF(F70="Long",(R70-O70)/(O70-P70),(O70-R70)/(P70-O70)),2))</f>
        <v/>
      </c>
      <c r="U70" s="38" t="str">
        <f aca="false">IF(T70="","",IF(T70&gt;=Settings!$B$20,"Win",IF(T70&lt;=-Settings!$B$20,"Loss","BE")))</f>
        <v/>
      </c>
      <c r="V70" s="45" t="str">
        <f aca="false">IF(B70="","",Settings!$B$6)</f>
        <v/>
      </c>
      <c r="W70" s="46" t="str">
        <f aca="false">IF(B70="","",(Settings!$B$5+SUM(X$4:X69))*V70)</f>
        <v/>
      </c>
      <c r="X70" s="46" t="str">
        <f aca="false">IF(T70="","",ROUND(T70*W70,2))</f>
        <v/>
      </c>
      <c r="Y70" s="46" t="str">
        <f aca="false">IF(T70="","",Settings!$B$5+SUM(X$5:X70))</f>
        <v/>
      </c>
      <c r="Z70" s="43" t="str">
        <f aca="false">IF(T70="","",SUM(T$5:T70))</f>
        <v/>
      </c>
      <c r="AA70" s="43" t="str">
        <f aca="false">IF(T70="","",MAX(0,MAX(Z$5:Z70)))</f>
        <v/>
      </c>
      <c r="AB70" s="43" t="str">
        <f aca="false">IF(T70="","",Z70-AA70)</f>
        <v/>
      </c>
      <c r="AC70" s="38" t="str">
        <f aca="false">IF(U70="","",IF(U70="Loss",N(AC69)+1,0))</f>
        <v/>
      </c>
      <c r="AD70" s="40"/>
      <c r="AE70" s="38" t="str">
        <f aca="false">IF(B70="","",IF(AND(M70="Yes",OR(AD70="None",AD70="")),"Yes","No"))</f>
        <v/>
      </c>
      <c r="AF70" s="40"/>
      <c r="AG70" s="40"/>
      <c r="AH70" s="47"/>
      <c r="AI70" s="47"/>
    </row>
    <row r="71" customFormat="false" ht="15" hidden="false" customHeight="false" outlineLevel="0" collapsed="false">
      <c r="A71" s="38" t="str">
        <f aca="false">IF(B71="","",ROW()-4)</f>
        <v/>
      </c>
      <c r="B71" s="39"/>
      <c r="C71" s="38" t="str">
        <f aca="false">IF(B71="","",INT((B71-Settings!$B$4)/7)+1)</f>
        <v/>
      </c>
      <c r="D71" s="40"/>
      <c r="E71" s="40"/>
      <c r="F71" s="40"/>
      <c r="G71" s="40"/>
      <c r="H71" s="40"/>
      <c r="I71" s="40"/>
      <c r="J71" s="40"/>
      <c r="K71" s="40"/>
      <c r="L71" s="40"/>
      <c r="M71" s="38" t="str">
        <f aca="false">IF(B71="","",IF(COUNTIF(H71:L71,"Y")=5,"Yes","No"))</f>
        <v/>
      </c>
      <c r="N71" s="41"/>
      <c r="O71" s="42"/>
      <c r="P71" s="42"/>
      <c r="Q71" s="43" t="str">
        <f aca="false">IF(OR(O71="",P71=""),"",IF(F71="Long",O71+Settings!$B$7*(O71-P71),O71-Settings!$B$7*(P71-O71)))</f>
        <v/>
      </c>
      <c r="R71" s="42"/>
      <c r="S71" s="40"/>
      <c r="T71" s="44" t="str">
        <f aca="false">IF(OR(R71="",O71="",P71="",O71=P71),"",ROUND(IF(F71="Long",(R71-O71)/(O71-P71),(O71-R71)/(P71-O71)),2))</f>
        <v/>
      </c>
      <c r="U71" s="38" t="str">
        <f aca="false">IF(T71="","",IF(T71&gt;=Settings!$B$20,"Win",IF(T71&lt;=-Settings!$B$20,"Loss","BE")))</f>
        <v/>
      </c>
      <c r="V71" s="45" t="str">
        <f aca="false">IF(B71="","",Settings!$B$6)</f>
        <v/>
      </c>
      <c r="W71" s="46" t="str">
        <f aca="false">IF(B71="","",(Settings!$B$5+SUM(X$4:X70))*V71)</f>
        <v/>
      </c>
      <c r="X71" s="46" t="str">
        <f aca="false">IF(T71="","",ROUND(T71*W71,2))</f>
        <v/>
      </c>
      <c r="Y71" s="46" t="str">
        <f aca="false">IF(T71="","",Settings!$B$5+SUM(X$5:X71))</f>
        <v/>
      </c>
      <c r="Z71" s="43" t="str">
        <f aca="false">IF(T71="","",SUM(T$5:T71))</f>
        <v/>
      </c>
      <c r="AA71" s="43" t="str">
        <f aca="false">IF(T71="","",MAX(0,MAX(Z$5:Z71)))</f>
        <v/>
      </c>
      <c r="AB71" s="43" t="str">
        <f aca="false">IF(T71="","",Z71-AA71)</f>
        <v/>
      </c>
      <c r="AC71" s="38" t="str">
        <f aca="false">IF(U71="","",IF(U71="Loss",N(AC70)+1,0))</f>
        <v/>
      </c>
      <c r="AD71" s="40"/>
      <c r="AE71" s="38" t="str">
        <f aca="false">IF(B71="","",IF(AND(M71="Yes",OR(AD71="None",AD71="")),"Yes","No"))</f>
        <v/>
      </c>
      <c r="AF71" s="40"/>
      <c r="AG71" s="40"/>
      <c r="AH71" s="47"/>
      <c r="AI71" s="47"/>
    </row>
    <row r="72" customFormat="false" ht="15" hidden="false" customHeight="false" outlineLevel="0" collapsed="false">
      <c r="A72" s="38" t="str">
        <f aca="false">IF(B72="","",ROW()-4)</f>
        <v/>
      </c>
      <c r="B72" s="39"/>
      <c r="C72" s="38" t="str">
        <f aca="false">IF(B72="","",INT((B72-Settings!$B$4)/7)+1)</f>
        <v/>
      </c>
      <c r="D72" s="40"/>
      <c r="E72" s="40"/>
      <c r="F72" s="40"/>
      <c r="G72" s="40"/>
      <c r="H72" s="40"/>
      <c r="I72" s="40"/>
      <c r="J72" s="40"/>
      <c r="K72" s="40"/>
      <c r="L72" s="40"/>
      <c r="M72" s="38" t="str">
        <f aca="false">IF(B72="","",IF(COUNTIF(H72:L72,"Y")=5,"Yes","No"))</f>
        <v/>
      </c>
      <c r="N72" s="41"/>
      <c r="O72" s="42"/>
      <c r="P72" s="42"/>
      <c r="Q72" s="43" t="str">
        <f aca="false">IF(OR(O72="",P72=""),"",IF(F72="Long",O72+Settings!$B$7*(O72-P72),O72-Settings!$B$7*(P72-O72)))</f>
        <v/>
      </c>
      <c r="R72" s="42"/>
      <c r="S72" s="40"/>
      <c r="T72" s="44" t="str">
        <f aca="false">IF(OR(R72="",O72="",P72="",O72=P72),"",ROUND(IF(F72="Long",(R72-O72)/(O72-P72),(O72-R72)/(P72-O72)),2))</f>
        <v/>
      </c>
      <c r="U72" s="38" t="str">
        <f aca="false">IF(T72="","",IF(T72&gt;=Settings!$B$20,"Win",IF(T72&lt;=-Settings!$B$20,"Loss","BE")))</f>
        <v/>
      </c>
      <c r="V72" s="45" t="str">
        <f aca="false">IF(B72="","",Settings!$B$6)</f>
        <v/>
      </c>
      <c r="W72" s="46" t="str">
        <f aca="false">IF(B72="","",(Settings!$B$5+SUM(X$4:X71))*V72)</f>
        <v/>
      </c>
      <c r="X72" s="46" t="str">
        <f aca="false">IF(T72="","",ROUND(T72*W72,2))</f>
        <v/>
      </c>
      <c r="Y72" s="46" t="str">
        <f aca="false">IF(T72="","",Settings!$B$5+SUM(X$5:X72))</f>
        <v/>
      </c>
      <c r="Z72" s="43" t="str">
        <f aca="false">IF(T72="","",SUM(T$5:T72))</f>
        <v/>
      </c>
      <c r="AA72" s="43" t="str">
        <f aca="false">IF(T72="","",MAX(0,MAX(Z$5:Z72)))</f>
        <v/>
      </c>
      <c r="AB72" s="43" t="str">
        <f aca="false">IF(T72="","",Z72-AA72)</f>
        <v/>
      </c>
      <c r="AC72" s="38" t="str">
        <f aca="false">IF(U72="","",IF(U72="Loss",N(AC71)+1,0))</f>
        <v/>
      </c>
      <c r="AD72" s="40"/>
      <c r="AE72" s="38" t="str">
        <f aca="false">IF(B72="","",IF(AND(M72="Yes",OR(AD72="None",AD72="")),"Yes","No"))</f>
        <v/>
      </c>
      <c r="AF72" s="40"/>
      <c r="AG72" s="40"/>
      <c r="AH72" s="47"/>
      <c r="AI72" s="47"/>
    </row>
    <row r="73" customFormat="false" ht="15" hidden="false" customHeight="false" outlineLevel="0" collapsed="false">
      <c r="A73" s="38" t="str">
        <f aca="false">IF(B73="","",ROW()-4)</f>
        <v/>
      </c>
      <c r="B73" s="39"/>
      <c r="C73" s="38" t="str">
        <f aca="false">IF(B73="","",INT((B73-Settings!$B$4)/7)+1)</f>
        <v/>
      </c>
      <c r="D73" s="40"/>
      <c r="E73" s="40"/>
      <c r="F73" s="40"/>
      <c r="G73" s="40"/>
      <c r="H73" s="40"/>
      <c r="I73" s="40"/>
      <c r="J73" s="40"/>
      <c r="K73" s="40"/>
      <c r="L73" s="40"/>
      <c r="M73" s="38" t="str">
        <f aca="false">IF(B73="","",IF(COUNTIF(H73:L73,"Y")=5,"Yes","No"))</f>
        <v/>
      </c>
      <c r="N73" s="41"/>
      <c r="O73" s="42"/>
      <c r="P73" s="42"/>
      <c r="Q73" s="43" t="str">
        <f aca="false">IF(OR(O73="",P73=""),"",IF(F73="Long",O73+Settings!$B$7*(O73-P73),O73-Settings!$B$7*(P73-O73)))</f>
        <v/>
      </c>
      <c r="R73" s="42"/>
      <c r="S73" s="40"/>
      <c r="T73" s="44" t="str">
        <f aca="false">IF(OR(R73="",O73="",P73="",O73=P73),"",ROUND(IF(F73="Long",(R73-O73)/(O73-P73),(O73-R73)/(P73-O73)),2))</f>
        <v/>
      </c>
      <c r="U73" s="38" t="str">
        <f aca="false">IF(T73="","",IF(T73&gt;=Settings!$B$20,"Win",IF(T73&lt;=-Settings!$B$20,"Loss","BE")))</f>
        <v/>
      </c>
      <c r="V73" s="45" t="str">
        <f aca="false">IF(B73="","",Settings!$B$6)</f>
        <v/>
      </c>
      <c r="W73" s="46" t="str">
        <f aca="false">IF(B73="","",(Settings!$B$5+SUM(X$4:X72))*V73)</f>
        <v/>
      </c>
      <c r="X73" s="46" t="str">
        <f aca="false">IF(T73="","",ROUND(T73*W73,2))</f>
        <v/>
      </c>
      <c r="Y73" s="46" t="str">
        <f aca="false">IF(T73="","",Settings!$B$5+SUM(X$5:X73))</f>
        <v/>
      </c>
      <c r="Z73" s="43" t="str">
        <f aca="false">IF(T73="","",SUM(T$5:T73))</f>
        <v/>
      </c>
      <c r="AA73" s="43" t="str">
        <f aca="false">IF(T73="","",MAX(0,MAX(Z$5:Z73)))</f>
        <v/>
      </c>
      <c r="AB73" s="43" t="str">
        <f aca="false">IF(T73="","",Z73-AA73)</f>
        <v/>
      </c>
      <c r="AC73" s="38" t="str">
        <f aca="false">IF(U73="","",IF(U73="Loss",N(AC72)+1,0))</f>
        <v/>
      </c>
      <c r="AD73" s="40"/>
      <c r="AE73" s="38" t="str">
        <f aca="false">IF(B73="","",IF(AND(M73="Yes",OR(AD73="None",AD73="")),"Yes","No"))</f>
        <v/>
      </c>
      <c r="AF73" s="40"/>
      <c r="AG73" s="40"/>
      <c r="AH73" s="47"/>
      <c r="AI73" s="47"/>
    </row>
    <row r="74" customFormat="false" ht="15" hidden="false" customHeight="false" outlineLevel="0" collapsed="false">
      <c r="A74" s="38" t="str">
        <f aca="false">IF(B74="","",ROW()-4)</f>
        <v/>
      </c>
      <c r="B74" s="39"/>
      <c r="C74" s="38" t="str">
        <f aca="false">IF(B74="","",INT((B74-Settings!$B$4)/7)+1)</f>
        <v/>
      </c>
      <c r="D74" s="40"/>
      <c r="E74" s="40"/>
      <c r="F74" s="40"/>
      <c r="G74" s="40"/>
      <c r="H74" s="40"/>
      <c r="I74" s="40"/>
      <c r="J74" s="40"/>
      <c r="K74" s="40"/>
      <c r="L74" s="40"/>
      <c r="M74" s="38" t="str">
        <f aca="false">IF(B74="","",IF(COUNTIF(H74:L74,"Y")=5,"Yes","No"))</f>
        <v/>
      </c>
      <c r="N74" s="41"/>
      <c r="O74" s="42"/>
      <c r="P74" s="42"/>
      <c r="Q74" s="43" t="str">
        <f aca="false">IF(OR(O74="",P74=""),"",IF(F74="Long",O74+Settings!$B$7*(O74-P74),O74-Settings!$B$7*(P74-O74)))</f>
        <v/>
      </c>
      <c r="R74" s="42"/>
      <c r="S74" s="40"/>
      <c r="T74" s="44" t="str">
        <f aca="false">IF(OR(R74="",O74="",P74="",O74=P74),"",ROUND(IF(F74="Long",(R74-O74)/(O74-P74),(O74-R74)/(P74-O74)),2))</f>
        <v/>
      </c>
      <c r="U74" s="38" t="str">
        <f aca="false">IF(T74="","",IF(T74&gt;=Settings!$B$20,"Win",IF(T74&lt;=-Settings!$B$20,"Loss","BE")))</f>
        <v/>
      </c>
      <c r="V74" s="45" t="str">
        <f aca="false">IF(B74="","",Settings!$B$6)</f>
        <v/>
      </c>
      <c r="W74" s="46" t="str">
        <f aca="false">IF(B74="","",(Settings!$B$5+SUM(X$4:X73))*V74)</f>
        <v/>
      </c>
      <c r="X74" s="46" t="str">
        <f aca="false">IF(T74="","",ROUND(T74*W74,2))</f>
        <v/>
      </c>
      <c r="Y74" s="46" t="str">
        <f aca="false">IF(T74="","",Settings!$B$5+SUM(X$5:X74))</f>
        <v/>
      </c>
      <c r="Z74" s="43" t="str">
        <f aca="false">IF(T74="","",SUM(T$5:T74))</f>
        <v/>
      </c>
      <c r="AA74" s="43" t="str">
        <f aca="false">IF(T74="","",MAX(0,MAX(Z$5:Z74)))</f>
        <v/>
      </c>
      <c r="AB74" s="43" t="str">
        <f aca="false">IF(T74="","",Z74-AA74)</f>
        <v/>
      </c>
      <c r="AC74" s="38" t="str">
        <f aca="false">IF(U74="","",IF(U74="Loss",N(AC73)+1,0))</f>
        <v/>
      </c>
      <c r="AD74" s="40"/>
      <c r="AE74" s="38" t="str">
        <f aca="false">IF(B74="","",IF(AND(M74="Yes",OR(AD74="None",AD74="")),"Yes","No"))</f>
        <v/>
      </c>
      <c r="AF74" s="40"/>
      <c r="AG74" s="40"/>
      <c r="AH74" s="47"/>
      <c r="AI74" s="47"/>
    </row>
    <row r="75" customFormat="false" ht="15" hidden="false" customHeight="false" outlineLevel="0" collapsed="false">
      <c r="A75" s="38" t="str">
        <f aca="false">IF(B75="","",ROW()-4)</f>
        <v/>
      </c>
      <c r="B75" s="39"/>
      <c r="C75" s="38" t="str">
        <f aca="false">IF(B75="","",INT((B75-Settings!$B$4)/7)+1)</f>
        <v/>
      </c>
      <c r="D75" s="40"/>
      <c r="E75" s="40"/>
      <c r="F75" s="40"/>
      <c r="G75" s="40"/>
      <c r="H75" s="40"/>
      <c r="I75" s="40"/>
      <c r="J75" s="40"/>
      <c r="K75" s="40"/>
      <c r="L75" s="40"/>
      <c r="M75" s="38" t="str">
        <f aca="false">IF(B75="","",IF(COUNTIF(H75:L75,"Y")=5,"Yes","No"))</f>
        <v/>
      </c>
      <c r="N75" s="41"/>
      <c r="O75" s="42"/>
      <c r="P75" s="42"/>
      <c r="Q75" s="43" t="str">
        <f aca="false">IF(OR(O75="",P75=""),"",IF(F75="Long",O75+Settings!$B$7*(O75-P75),O75-Settings!$B$7*(P75-O75)))</f>
        <v/>
      </c>
      <c r="R75" s="42"/>
      <c r="S75" s="40"/>
      <c r="T75" s="44" t="str">
        <f aca="false">IF(OR(R75="",O75="",P75="",O75=P75),"",ROUND(IF(F75="Long",(R75-O75)/(O75-P75),(O75-R75)/(P75-O75)),2))</f>
        <v/>
      </c>
      <c r="U75" s="38" t="str">
        <f aca="false">IF(T75="","",IF(T75&gt;=Settings!$B$20,"Win",IF(T75&lt;=-Settings!$B$20,"Loss","BE")))</f>
        <v/>
      </c>
      <c r="V75" s="45" t="str">
        <f aca="false">IF(B75="","",Settings!$B$6)</f>
        <v/>
      </c>
      <c r="W75" s="46" t="str">
        <f aca="false">IF(B75="","",(Settings!$B$5+SUM(X$4:X74))*V75)</f>
        <v/>
      </c>
      <c r="X75" s="46" t="str">
        <f aca="false">IF(T75="","",ROUND(T75*W75,2))</f>
        <v/>
      </c>
      <c r="Y75" s="46" t="str">
        <f aca="false">IF(T75="","",Settings!$B$5+SUM(X$5:X75))</f>
        <v/>
      </c>
      <c r="Z75" s="43" t="str">
        <f aca="false">IF(T75="","",SUM(T$5:T75))</f>
        <v/>
      </c>
      <c r="AA75" s="43" t="str">
        <f aca="false">IF(T75="","",MAX(0,MAX(Z$5:Z75)))</f>
        <v/>
      </c>
      <c r="AB75" s="43" t="str">
        <f aca="false">IF(T75="","",Z75-AA75)</f>
        <v/>
      </c>
      <c r="AC75" s="38" t="str">
        <f aca="false">IF(U75="","",IF(U75="Loss",N(AC74)+1,0))</f>
        <v/>
      </c>
      <c r="AD75" s="40"/>
      <c r="AE75" s="38" t="str">
        <f aca="false">IF(B75="","",IF(AND(M75="Yes",OR(AD75="None",AD75="")),"Yes","No"))</f>
        <v/>
      </c>
      <c r="AF75" s="40"/>
      <c r="AG75" s="40"/>
      <c r="AH75" s="47"/>
      <c r="AI75" s="47"/>
    </row>
    <row r="76" customFormat="false" ht="15" hidden="false" customHeight="false" outlineLevel="0" collapsed="false">
      <c r="A76" s="38" t="str">
        <f aca="false">IF(B76="","",ROW()-4)</f>
        <v/>
      </c>
      <c r="B76" s="39"/>
      <c r="C76" s="38" t="str">
        <f aca="false">IF(B76="","",INT((B76-Settings!$B$4)/7)+1)</f>
        <v/>
      </c>
      <c r="D76" s="40"/>
      <c r="E76" s="40"/>
      <c r="F76" s="40"/>
      <c r="G76" s="40"/>
      <c r="H76" s="40"/>
      <c r="I76" s="40"/>
      <c r="J76" s="40"/>
      <c r="K76" s="40"/>
      <c r="L76" s="40"/>
      <c r="M76" s="38" t="str">
        <f aca="false">IF(B76="","",IF(COUNTIF(H76:L76,"Y")=5,"Yes","No"))</f>
        <v/>
      </c>
      <c r="N76" s="41"/>
      <c r="O76" s="42"/>
      <c r="P76" s="42"/>
      <c r="Q76" s="43" t="str">
        <f aca="false">IF(OR(O76="",P76=""),"",IF(F76="Long",O76+Settings!$B$7*(O76-P76),O76-Settings!$B$7*(P76-O76)))</f>
        <v/>
      </c>
      <c r="R76" s="42"/>
      <c r="S76" s="40"/>
      <c r="T76" s="44" t="str">
        <f aca="false">IF(OR(R76="",O76="",P76="",O76=P76),"",ROUND(IF(F76="Long",(R76-O76)/(O76-P76),(O76-R76)/(P76-O76)),2))</f>
        <v/>
      </c>
      <c r="U76" s="38" t="str">
        <f aca="false">IF(T76="","",IF(T76&gt;=Settings!$B$20,"Win",IF(T76&lt;=-Settings!$B$20,"Loss","BE")))</f>
        <v/>
      </c>
      <c r="V76" s="45" t="str">
        <f aca="false">IF(B76="","",Settings!$B$6)</f>
        <v/>
      </c>
      <c r="W76" s="46" t="str">
        <f aca="false">IF(B76="","",(Settings!$B$5+SUM(X$4:X75))*V76)</f>
        <v/>
      </c>
      <c r="X76" s="46" t="str">
        <f aca="false">IF(T76="","",ROUND(T76*W76,2))</f>
        <v/>
      </c>
      <c r="Y76" s="46" t="str">
        <f aca="false">IF(T76="","",Settings!$B$5+SUM(X$5:X76))</f>
        <v/>
      </c>
      <c r="Z76" s="43" t="str">
        <f aca="false">IF(T76="","",SUM(T$5:T76))</f>
        <v/>
      </c>
      <c r="AA76" s="43" t="str">
        <f aca="false">IF(T76="","",MAX(0,MAX(Z$5:Z76)))</f>
        <v/>
      </c>
      <c r="AB76" s="43" t="str">
        <f aca="false">IF(T76="","",Z76-AA76)</f>
        <v/>
      </c>
      <c r="AC76" s="38" t="str">
        <f aca="false">IF(U76="","",IF(U76="Loss",N(AC75)+1,0))</f>
        <v/>
      </c>
      <c r="AD76" s="40"/>
      <c r="AE76" s="38" t="str">
        <f aca="false">IF(B76="","",IF(AND(M76="Yes",OR(AD76="None",AD76="")),"Yes","No"))</f>
        <v/>
      </c>
      <c r="AF76" s="40"/>
      <c r="AG76" s="40"/>
      <c r="AH76" s="47"/>
      <c r="AI76" s="47"/>
    </row>
    <row r="77" customFormat="false" ht="15" hidden="false" customHeight="false" outlineLevel="0" collapsed="false">
      <c r="A77" s="38" t="str">
        <f aca="false">IF(B77="","",ROW()-4)</f>
        <v/>
      </c>
      <c r="B77" s="39"/>
      <c r="C77" s="38" t="str">
        <f aca="false">IF(B77="","",INT((B77-Settings!$B$4)/7)+1)</f>
        <v/>
      </c>
      <c r="D77" s="40"/>
      <c r="E77" s="40"/>
      <c r="F77" s="40"/>
      <c r="G77" s="40"/>
      <c r="H77" s="40"/>
      <c r="I77" s="40"/>
      <c r="J77" s="40"/>
      <c r="K77" s="40"/>
      <c r="L77" s="40"/>
      <c r="M77" s="38" t="str">
        <f aca="false">IF(B77="","",IF(COUNTIF(H77:L77,"Y")=5,"Yes","No"))</f>
        <v/>
      </c>
      <c r="N77" s="41"/>
      <c r="O77" s="42"/>
      <c r="P77" s="42"/>
      <c r="Q77" s="43" t="str">
        <f aca="false">IF(OR(O77="",P77=""),"",IF(F77="Long",O77+Settings!$B$7*(O77-P77),O77-Settings!$B$7*(P77-O77)))</f>
        <v/>
      </c>
      <c r="R77" s="42"/>
      <c r="S77" s="40"/>
      <c r="T77" s="44" t="str">
        <f aca="false">IF(OR(R77="",O77="",P77="",O77=P77),"",ROUND(IF(F77="Long",(R77-O77)/(O77-P77),(O77-R77)/(P77-O77)),2))</f>
        <v/>
      </c>
      <c r="U77" s="38" t="str">
        <f aca="false">IF(T77="","",IF(T77&gt;=Settings!$B$20,"Win",IF(T77&lt;=-Settings!$B$20,"Loss","BE")))</f>
        <v/>
      </c>
      <c r="V77" s="45" t="str">
        <f aca="false">IF(B77="","",Settings!$B$6)</f>
        <v/>
      </c>
      <c r="W77" s="46" t="str">
        <f aca="false">IF(B77="","",(Settings!$B$5+SUM(X$4:X76))*V77)</f>
        <v/>
      </c>
      <c r="X77" s="46" t="str">
        <f aca="false">IF(T77="","",ROUND(T77*W77,2))</f>
        <v/>
      </c>
      <c r="Y77" s="46" t="str">
        <f aca="false">IF(T77="","",Settings!$B$5+SUM(X$5:X77))</f>
        <v/>
      </c>
      <c r="Z77" s="43" t="str">
        <f aca="false">IF(T77="","",SUM(T$5:T77))</f>
        <v/>
      </c>
      <c r="AA77" s="43" t="str">
        <f aca="false">IF(T77="","",MAX(0,MAX(Z$5:Z77)))</f>
        <v/>
      </c>
      <c r="AB77" s="43" t="str">
        <f aca="false">IF(T77="","",Z77-AA77)</f>
        <v/>
      </c>
      <c r="AC77" s="38" t="str">
        <f aca="false">IF(U77="","",IF(U77="Loss",N(AC76)+1,0))</f>
        <v/>
      </c>
      <c r="AD77" s="40"/>
      <c r="AE77" s="38" t="str">
        <f aca="false">IF(B77="","",IF(AND(M77="Yes",OR(AD77="None",AD77="")),"Yes","No"))</f>
        <v/>
      </c>
      <c r="AF77" s="40"/>
      <c r="AG77" s="40"/>
      <c r="AH77" s="47"/>
      <c r="AI77" s="47"/>
    </row>
    <row r="78" customFormat="false" ht="15" hidden="false" customHeight="false" outlineLevel="0" collapsed="false">
      <c r="A78" s="38" t="str">
        <f aca="false">IF(B78="","",ROW()-4)</f>
        <v/>
      </c>
      <c r="B78" s="39"/>
      <c r="C78" s="38" t="str">
        <f aca="false">IF(B78="","",INT((B78-Settings!$B$4)/7)+1)</f>
        <v/>
      </c>
      <c r="D78" s="40"/>
      <c r="E78" s="40"/>
      <c r="F78" s="40"/>
      <c r="G78" s="40"/>
      <c r="H78" s="40"/>
      <c r="I78" s="40"/>
      <c r="J78" s="40"/>
      <c r="K78" s="40"/>
      <c r="L78" s="40"/>
      <c r="M78" s="38" t="str">
        <f aca="false">IF(B78="","",IF(COUNTIF(H78:L78,"Y")=5,"Yes","No"))</f>
        <v/>
      </c>
      <c r="N78" s="41"/>
      <c r="O78" s="42"/>
      <c r="P78" s="42"/>
      <c r="Q78" s="43" t="str">
        <f aca="false">IF(OR(O78="",P78=""),"",IF(F78="Long",O78+Settings!$B$7*(O78-P78),O78-Settings!$B$7*(P78-O78)))</f>
        <v/>
      </c>
      <c r="R78" s="42"/>
      <c r="S78" s="40"/>
      <c r="T78" s="44" t="str">
        <f aca="false">IF(OR(R78="",O78="",P78="",O78=P78),"",ROUND(IF(F78="Long",(R78-O78)/(O78-P78),(O78-R78)/(P78-O78)),2))</f>
        <v/>
      </c>
      <c r="U78" s="38" t="str">
        <f aca="false">IF(T78="","",IF(T78&gt;=Settings!$B$20,"Win",IF(T78&lt;=-Settings!$B$20,"Loss","BE")))</f>
        <v/>
      </c>
      <c r="V78" s="45" t="str">
        <f aca="false">IF(B78="","",Settings!$B$6)</f>
        <v/>
      </c>
      <c r="W78" s="46" t="str">
        <f aca="false">IF(B78="","",(Settings!$B$5+SUM(X$4:X77))*V78)</f>
        <v/>
      </c>
      <c r="X78" s="46" t="str">
        <f aca="false">IF(T78="","",ROUND(T78*W78,2))</f>
        <v/>
      </c>
      <c r="Y78" s="46" t="str">
        <f aca="false">IF(T78="","",Settings!$B$5+SUM(X$5:X78))</f>
        <v/>
      </c>
      <c r="Z78" s="43" t="str">
        <f aca="false">IF(T78="","",SUM(T$5:T78))</f>
        <v/>
      </c>
      <c r="AA78" s="43" t="str">
        <f aca="false">IF(T78="","",MAX(0,MAX(Z$5:Z78)))</f>
        <v/>
      </c>
      <c r="AB78" s="43" t="str">
        <f aca="false">IF(T78="","",Z78-AA78)</f>
        <v/>
      </c>
      <c r="AC78" s="38" t="str">
        <f aca="false">IF(U78="","",IF(U78="Loss",N(AC77)+1,0))</f>
        <v/>
      </c>
      <c r="AD78" s="40"/>
      <c r="AE78" s="38" t="str">
        <f aca="false">IF(B78="","",IF(AND(M78="Yes",OR(AD78="None",AD78="")),"Yes","No"))</f>
        <v/>
      </c>
      <c r="AF78" s="40"/>
      <c r="AG78" s="40"/>
      <c r="AH78" s="47"/>
      <c r="AI78" s="47"/>
    </row>
    <row r="79" customFormat="false" ht="15" hidden="false" customHeight="false" outlineLevel="0" collapsed="false">
      <c r="A79" s="38" t="str">
        <f aca="false">IF(B79="","",ROW()-4)</f>
        <v/>
      </c>
      <c r="B79" s="39"/>
      <c r="C79" s="38" t="str">
        <f aca="false">IF(B79="","",INT((B79-Settings!$B$4)/7)+1)</f>
        <v/>
      </c>
      <c r="D79" s="40"/>
      <c r="E79" s="40"/>
      <c r="F79" s="40"/>
      <c r="G79" s="40"/>
      <c r="H79" s="40"/>
      <c r="I79" s="40"/>
      <c r="J79" s="40"/>
      <c r="K79" s="40"/>
      <c r="L79" s="40"/>
      <c r="M79" s="38" t="str">
        <f aca="false">IF(B79="","",IF(COUNTIF(H79:L79,"Y")=5,"Yes","No"))</f>
        <v/>
      </c>
      <c r="N79" s="41"/>
      <c r="O79" s="42"/>
      <c r="P79" s="42"/>
      <c r="Q79" s="43" t="str">
        <f aca="false">IF(OR(O79="",P79=""),"",IF(F79="Long",O79+Settings!$B$7*(O79-P79),O79-Settings!$B$7*(P79-O79)))</f>
        <v/>
      </c>
      <c r="R79" s="42"/>
      <c r="S79" s="40"/>
      <c r="T79" s="44" t="str">
        <f aca="false">IF(OR(R79="",O79="",P79="",O79=P79),"",ROUND(IF(F79="Long",(R79-O79)/(O79-P79),(O79-R79)/(P79-O79)),2))</f>
        <v/>
      </c>
      <c r="U79" s="38" t="str">
        <f aca="false">IF(T79="","",IF(T79&gt;=Settings!$B$20,"Win",IF(T79&lt;=-Settings!$B$20,"Loss","BE")))</f>
        <v/>
      </c>
      <c r="V79" s="45" t="str">
        <f aca="false">IF(B79="","",Settings!$B$6)</f>
        <v/>
      </c>
      <c r="W79" s="46" t="str">
        <f aca="false">IF(B79="","",(Settings!$B$5+SUM(X$4:X78))*V79)</f>
        <v/>
      </c>
      <c r="X79" s="46" t="str">
        <f aca="false">IF(T79="","",ROUND(T79*W79,2))</f>
        <v/>
      </c>
      <c r="Y79" s="46" t="str">
        <f aca="false">IF(T79="","",Settings!$B$5+SUM(X$5:X79))</f>
        <v/>
      </c>
      <c r="Z79" s="43" t="str">
        <f aca="false">IF(T79="","",SUM(T$5:T79))</f>
        <v/>
      </c>
      <c r="AA79" s="43" t="str">
        <f aca="false">IF(T79="","",MAX(0,MAX(Z$5:Z79)))</f>
        <v/>
      </c>
      <c r="AB79" s="43" t="str">
        <f aca="false">IF(T79="","",Z79-AA79)</f>
        <v/>
      </c>
      <c r="AC79" s="38" t="str">
        <f aca="false">IF(U79="","",IF(U79="Loss",N(AC78)+1,0))</f>
        <v/>
      </c>
      <c r="AD79" s="40"/>
      <c r="AE79" s="38" t="str">
        <f aca="false">IF(B79="","",IF(AND(M79="Yes",OR(AD79="None",AD79="")),"Yes","No"))</f>
        <v/>
      </c>
      <c r="AF79" s="40"/>
      <c r="AG79" s="40"/>
      <c r="AH79" s="47"/>
      <c r="AI79" s="47"/>
    </row>
    <row r="80" customFormat="false" ht="15" hidden="false" customHeight="false" outlineLevel="0" collapsed="false">
      <c r="A80" s="38" t="str">
        <f aca="false">IF(B80="","",ROW()-4)</f>
        <v/>
      </c>
      <c r="B80" s="39"/>
      <c r="C80" s="38" t="str">
        <f aca="false">IF(B80="","",INT((B80-Settings!$B$4)/7)+1)</f>
        <v/>
      </c>
      <c r="D80" s="40"/>
      <c r="E80" s="40"/>
      <c r="F80" s="40"/>
      <c r="G80" s="40"/>
      <c r="H80" s="40"/>
      <c r="I80" s="40"/>
      <c r="J80" s="40"/>
      <c r="K80" s="40"/>
      <c r="L80" s="40"/>
      <c r="M80" s="38" t="str">
        <f aca="false">IF(B80="","",IF(COUNTIF(H80:L80,"Y")=5,"Yes","No"))</f>
        <v/>
      </c>
      <c r="N80" s="41"/>
      <c r="O80" s="42"/>
      <c r="P80" s="42"/>
      <c r="Q80" s="43" t="str">
        <f aca="false">IF(OR(O80="",P80=""),"",IF(F80="Long",O80+Settings!$B$7*(O80-P80),O80-Settings!$B$7*(P80-O80)))</f>
        <v/>
      </c>
      <c r="R80" s="42"/>
      <c r="S80" s="40"/>
      <c r="T80" s="44" t="str">
        <f aca="false">IF(OR(R80="",O80="",P80="",O80=P80),"",ROUND(IF(F80="Long",(R80-O80)/(O80-P80),(O80-R80)/(P80-O80)),2))</f>
        <v/>
      </c>
      <c r="U80" s="38" t="str">
        <f aca="false">IF(T80="","",IF(T80&gt;=Settings!$B$20,"Win",IF(T80&lt;=-Settings!$B$20,"Loss","BE")))</f>
        <v/>
      </c>
      <c r="V80" s="45" t="str">
        <f aca="false">IF(B80="","",Settings!$B$6)</f>
        <v/>
      </c>
      <c r="W80" s="46" t="str">
        <f aca="false">IF(B80="","",(Settings!$B$5+SUM(X$4:X79))*V80)</f>
        <v/>
      </c>
      <c r="X80" s="46" t="str">
        <f aca="false">IF(T80="","",ROUND(T80*W80,2))</f>
        <v/>
      </c>
      <c r="Y80" s="46" t="str">
        <f aca="false">IF(T80="","",Settings!$B$5+SUM(X$5:X80))</f>
        <v/>
      </c>
      <c r="Z80" s="43" t="str">
        <f aca="false">IF(T80="","",SUM(T$5:T80))</f>
        <v/>
      </c>
      <c r="AA80" s="43" t="str">
        <f aca="false">IF(T80="","",MAX(0,MAX(Z$5:Z80)))</f>
        <v/>
      </c>
      <c r="AB80" s="43" t="str">
        <f aca="false">IF(T80="","",Z80-AA80)</f>
        <v/>
      </c>
      <c r="AC80" s="38" t="str">
        <f aca="false">IF(U80="","",IF(U80="Loss",N(AC79)+1,0))</f>
        <v/>
      </c>
      <c r="AD80" s="40"/>
      <c r="AE80" s="38" t="str">
        <f aca="false">IF(B80="","",IF(AND(M80="Yes",OR(AD80="None",AD80="")),"Yes","No"))</f>
        <v/>
      </c>
      <c r="AF80" s="40"/>
      <c r="AG80" s="40"/>
      <c r="AH80" s="47"/>
      <c r="AI80" s="47"/>
    </row>
    <row r="81" customFormat="false" ht="15" hidden="false" customHeight="false" outlineLevel="0" collapsed="false">
      <c r="A81" s="38" t="str">
        <f aca="false">IF(B81="","",ROW()-4)</f>
        <v/>
      </c>
      <c r="B81" s="39"/>
      <c r="C81" s="38" t="str">
        <f aca="false">IF(B81="","",INT((B81-Settings!$B$4)/7)+1)</f>
        <v/>
      </c>
      <c r="D81" s="40"/>
      <c r="E81" s="40"/>
      <c r="F81" s="40"/>
      <c r="G81" s="40"/>
      <c r="H81" s="40"/>
      <c r="I81" s="40"/>
      <c r="J81" s="40"/>
      <c r="K81" s="40"/>
      <c r="L81" s="40"/>
      <c r="M81" s="38" t="str">
        <f aca="false">IF(B81="","",IF(COUNTIF(H81:L81,"Y")=5,"Yes","No"))</f>
        <v/>
      </c>
      <c r="N81" s="41"/>
      <c r="O81" s="42"/>
      <c r="P81" s="42"/>
      <c r="Q81" s="43" t="str">
        <f aca="false">IF(OR(O81="",P81=""),"",IF(F81="Long",O81+Settings!$B$7*(O81-P81),O81-Settings!$B$7*(P81-O81)))</f>
        <v/>
      </c>
      <c r="R81" s="42"/>
      <c r="S81" s="40"/>
      <c r="T81" s="44" t="str">
        <f aca="false">IF(OR(R81="",O81="",P81="",O81=P81),"",ROUND(IF(F81="Long",(R81-O81)/(O81-P81),(O81-R81)/(P81-O81)),2))</f>
        <v/>
      </c>
      <c r="U81" s="38" t="str">
        <f aca="false">IF(T81="","",IF(T81&gt;=Settings!$B$20,"Win",IF(T81&lt;=-Settings!$B$20,"Loss","BE")))</f>
        <v/>
      </c>
      <c r="V81" s="45" t="str">
        <f aca="false">IF(B81="","",Settings!$B$6)</f>
        <v/>
      </c>
      <c r="W81" s="46" t="str">
        <f aca="false">IF(B81="","",(Settings!$B$5+SUM(X$4:X80))*V81)</f>
        <v/>
      </c>
      <c r="X81" s="46" t="str">
        <f aca="false">IF(T81="","",ROUND(T81*W81,2))</f>
        <v/>
      </c>
      <c r="Y81" s="46" t="str">
        <f aca="false">IF(T81="","",Settings!$B$5+SUM(X$5:X81))</f>
        <v/>
      </c>
      <c r="Z81" s="43" t="str">
        <f aca="false">IF(T81="","",SUM(T$5:T81))</f>
        <v/>
      </c>
      <c r="AA81" s="43" t="str">
        <f aca="false">IF(T81="","",MAX(0,MAX(Z$5:Z81)))</f>
        <v/>
      </c>
      <c r="AB81" s="43" t="str">
        <f aca="false">IF(T81="","",Z81-AA81)</f>
        <v/>
      </c>
      <c r="AC81" s="38" t="str">
        <f aca="false">IF(U81="","",IF(U81="Loss",N(AC80)+1,0))</f>
        <v/>
      </c>
      <c r="AD81" s="40"/>
      <c r="AE81" s="38" t="str">
        <f aca="false">IF(B81="","",IF(AND(M81="Yes",OR(AD81="None",AD81="")),"Yes","No"))</f>
        <v/>
      </c>
      <c r="AF81" s="40"/>
      <c r="AG81" s="40"/>
      <c r="AH81" s="47"/>
      <c r="AI81" s="47"/>
    </row>
    <row r="82" customFormat="false" ht="15" hidden="false" customHeight="false" outlineLevel="0" collapsed="false">
      <c r="A82" s="38" t="str">
        <f aca="false">IF(B82="","",ROW()-4)</f>
        <v/>
      </c>
      <c r="B82" s="39"/>
      <c r="C82" s="38" t="str">
        <f aca="false">IF(B82="","",INT((B82-Settings!$B$4)/7)+1)</f>
        <v/>
      </c>
      <c r="D82" s="40"/>
      <c r="E82" s="40"/>
      <c r="F82" s="40"/>
      <c r="G82" s="40"/>
      <c r="H82" s="40"/>
      <c r="I82" s="40"/>
      <c r="J82" s="40"/>
      <c r="K82" s="40"/>
      <c r="L82" s="40"/>
      <c r="M82" s="38" t="str">
        <f aca="false">IF(B82="","",IF(COUNTIF(H82:L82,"Y")=5,"Yes","No"))</f>
        <v/>
      </c>
      <c r="N82" s="41"/>
      <c r="O82" s="42"/>
      <c r="P82" s="42"/>
      <c r="Q82" s="43" t="str">
        <f aca="false">IF(OR(O82="",P82=""),"",IF(F82="Long",O82+Settings!$B$7*(O82-P82),O82-Settings!$B$7*(P82-O82)))</f>
        <v/>
      </c>
      <c r="R82" s="42"/>
      <c r="S82" s="40"/>
      <c r="T82" s="44" t="str">
        <f aca="false">IF(OR(R82="",O82="",P82="",O82=P82),"",ROUND(IF(F82="Long",(R82-O82)/(O82-P82),(O82-R82)/(P82-O82)),2))</f>
        <v/>
      </c>
      <c r="U82" s="38" t="str">
        <f aca="false">IF(T82="","",IF(T82&gt;=Settings!$B$20,"Win",IF(T82&lt;=-Settings!$B$20,"Loss","BE")))</f>
        <v/>
      </c>
      <c r="V82" s="45" t="str">
        <f aca="false">IF(B82="","",Settings!$B$6)</f>
        <v/>
      </c>
      <c r="W82" s="46" t="str">
        <f aca="false">IF(B82="","",(Settings!$B$5+SUM(X$4:X81))*V82)</f>
        <v/>
      </c>
      <c r="X82" s="46" t="str">
        <f aca="false">IF(T82="","",ROUND(T82*W82,2))</f>
        <v/>
      </c>
      <c r="Y82" s="46" t="str">
        <f aca="false">IF(T82="","",Settings!$B$5+SUM(X$5:X82))</f>
        <v/>
      </c>
      <c r="Z82" s="43" t="str">
        <f aca="false">IF(T82="","",SUM(T$5:T82))</f>
        <v/>
      </c>
      <c r="AA82" s="43" t="str">
        <f aca="false">IF(T82="","",MAX(0,MAX(Z$5:Z82)))</f>
        <v/>
      </c>
      <c r="AB82" s="43" t="str">
        <f aca="false">IF(T82="","",Z82-AA82)</f>
        <v/>
      </c>
      <c r="AC82" s="38" t="str">
        <f aca="false">IF(U82="","",IF(U82="Loss",N(AC81)+1,0))</f>
        <v/>
      </c>
      <c r="AD82" s="40"/>
      <c r="AE82" s="38" t="str">
        <f aca="false">IF(B82="","",IF(AND(M82="Yes",OR(AD82="None",AD82="")),"Yes","No"))</f>
        <v/>
      </c>
      <c r="AF82" s="40"/>
      <c r="AG82" s="40"/>
      <c r="AH82" s="47"/>
      <c r="AI82" s="47"/>
    </row>
    <row r="83" customFormat="false" ht="15" hidden="false" customHeight="false" outlineLevel="0" collapsed="false">
      <c r="A83" s="38" t="str">
        <f aca="false">IF(B83="","",ROW()-4)</f>
        <v/>
      </c>
      <c r="B83" s="39"/>
      <c r="C83" s="38" t="str">
        <f aca="false">IF(B83="","",INT((B83-Settings!$B$4)/7)+1)</f>
        <v/>
      </c>
      <c r="D83" s="40"/>
      <c r="E83" s="40"/>
      <c r="F83" s="40"/>
      <c r="G83" s="40"/>
      <c r="H83" s="40"/>
      <c r="I83" s="40"/>
      <c r="J83" s="40"/>
      <c r="K83" s="40"/>
      <c r="L83" s="40"/>
      <c r="M83" s="38" t="str">
        <f aca="false">IF(B83="","",IF(COUNTIF(H83:L83,"Y")=5,"Yes","No"))</f>
        <v/>
      </c>
      <c r="N83" s="41"/>
      <c r="O83" s="42"/>
      <c r="P83" s="42"/>
      <c r="Q83" s="43" t="str">
        <f aca="false">IF(OR(O83="",P83=""),"",IF(F83="Long",O83+Settings!$B$7*(O83-P83),O83-Settings!$B$7*(P83-O83)))</f>
        <v/>
      </c>
      <c r="R83" s="42"/>
      <c r="S83" s="40"/>
      <c r="T83" s="44" t="str">
        <f aca="false">IF(OR(R83="",O83="",P83="",O83=P83),"",ROUND(IF(F83="Long",(R83-O83)/(O83-P83),(O83-R83)/(P83-O83)),2))</f>
        <v/>
      </c>
      <c r="U83" s="38" t="str">
        <f aca="false">IF(T83="","",IF(T83&gt;=Settings!$B$20,"Win",IF(T83&lt;=-Settings!$B$20,"Loss","BE")))</f>
        <v/>
      </c>
      <c r="V83" s="45" t="str">
        <f aca="false">IF(B83="","",Settings!$B$6)</f>
        <v/>
      </c>
      <c r="W83" s="46" t="str">
        <f aca="false">IF(B83="","",(Settings!$B$5+SUM(X$4:X82))*V83)</f>
        <v/>
      </c>
      <c r="X83" s="46" t="str">
        <f aca="false">IF(T83="","",ROUND(T83*W83,2))</f>
        <v/>
      </c>
      <c r="Y83" s="46" t="str">
        <f aca="false">IF(T83="","",Settings!$B$5+SUM(X$5:X83))</f>
        <v/>
      </c>
      <c r="Z83" s="43" t="str">
        <f aca="false">IF(T83="","",SUM(T$5:T83))</f>
        <v/>
      </c>
      <c r="AA83" s="43" t="str">
        <f aca="false">IF(T83="","",MAX(0,MAX(Z$5:Z83)))</f>
        <v/>
      </c>
      <c r="AB83" s="43" t="str">
        <f aca="false">IF(T83="","",Z83-AA83)</f>
        <v/>
      </c>
      <c r="AC83" s="38" t="str">
        <f aca="false">IF(U83="","",IF(U83="Loss",N(AC82)+1,0))</f>
        <v/>
      </c>
      <c r="AD83" s="40"/>
      <c r="AE83" s="38" t="str">
        <f aca="false">IF(B83="","",IF(AND(M83="Yes",OR(AD83="None",AD83="")),"Yes","No"))</f>
        <v/>
      </c>
      <c r="AF83" s="40"/>
      <c r="AG83" s="40"/>
      <c r="AH83" s="47"/>
      <c r="AI83" s="47"/>
    </row>
    <row r="84" customFormat="false" ht="15" hidden="false" customHeight="false" outlineLevel="0" collapsed="false">
      <c r="A84" s="38" t="str">
        <f aca="false">IF(B84="","",ROW()-4)</f>
        <v/>
      </c>
      <c r="B84" s="39"/>
      <c r="C84" s="38" t="str">
        <f aca="false">IF(B84="","",INT((B84-Settings!$B$4)/7)+1)</f>
        <v/>
      </c>
      <c r="D84" s="40"/>
      <c r="E84" s="40"/>
      <c r="F84" s="40"/>
      <c r="G84" s="40"/>
      <c r="H84" s="40"/>
      <c r="I84" s="40"/>
      <c r="J84" s="40"/>
      <c r="K84" s="40"/>
      <c r="L84" s="40"/>
      <c r="M84" s="38" t="str">
        <f aca="false">IF(B84="","",IF(COUNTIF(H84:L84,"Y")=5,"Yes","No"))</f>
        <v/>
      </c>
      <c r="N84" s="41"/>
      <c r="O84" s="42"/>
      <c r="P84" s="42"/>
      <c r="Q84" s="43" t="str">
        <f aca="false">IF(OR(O84="",P84=""),"",IF(F84="Long",O84+Settings!$B$7*(O84-P84),O84-Settings!$B$7*(P84-O84)))</f>
        <v/>
      </c>
      <c r="R84" s="42"/>
      <c r="S84" s="40"/>
      <c r="T84" s="44" t="str">
        <f aca="false">IF(OR(R84="",O84="",P84="",O84=P84),"",ROUND(IF(F84="Long",(R84-O84)/(O84-P84),(O84-R84)/(P84-O84)),2))</f>
        <v/>
      </c>
      <c r="U84" s="38" t="str">
        <f aca="false">IF(T84="","",IF(T84&gt;=Settings!$B$20,"Win",IF(T84&lt;=-Settings!$B$20,"Loss","BE")))</f>
        <v/>
      </c>
      <c r="V84" s="45" t="str">
        <f aca="false">IF(B84="","",Settings!$B$6)</f>
        <v/>
      </c>
      <c r="W84" s="46" t="str">
        <f aca="false">IF(B84="","",(Settings!$B$5+SUM(X$4:X83))*V84)</f>
        <v/>
      </c>
      <c r="X84" s="46" t="str">
        <f aca="false">IF(T84="","",ROUND(T84*W84,2))</f>
        <v/>
      </c>
      <c r="Y84" s="46" t="str">
        <f aca="false">IF(T84="","",Settings!$B$5+SUM(X$5:X84))</f>
        <v/>
      </c>
      <c r="Z84" s="43" t="str">
        <f aca="false">IF(T84="","",SUM(T$5:T84))</f>
        <v/>
      </c>
      <c r="AA84" s="43" t="str">
        <f aca="false">IF(T84="","",MAX(0,MAX(Z$5:Z84)))</f>
        <v/>
      </c>
      <c r="AB84" s="43" t="str">
        <f aca="false">IF(T84="","",Z84-AA84)</f>
        <v/>
      </c>
      <c r="AC84" s="38" t="str">
        <f aca="false">IF(U84="","",IF(U84="Loss",N(AC83)+1,0))</f>
        <v/>
      </c>
      <c r="AD84" s="40"/>
      <c r="AE84" s="38" t="str">
        <f aca="false">IF(B84="","",IF(AND(M84="Yes",OR(AD84="None",AD84="")),"Yes","No"))</f>
        <v/>
      </c>
      <c r="AF84" s="40"/>
      <c r="AG84" s="40"/>
      <c r="AH84" s="47"/>
      <c r="AI84" s="47"/>
    </row>
    <row r="85" customFormat="false" ht="15" hidden="false" customHeight="false" outlineLevel="0" collapsed="false">
      <c r="A85" s="38" t="str">
        <f aca="false">IF(B85="","",ROW()-4)</f>
        <v/>
      </c>
      <c r="B85" s="39"/>
      <c r="C85" s="38" t="str">
        <f aca="false">IF(B85="","",INT((B85-Settings!$B$4)/7)+1)</f>
        <v/>
      </c>
      <c r="D85" s="40"/>
      <c r="E85" s="40"/>
      <c r="F85" s="40"/>
      <c r="G85" s="40"/>
      <c r="H85" s="40"/>
      <c r="I85" s="40"/>
      <c r="J85" s="40"/>
      <c r="K85" s="40"/>
      <c r="L85" s="40"/>
      <c r="M85" s="38" t="str">
        <f aca="false">IF(B85="","",IF(COUNTIF(H85:L85,"Y")=5,"Yes","No"))</f>
        <v/>
      </c>
      <c r="N85" s="41"/>
      <c r="O85" s="42"/>
      <c r="P85" s="42"/>
      <c r="Q85" s="43" t="str">
        <f aca="false">IF(OR(O85="",P85=""),"",IF(F85="Long",O85+Settings!$B$7*(O85-P85),O85-Settings!$B$7*(P85-O85)))</f>
        <v/>
      </c>
      <c r="R85" s="42"/>
      <c r="S85" s="40"/>
      <c r="T85" s="44" t="str">
        <f aca="false">IF(OR(R85="",O85="",P85="",O85=P85),"",ROUND(IF(F85="Long",(R85-O85)/(O85-P85),(O85-R85)/(P85-O85)),2))</f>
        <v/>
      </c>
      <c r="U85" s="38" t="str">
        <f aca="false">IF(T85="","",IF(T85&gt;=Settings!$B$20,"Win",IF(T85&lt;=-Settings!$B$20,"Loss","BE")))</f>
        <v/>
      </c>
      <c r="V85" s="45" t="str">
        <f aca="false">IF(B85="","",Settings!$B$6)</f>
        <v/>
      </c>
      <c r="W85" s="46" t="str">
        <f aca="false">IF(B85="","",(Settings!$B$5+SUM(X$4:X84))*V85)</f>
        <v/>
      </c>
      <c r="X85" s="46" t="str">
        <f aca="false">IF(T85="","",ROUND(T85*W85,2))</f>
        <v/>
      </c>
      <c r="Y85" s="46" t="str">
        <f aca="false">IF(T85="","",Settings!$B$5+SUM(X$5:X85))</f>
        <v/>
      </c>
      <c r="Z85" s="43" t="str">
        <f aca="false">IF(T85="","",SUM(T$5:T85))</f>
        <v/>
      </c>
      <c r="AA85" s="43" t="str">
        <f aca="false">IF(T85="","",MAX(0,MAX(Z$5:Z85)))</f>
        <v/>
      </c>
      <c r="AB85" s="43" t="str">
        <f aca="false">IF(T85="","",Z85-AA85)</f>
        <v/>
      </c>
      <c r="AC85" s="38" t="str">
        <f aca="false">IF(U85="","",IF(U85="Loss",N(AC84)+1,0))</f>
        <v/>
      </c>
      <c r="AD85" s="40"/>
      <c r="AE85" s="38" t="str">
        <f aca="false">IF(B85="","",IF(AND(M85="Yes",OR(AD85="None",AD85="")),"Yes","No"))</f>
        <v/>
      </c>
      <c r="AF85" s="40"/>
      <c r="AG85" s="40"/>
      <c r="AH85" s="47"/>
      <c r="AI85" s="47"/>
    </row>
    <row r="86" customFormat="false" ht="15" hidden="false" customHeight="false" outlineLevel="0" collapsed="false">
      <c r="A86" s="38" t="str">
        <f aca="false">IF(B86="","",ROW()-4)</f>
        <v/>
      </c>
      <c r="B86" s="39"/>
      <c r="C86" s="38" t="str">
        <f aca="false">IF(B86="","",INT((B86-Settings!$B$4)/7)+1)</f>
        <v/>
      </c>
      <c r="D86" s="40"/>
      <c r="E86" s="40"/>
      <c r="F86" s="40"/>
      <c r="G86" s="40"/>
      <c r="H86" s="40"/>
      <c r="I86" s="40"/>
      <c r="J86" s="40"/>
      <c r="K86" s="40"/>
      <c r="L86" s="40"/>
      <c r="M86" s="38" t="str">
        <f aca="false">IF(B86="","",IF(COUNTIF(H86:L86,"Y")=5,"Yes","No"))</f>
        <v/>
      </c>
      <c r="N86" s="41"/>
      <c r="O86" s="42"/>
      <c r="P86" s="42"/>
      <c r="Q86" s="43" t="str">
        <f aca="false">IF(OR(O86="",P86=""),"",IF(F86="Long",O86+Settings!$B$7*(O86-P86),O86-Settings!$B$7*(P86-O86)))</f>
        <v/>
      </c>
      <c r="R86" s="42"/>
      <c r="S86" s="40"/>
      <c r="T86" s="44" t="str">
        <f aca="false">IF(OR(R86="",O86="",P86="",O86=P86),"",ROUND(IF(F86="Long",(R86-O86)/(O86-P86),(O86-R86)/(P86-O86)),2))</f>
        <v/>
      </c>
      <c r="U86" s="38" t="str">
        <f aca="false">IF(T86="","",IF(T86&gt;=Settings!$B$20,"Win",IF(T86&lt;=-Settings!$B$20,"Loss","BE")))</f>
        <v/>
      </c>
      <c r="V86" s="45" t="str">
        <f aca="false">IF(B86="","",Settings!$B$6)</f>
        <v/>
      </c>
      <c r="W86" s="46" t="str">
        <f aca="false">IF(B86="","",(Settings!$B$5+SUM(X$4:X85))*V86)</f>
        <v/>
      </c>
      <c r="X86" s="46" t="str">
        <f aca="false">IF(T86="","",ROUND(T86*W86,2))</f>
        <v/>
      </c>
      <c r="Y86" s="46" t="str">
        <f aca="false">IF(T86="","",Settings!$B$5+SUM(X$5:X86))</f>
        <v/>
      </c>
      <c r="Z86" s="43" t="str">
        <f aca="false">IF(T86="","",SUM(T$5:T86))</f>
        <v/>
      </c>
      <c r="AA86" s="43" t="str">
        <f aca="false">IF(T86="","",MAX(0,MAX(Z$5:Z86)))</f>
        <v/>
      </c>
      <c r="AB86" s="43" t="str">
        <f aca="false">IF(T86="","",Z86-AA86)</f>
        <v/>
      </c>
      <c r="AC86" s="38" t="str">
        <f aca="false">IF(U86="","",IF(U86="Loss",N(AC85)+1,0))</f>
        <v/>
      </c>
      <c r="AD86" s="40"/>
      <c r="AE86" s="38" t="str">
        <f aca="false">IF(B86="","",IF(AND(M86="Yes",OR(AD86="None",AD86="")),"Yes","No"))</f>
        <v/>
      </c>
      <c r="AF86" s="40"/>
      <c r="AG86" s="40"/>
      <c r="AH86" s="47"/>
      <c r="AI86" s="47"/>
    </row>
    <row r="87" customFormat="false" ht="15" hidden="false" customHeight="false" outlineLevel="0" collapsed="false">
      <c r="A87" s="38" t="str">
        <f aca="false">IF(B87="","",ROW()-4)</f>
        <v/>
      </c>
      <c r="B87" s="39"/>
      <c r="C87" s="38" t="str">
        <f aca="false">IF(B87="","",INT((B87-Settings!$B$4)/7)+1)</f>
        <v/>
      </c>
      <c r="D87" s="40"/>
      <c r="E87" s="40"/>
      <c r="F87" s="40"/>
      <c r="G87" s="40"/>
      <c r="H87" s="40"/>
      <c r="I87" s="40"/>
      <c r="J87" s="40"/>
      <c r="K87" s="40"/>
      <c r="L87" s="40"/>
      <c r="M87" s="38" t="str">
        <f aca="false">IF(B87="","",IF(COUNTIF(H87:L87,"Y")=5,"Yes","No"))</f>
        <v/>
      </c>
      <c r="N87" s="41"/>
      <c r="O87" s="42"/>
      <c r="P87" s="42"/>
      <c r="Q87" s="43" t="str">
        <f aca="false">IF(OR(O87="",P87=""),"",IF(F87="Long",O87+Settings!$B$7*(O87-P87),O87-Settings!$B$7*(P87-O87)))</f>
        <v/>
      </c>
      <c r="R87" s="42"/>
      <c r="S87" s="40"/>
      <c r="T87" s="44" t="str">
        <f aca="false">IF(OR(R87="",O87="",P87="",O87=P87),"",ROUND(IF(F87="Long",(R87-O87)/(O87-P87),(O87-R87)/(P87-O87)),2))</f>
        <v/>
      </c>
      <c r="U87" s="38" t="str">
        <f aca="false">IF(T87="","",IF(T87&gt;=Settings!$B$20,"Win",IF(T87&lt;=-Settings!$B$20,"Loss","BE")))</f>
        <v/>
      </c>
      <c r="V87" s="45" t="str">
        <f aca="false">IF(B87="","",Settings!$B$6)</f>
        <v/>
      </c>
      <c r="W87" s="46" t="str">
        <f aca="false">IF(B87="","",(Settings!$B$5+SUM(X$4:X86))*V87)</f>
        <v/>
      </c>
      <c r="X87" s="46" t="str">
        <f aca="false">IF(T87="","",ROUND(T87*W87,2))</f>
        <v/>
      </c>
      <c r="Y87" s="46" t="str">
        <f aca="false">IF(T87="","",Settings!$B$5+SUM(X$5:X87))</f>
        <v/>
      </c>
      <c r="Z87" s="43" t="str">
        <f aca="false">IF(T87="","",SUM(T$5:T87))</f>
        <v/>
      </c>
      <c r="AA87" s="43" t="str">
        <f aca="false">IF(T87="","",MAX(0,MAX(Z$5:Z87)))</f>
        <v/>
      </c>
      <c r="AB87" s="43" t="str">
        <f aca="false">IF(T87="","",Z87-AA87)</f>
        <v/>
      </c>
      <c r="AC87" s="38" t="str">
        <f aca="false">IF(U87="","",IF(U87="Loss",N(AC86)+1,0))</f>
        <v/>
      </c>
      <c r="AD87" s="40"/>
      <c r="AE87" s="38" t="str">
        <f aca="false">IF(B87="","",IF(AND(M87="Yes",OR(AD87="None",AD87="")),"Yes","No"))</f>
        <v/>
      </c>
      <c r="AF87" s="40"/>
      <c r="AG87" s="40"/>
      <c r="AH87" s="47"/>
      <c r="AI87" s="47"/>
    </row>
    <row r="88" customFormat="false" ht="15" hidden="false" customHeight="false" outlineLevel="0" collapsed="false">
      <c r="A88" s="38" t="str">
        <f aca="false">IF(B88="","",ROW()-4)</f>
        <v/>
      </c>
      <c r="B88" s="39"/>
      <c r="C88" s="38" t="str">
        <f aca="false">IF(B88="","",INT((B88-Settings!$B$4)/7)+1)</f>
        <v/>
      </c>
      <c r="D88" s="40"/>
      <c r="E88" s="40"/>
      <c r="F88" s="40"/>
      <c r="G88" s="40"/>
      <c r="H88" s="40"/>
      <c r="I88" s="40"/>
      <c r="J88" s="40"/>
      <c r="K88" s="40"/>
      <c r="L88" s="40"/>
      <c r="M88" s="38" t="str">
        <f aca="false">IF(B88="","",IF(COUNTIF(H88:L88,"Y")=5,"Yes","No"))</f>
        <v/>
      </c>
      <c r="N88" s="41"/>
      <c r="O88" s="42"/>
      <c r="P88" s="42"/>
      <c r="Q88" s="43" t="str">
        <f aca="false">IF(OR(O88="",P88=""),"",IF(F88="Long",O88+Settings!$B$7*(O88-P88),O88-Settings!$B$7*(P88-O88)))</f>
        <v/>
      </c>
      <c r="R88" s="42"/>
      <c r="S88" s="40"/>
      <c r="T88" s="44" t="str">
        <f aca="false">IF(OR(R88="",O88="",P88="",O88=P88),"",ROUND(IF(F88="Long",(R88-O88)/(O88-P88),(O88-R88)/(P88-O88)),2))</f>
        <v/>
      </c>
      <c r="U88" s="38" t="str">
        <f aca="false">IF(T88="","",IF(T88&gt;=Settings!$B$20,"Win",IF(T88&lt;=-Settings!$B$20,"Loss","BE")))</f>
        <v/>
      </c>
      <c r="V88" s="45" t="str">
        <f aca="false">IF(B88="","",Settings!$B$6)</f>
        <v/>
      </c>
      <c r="W88" s="46" t="str">
        <f aca="false">IF(B88="","",(Settings!$B$5+SUM(X$4:X87))*V88)</f>
        <v/>
      </c>
      <c r="X88" s="46" t="str">
        <f aca="false">IF(T88="","",ROUND(T88*W88,2))</f>
        <v/>
      </c>
      <c r="Y88" s="46" t="str">
        <f aca="false">IF(T88="","",Settings!$B$5+SUM(X$5:X88))</f>
        <v/>
      </c>
      <c r="Z88" s="43" t="str">
        <f aca="false">IF(T88="","",SUM(T$5:T88))</f>
        <v/>
      </c>
      <c r="AA88" s="43" t="str">
        <f aca="false">IF(T88="","",MAX(0,MAX(Z$5:Z88)))</f>
        <v/>
      </c>
      <c r="AB88" s="43" t="str">
        <f aca="false">IF(T88="","",Z88-AA88)</f>
        <v/>
      </c>
      <c r="AC88" s="38" t="str">
        <f aca="false">IF(U88="","",IF(U88="Loss",N(AC87)+1,0))</f>
        <v/>
      </c>
      <c r="AD88" s="40"/>
      <c r="AE88" s="38" t="str">
        <f aca="false">IF(B88="","",IF(AND(M88="Yes",OR(AD88="None",AD88="")),"Yes","No"))</f>
        <v/>
      </c>
      <c r="AF88" s="40"/>
      <c r="AG88" s="40"/>
      <c r="AH88" s="47"/>
      <c r="AI88" s="47"/>
    </row>
    <row r="89" customFormat="false" ht="15" hidden="false" customHeight="false" outlineLevel="0" collapsed="false">
      <c r="A89" s="38" t="str">
        <f aca="false">IF(B89="","",ROW()-4)</f>
        <v/>
      </c>
      <c r="B89" s="39"/>
      <c r="C89" s="38" t="str">
        <f aca="false">IF(B89="","",INT((B89-Settings!$B$4)/7)+1)</f>
        <v/>
      </c>
      <c r="D89" s="40"/>
      <c r="E89" s="40"/>
      <c r="F89" s="40"/>
      <c r="G89" s="40"/>
      <c r="H89" s="40"/>
      <c r="I89" s="40"/>
      <c r="J89" s="40"/>
      <c r="K89" s="40"/>
      <c r="L89" s="40"/>
      <c r="M89" s="38" t="str">
        <f aca="false">IF(B89="","",IF(COUNTIF(H89:L89,"Y")=5,"Yes","No"))</f>
        <v/>
      </c>
      <c r="N89" s="41"/>
      <c r="O89" s="42"/>
      <c r="P89" s="42"/>
      <c r="Q89" s="43" t="str">
        <f aca="false">IF(OR(O89="",P89=""),"",IF(F89="Long",O89+Settings!$B$7*(O89-P89),O89-Settings!$B$7*(P89-O89)))</f>
        <v/>
      </c>
      <c r="R89" s="42"/>
      <c r="S89" s="40"/>
      <c r="T89" s="44" t="str">
        <f aca="false">IF(OR(R89="",O89="",P89="",O89=P89),"",ROUND(IF(F89="Long",(R89-O89)/(O89-P89),(O89-R89)/(P89-O89)),2))</f>
        <v/>
      </c>
      <c r="U89" s="38" t="str">
        <f aca="false">IF(T89="","",IF(T89&gt;=Settings!$B$20,"Win",IF(T89&lt;=-Settings!$B$20,"Loss","BE")))</f>
        <v/>
      </c>
      <c r="V89" s="45" t="str">
        <f aca="false">IF(B89="","",Settings!$B$6)</f>
        <v/>
      </c>
      <c r="W89" s="46" t="str">
        <f aca="false">IF(B89="","",(Settings!$B$5+SUM(X$4:X88))*V89)</f>
        <v/>
      </c>
      <c r="X89" s="46" t="str">
        <f aca="false">IF(T89="","",ROUND(T89*W89,2))</f>
        <v/>
      </c>
      <c r="Y89" s="46" t="str">
        <f aca="false">IF(T89="","",Settings!$B$5+SUM(X$5:X89))</f>
        <v/>
      </c>
      <c r="Z89" s="43" t="str">
        <f aca="false">IF(T89="","",SUM(T$5:T89))</f>
        <v/>
      </c>
      <c r="AA89" s="43" t="str">
        <f aca="false">IF(T89="","",MAX(0,MAX(Z$5:Z89)))</f>
        <v/>
      </c>
      <c r="AB89" s="43" t="str">
        <f aca="false">IF(T89="","",Z89-AA89)</f>
        <v/>
      </c>
      <c r="AC89" s="38" t="str">
        <f aca="false">IF(U89="","",IF(U89="Loss",N(AC88)+1,0))</f>
        <v/>
      </c>
      <c r="AD89" s="40"/>
      <c r="AE89" s="38" t="str">
        <f aca="false">IF(B89="","",IF(AND(M89="Yes",OR(AD89="None",AD89="")),"Yes","No"))</f>
        <v/>
      </c>
      <c r="AF89" s="40"/>
      <c r="AG89" s="40"/>
      <c r="AH89" s="47"/>
      <c r="AI89" s="47"/>
    </row>
    <row r="90" customFormat="false" ht="15" hidden="false" customHeight="false" outlineLevel="0" collapsed="false">
      <c r="A90" s="38" t="str">
        <f aca="false">IF(B90="","",ROW()-4)</f>
        <v/>
      </c>
      <c r="B90" s="39"/>
      <c r="C90" s="38" t="str">
        <f aca="false">IF(B90="","",INT((B90-Settings!$B$4)/7)+1)</f>
        <v/>
      </c>
      <c r="D90" s="40"/>
      <c r="E90" s="40"/>
      <c r="F90" s="40"/>
      <c r="G90" s="40"/>
      <c r="H90" s="40"/>
      <c r="I90" s="40"/>
      <c r="J90" s="40"/>
      <c r="K90" s="40"/>
      <c r="L90" s="40"/>
      <c r="M90" s="38" t="str">
        <f aca="false">IF(B90="","",IF(COUNTIF(H90:L90,"Y")=5,"Yes","No"))</f>
        <v/>
      </c>
      <c r="N90" s="41"/>
      <c r="O90" s="42"/>
      <c r="P90" s="42"/>
      <c r="Q90" s="43" t="str">
        <f aca="false">IF(OR(O90="",P90=""),"",IF(F90="Long",O90+Settings!$B$7*(O90-P90),O90-Settings!$B$7*(P90-O90)))</f>
        <v/>
      </c>
      <c r="R90" s="42"/>
      <c r="S90" s="40"/>
      <c r="T90" s="44" t="str">
        <f aca="false">IF(OR(R90="",O90="",P90="",O90=P90),"",ROUND(IF(F90="Long",(R90-O90)/(O90-P90),(O90-R90)/(P90-O90)),2))</f>
        <v/>
      </c>
      <c r="U90" s="38" t="str">
        <f aca="false">IF(T90="","",IF(T90&gt;=Settings!$B$20,"Win",IF(T90&lt;=-Settings!$B$20,"Loss","BE")))</f>
        <v/>
      </c>
      <c r="V90" s="45" t="str">
        <f aca="false">IF(B90="","",Settings!$B$6)</f>
        <v/>
      </c>
      <c r="W90" s="46" t="str">
        <f aca="false">IF(B90="","",(Settings!$B$5+SUM(X$4:X89))*V90)</f>
        <v/>
      </c>
      <c r="X90" s="46" t="str">
        <f aca="false">IF(T90="","",ROUND(T90*W90,2))</f>
        <v/>
      </c>
      <c r="Y90" s="46" t="str">
        <f aca="false">IF(T90="","",Settings!$B$5+SUM(X$5:X90))</f>
        <v/>
      </c>
      <c r="Z90" s="43" t="str">
        <f aca="false">IF(T90="","",SUM(T$5:T90))</f>
        <v/>
      </c>
      <c r="AA90" s="43" t="str">
        <f aca="false">IF(T90="","",MAX(0,MAX(Z$5:Z90)))</f>
        <v/>
      </c>
      <c r="AB90" s="43" t="str">
        <f aca="false">IF(T90="","",Z90-AA90)</f>
        <v/>
      </c>
      <c r="AC90" s="38" t="str">
        <f aca="false">IF(U90="","",IF(U90="Loss",N(AC89)+1,0))</f>
        <v/>
      </c>
      <c r="AD90" s="40"/>
      <c r="AE90" s="38" t="str">
        <f aca="false">IF(B90="","",IF(AND(M90="Yes",OR(AD90="None",AD90="")),"Yes","No"))</f>
        <v/>
      </c>
      <c r="AF90" s="40"/>
      <c r="AG90" s="40"/>
      <c r="AH90" s="47"/>
      <c r="AI90" s="47"/>
    </row>
    <row r="91" customFormat="false" ht="15" hidden="false" customHeight="false" outlineLevel="0" collapsed="false">
      <c r="A91" s="38" t="str">
        <f aca="false">IF(B91="","",ROW()-4)</f>
        <v/>
      </c>
      <c r="B91" s="39"/>
      <c r="C91" s="38" t="str">
        <f aca="false">IF(B91="","",INT((B91-Settings!$B$4)/7)+1)</f>
        <v/>
      </c>
      <c r="D91" s="40"/>
      <c r="E91" s="40"/>
      <c r="F91" s="40"/>
      <c r="G91" s="40"/>
      <c r="H91" s="40"/>
      <c r="I91" s="40"/>
      <c r="J91" s="40"/>
      <c r="K91" s="40"/>
      <c r="L91" s="40"/>
      <c r="M91" s="38" t="str">
        <f aca="false">IF(B91="","",IF(COUNTIF(H91:L91,"Y")=5,"Yes","No"))</f>
        <v/>
      </c>
      <c r="N91" s="41"/>
      <c r="O91" s="42"/>
      <c r="P91" s="42"/>
      <c r="Q91" s="43" t="str">
        <f aca="false">IF(OR(O91="",P91=""),"",IF(F91="Long",O91+Settings!$B$7*(O91-P91),O91-Settings!$B$7*(P91-O91)))</f>
        <v/>
      </c>
      <c r="R91" s="42"/>
      <c r="S91" s="40"/>
      <c r="T91" s="44" t="str">
        <f aca="false">IF(OR(R91="",O91="",P91="",O91=P91),"",ROUND(IF(F91="Long",(R91-O91)/(O91-P91),(O91-R91)/(P91-O91)),2))</f>
        <v/>
      </c>
      <c r="U91" s="38" t="str">
        <f aca="false">IF(T91="","",IF(T91&gt;=Settings!$B$20,"Win",IF(T91&lt;=-Settings!$B$20,"Loss","BE")))</f>
        <v/>
      </c>
      <c r="V91" s="45" t="str">
        <f aca="false">IF(B91="","",Settings!$B$6)</f>
        <v/>
      </c>
      <c r="W91" s="46" t="str">
        <f aca="false">IF(B91="","",(Settings!$B$5+SUM(X$4:X90))*V91)</f>
        <v/>
      </c>
      <c r="X91" s="46" t="str">
        <f aca="false">IF(T91="","",ROUND(T91*W91,2))</f>
        <v/>
      </c>
      <c r="Y91" s="46" t="str">
        <f aca="false">IF(T91="","",Settings!$B$5+SUM(X$5:X91))</f>
        <v/>
      </c>
      <c r="Z91" s="43" t="str">
        <f aca="false">IF(T91="","",SUM(T$5:T91))</f>
        <v/>
      </c>
      <c r="AA91" s="43" t="str">
        <f aca="false">IF(T91="","",MAX(0,MAX(Z$5:Z91)))</f>
        <v/>
      </c>
      <c r="AB91" s="43" t="str">
        <f aca="false">IF(T91="","",Z91-AA91)</f>
        <v/>
      </c>
      <c r="AC91" s="38" t="str">
        <f aca="false">IF(U91="","",IF(U91="Loss",N(AC90)+1,0))</f>
        <v/>
      </c>
      <c r="AD91" s="40"/>
      <c r="AE91" s="38" t="str">
        <f aca="false">IF(B91="","",IF(AND(M91="Yes",OR(AD91="None",AD91="")),"Yes","No"))</f>
        <v/>
      </c>
      <c r="AF91" s="40"/>
      <c r="AG91" s="40"/>
      <c r="AH91" s="47"/>
      <c r="AI91" s="47"/>
    </row>
    <row r="92" customFormat="false" ht="15" hidden="false" customHeight="false" outlineLevel="0" collapsed="false">
      <c r="A92" s="38" t="str">
        <f aca="false">IF(B92="","",ROW()-4)</f>
        <v/>
      </c>
      <c r="B92" s="39"/>
      <c r="C92" s="38" t="str">
        <f aca="false">IF(B92="","",INT((B92-Settings!$B$4)/7)+1)</f>
        <v/>
      </c>
      <c r="D92" s="40"/>
      <c r="E92" s="40"/>
      <c r="F92" s="40"/>
      <c r="G92" s="40"/>
      <c r="H92" s="40"/>
      <c r="I92" s="40"/>
      <c r="J92" s="40"/>
      <c r="K92" s="40"/>
      <c r="L92" s="40"/>
      <c r="M92" s="38" t="str">
        <f aca="false">IF(B92="","",IF(COUNTIF(H92:L92,"Y")=5,"Yes","No"))</f>
        <v/>
      </c>
      <c r="N92" s="41"/>
      <c r="O92" s="42"/>
      <c r="P92" s="42"/>
      <c r="Q92" s="43" t="str">
        <f aca="false">IF(OR(O92="",P92=""),"",IF(F92="Long",O92+Settings!$B$7*(O92-P92),O92-Settings!$B$7*(P92-O92)))</f>
        <v/>
      </c>
      <c r="R92" s="42"/>
      <c r="S92" s="40"/>
      <c r="T92" s="44" t="str">
        <f aca="false">IF(OR(R92="",O92="",P92="",O92=P92),"",ROUND(IF(F92="Long",(R92-O92)/(O92-P92),(O92-R92)/(P92-O92)),2))</f>
        <v/>
      </c>
      <c r="U92" s="38" t="str">
        <f aca="false">IF(T92="","",IF(T92&gt;=Settings!$B$20,"Win",IF(T92&lt;=-Settings!$B$20,"Loss","BE")))</f>
        <v/>
      </c>
      <c r="V92" s="45" t="str">
        <f aca="false">IF(B92="","",Settings!$B$6)</f>
        <v/>
      </c>
      <c r="W92" s="46" t="str">
        <f aca="false">IF(B92="","",(Settings!$B$5+SUM(X$4:X91))*V92)</f>
        <v/>
      </c>
      <c r="X92" s="46" t="str">
        <f aca="false">IF(T92="","",ROUND(T92*W92,2))</f>
        <v/>
      </c>
      <c r="Y92" s="46" t="str">
        <f aca="false">IF(T92="","",Settings!$B$5+SUM(X$5:X92))</f>
        <v/>
      </c>
      <c r="Z92" s="43" t="str">
        <f aca="false">IF(T92="","",SUM(T$5:T92))</f>
        <v/>
      </c>
      <c r="AA92" s="43" t="str">
        <f aca="false">IF(T92="","",MAX(0,MAX(Z$5:Z92)))</f>
        <v/>
      </c>
      <c r="AB92" s="43" t="str">
        <f aca="false">IF(T92="","",Z92-AA92)</f>
        <v/>
      </c>
      <c r="AC92" s="38" t="str">
        <f aca="false">IF(U92="","",IF(U92="Loss",N(AC91)+1,0))</f>
        <v/>
      </c>
      <c r="AD92" s="40"/>
      <c r="AE92" s="38" t="str">
        <f aca="false">IF(B92="","",IF(AND(M92="Yes",OR(AD92="None",AD92="")),"Yes","No"))</f>
        <v/>
      </c>
      <c r="AF92" s="40"/>
      <c r="AG92" s="40"/>
      <c r="AH92" s="47"/>
      <c r="AI92" s="47"/>
    </row>
    <row r="93" customFormat="false" ht="15" hidden="false" customHeight="false" outlineLevel="0" collapsed="false">
      <c r="A93" s="38" t="str">
        <f aca="false">IF(B93="","",ROW()-4)</f>
        <v/>
      </c>
      <c r="B93" s="39"/>
      <c r="C93" s="38" t="str">
        <f aca="false">IF(B93="","",INT((B93-Settings!$B$4)/7)+1)</f>
        <v/>
      </c>
      <c r="D93" s="40"/>
      <c r="E93" s="40"/>
      <c r="F93" s="40"/>
      <c r="G93" s="40"/>
      <c r="H93" s="40"/>
      <c r="I93" s="40"/>
      <c r="J93" s="40"/>
      <c r="K93" s="40"/>
      <c r="L93" s="40"/>
      <c r="M93" s="38" t="str">
        <f aca="false">IF(B93="","",IF(COUNTIF(H93:L93,"Y")=5,"Yes","No"))</f>
        <v/>
      </c>
      <c r="N93" s="41"/>
      <c r="O93" s="42"/>
      <c r="P93" s="42"/>
      <c r="Q93" s="43" t="str">
        <f aca="false">IF(OR(O93="",P93=""),"",IF(F93="Long",O93+Settings!$B$7*(O93-P93),O93-Settings!$B$7*(P93-O93)))</f>
        <v/>
      </c>
      <c r="R93" s="42"/>
      <c r="S93" s="40"/>
      <c r="T93" s="44" t="str">
        <f aca="false">IF(OR(R93="",O93="",P93="",O93=P93),"",ROUND(IF(F93="Long",(R93-O93)/(O93-P93),(O93-R93)/(P93-O93)),2))</f>
        <v/>
      </c>
      <c r="U93" s="38" t="str">
        <f aca="false">IF(T93="","",IF(T93&gt;=Settings!$B$20,"Win",IF(T93&lt;=-Settings!$B$20,"Loss","BE")))</f>
        <v/>
      </c>
      <c r="V93" s="45" t="str">
        <f aca="false">IF(B93="","",Settings!$B$6)</f>
        <v/>
      </c>
      <c r="W93" s="46" t="str">
        <f aca="false">IF(B93="","",(Settings!$B$5+SUM(X$4:X92))*V93)</f>
        <v/>
      </c>
      <c r="X93" s="46" t="str">
        <f aca="false">IF(T93="","",ROUND(T93*W93,2))</f>
        <v/>
      </c>
      <c r="Y93" s="46" t="str">
        <f aca="false">IF(T93="","",Settings!$B$5+SUM(X$5:X93))</f>
        <v/>
      </c>
      <c r="Z93" s="43" t="str">
        <f aca="false">IF(T93="","",SUM(T$5:T93))</f>
        <v/>
      </c>
      <c r="AA93" s="43" t="str">
        <f aca="false">IF(T93="","",MAX(0,MAX(Z$5:Z93)))</f>
        <v/>
      </c>
      <c r="AB93" s="43" t="str">
        <f aca="false">IF(T93="","",Z93-AA93)</f>
        <v/>
      </c>
      <c r="AC93" s="38" t="str">
        <f aca="false">IF(U93="","",IF(U93="Loss",N(AC92)+1,0))</f>
        <v/>
      </c>
      <c r="AD93" s="40"/>
      <c r="AE93" s="38" t="str">
        <f aca="false">IF(B93="","",IF(AND(M93="Yes",OR(AD93="None",AD93="")),"Yes","No"))</f>
        <v/>
      </c>
      <c r="AF93" s="40"/>
      <c r="AG93" s="40"/>
      <c r="AH93" s="47"/>
      <c r="AI93" s="47"/>
    </row>
    <row r="94" customFormat="false" ht="15" hidden="false" customHeight="false" outlineLevel="0" collapsed="false">
      <c r="A94" s="38" t="str">
        <f aca="false">IF(B94="","",ROW()-4)</f>
        <v/>
      </c>
      <c r="B94" s="39"/>
      <c r="C94" s="38" t="str">
        <f aca="false">IF(B94="","",INT((B94-Settings!$B$4)/7)+1)</f>
        <v/>
      </c>
      <c r="D94" s="40"/>
      <c r="E94" s="40"/>
      <c r="F94" s="40"/>
      <c r="G94" s="40"/>
      <c r="H94" s="40"/>
      <c r="I94" s="40"/>
      <c r="J94" s="40"/>
      <c r="K94" s="40"/>
      <c r="L94" s="40"/>
      <c r="M94" s="38" t="str">
        <f aca="false">IF(B94="","",IF(COUNTIF(H94:L94,"Y")=5,"Yes","No"))</f>
        <v/>
      </c>
      <c r="N94" s="41"/>
      <c r="O94" s="42"/>
      <c r="P94" s="42"/>
      <c r="Q94" s="43" t="str">
        <f aca="false">IF(OR(O94="",P94=""),"",IF(F94="Long",O94+Settings!$B$7*(O94-P94),O94-Settings!$B$7*(P94-O94)))</f>
        <v/>
      </c>
      <c r="R94" s="42"/>
      <c r="S94" s="40"/>
      <c r="T94" s="44" t="str">
        <f aca="false">IF(OR(R94="",O94="",P94="",O94=P94),"",ROUND(IF(F94="Long",(R94-O94)/(O94-P94),(O94-R94)/(P94-O94)),2))</f>
        <v/>
      </c>
      <c r="U94" s="38" t="str">
        <f aca="false">IF(T94="","",IF(T94&gt;=Settings!$B$20,"Win",IF(T94&lt;=-Settings!$B$20,"Loss","BE")))</f>
        <v/>
      </c>
      <c r="V94" s="45" t="str">
        <f aca="false">IF(B94="","",Settings!$B$6)</f>
        <v/>
      </c>
      <c r="W94" s="46" t="str">
        <f aca="false">IF(B94="","",(Settings!$B$5+SUM(X$4:X93))*V94)</f>
        <v/>
      </c>
      <c r="X94" s="46" t="str">
        <f aca="false">IF(T94="","",ROUND(T94*W94,2))</f>
        <v/>
      </c>
      <c r="Y94" s="46" t="str">
        <f aca="false">IF(T94="","",Settings!$B$5+SUM(X$5:X94))</f>
        <v/>
      </c>
      <c r="Z94" s="43" t="str">
        <f aca="false">IF(T94="","",SUM(T$5:T94))</f>
        <v/>
      </c>
      <c r="AA94" s="43" t="str">
        <f aca="false">IF(T94="","",MAX(0,MAX(Z$5:Z94)))</f>
        <v/>
      </c>
      <c r="AB94" s="43" t="str">
        <f aca="false">IF(T94="","",Z94-AA94)</f>
        <v/>
      </c>
      <c r="AC94" s="38" t="str">
        <f aca="false">IF(U94="","",IF(U94="Loss",N(AC93)+1,0))</f>
        <v/>
      </c>
      <c r="AD94" s="40"/>
      <c r="AE94" s="38" t="str">
        <f aca="false">IF(B94="","",IF(AND(M94="Yes",OR(AD94="None",AD94="")),"Yes","No"))</f>
        <v/>
      </c>
      <c r="AF94" s="40"/>
      <c r="AG94" s="40"/>
      <c r="AH94" s="47"/>
      <c r="AI94" s="47"/>
    </row>
    <row r="95" customFormat="false" ht="15" hidden="false" customHeight="false" outlineLevel="0" collapsed="false">
      <c r="A95" s="38" t="str">
        <f aca="false">IF(B95="","",ROW()-4)</f>
        <v/>
      </c>
      <c r="B95" s="39"/>
      <c r="C95" s="38" t="str">
        <f aca="false">IF(B95="","",INT((B95-Settings!$B$4)/7)+1)</f>
        <v/>
      </c>
      <c r="D95" s="40"/>
      <c r="E95" s="40"/>
      <c r="F95" s="40"/>
      <c r="G95" s="40"/>
      <c r="H95" s="40"/>
      <c r="I95" s="40"/>
      <c r="J95" s="40"/>
      <c r="K95" s="40"/>
      <c r="L95" s="40"/>
      <c r="M95" s="38" t="str">
        <f aca="false">IF(B95="","",IF(COUNTIF(H95:L95,"Y")=5,"Yes","No"))</f>
        <v/>
      </c>
      <c r="N95" s="41"/>
      <c r="O95" s="42"/>
      <c r="P95" s="42"/>
      <c r="Q95" s="43" t="str">
        <f aca="false">IF(OR(O95="",P95=""),"",IF(F95="Long",O95+Settings!$B$7*(O95-P95),O95-Settings!$B$7*(P95-O95)))</f>
        <v/>
      </c>
      <c r="R95" s="42"/>
      <c r="S95" s="40"/>
      <c r="T95" s="44" t="str">
        <f aca="false">IF(OR(R95="",O95="",P95="",O95=P95),"",ROUND(IF(F95="Long",(R95-O95)/(O95-P95),(O95-R95)/(P95-O95)),2))</f>
        <v/>
      </c>
      <c r="U95" s="38" t="str">
        <f aca="false">IF(T95="","",IF(T95&gt;=Settings!$B$20,"Win",IF(T95&lt;=-Settings!$B$20,"Loss","BE")))</f>
        <v/>
      </c>
      <c r="V95" s="45" t="str">
        <f aca="false">IF(B95="","",Settings!$B$6)</f>
        <v/>
      </c>
      <c r="W95" s="46" t="str">
        <f aca="false">IF(B95="","",(Settings!$B$5+SUM(X$4:X94))*V95)</f>
        <v/>
      </c>
      <c r="X95" s="46" t="str">
        <f aca="false">IF(T95="","",ROUND(T95*W95,2))</f>
        <v/>
      </c>
      <c r="Y95" s="46" t="str">
        <f aca="false">IF(T95="","",Settings!$B$5+SUM(X$5:X95))</f>
        <v/>
      </c>
      <c r="Z95" s="43" t="str">
        <f aca="false">IF(T95="","",SUM(T$5:T95))</f>
        <v/>
      </c>
      <c r="AA95" s="43" t="str">
        <f aca="false">IF(T95="","",MAX(0,MAX(Z$5:Z95)))</f>
        <v/>
      </c>
      <c r="AB95" s="43" t="str">
        <f aca="false">IF(T95="","",Z95-AA95)</f>
        <v/>
      </c>
      <c r="AC95" s="38" t="str">
        <f aca="false">IF(U95="","",IF(U95="Loss",N(AC94)+1,0))</f>
        <v/>
      </c>
      <c r="AD95" s="40"/>
      <c r="AE95" s="38" t="str">
        <f aca="false">IF(B95="","",IF(AND(M95="Yes",OR(AD95="None",AD95="")),"Yes","No"))</f>
        <v/>
      </c>
      <c r="AF95" s="40"/>
      <c r="AG95" s="40"/>
      <c r="AH95" s="47"/>
      <c r="AI95" s="47"/>
    </row>
    <row r="96" customFormat="false" ht="15" hidden="false" customHeight="false" outlineLevel="0" collapsed="false">
      <c r="A96" s="38" t="str">
        <f aca="false">IF(B96="","",ROW()-4)</f>
        <v/>
      </c>
      <c r="B96" s="39"/>
      <c r="C96" s="38" t="str">
        <f aca="false">IF(B96="","",INT((B96-Settings!$B$4)/7)+1)</f>
        <v/>
      </c>
      <c r="D96" s="40"/>
      <c r="E96" s="40"/>
      <c r="F96" s="40"/>
      <c r="G96" s="40"/>
      <c r="H96" s="40"/>
      <c r="I96" s="40"/>
      <c r="J96" s="40"/>
      <c r="K96" s="40"/>
      <c r="L96" s="40"/>
      <c r="M96" s="38" t="str">
        <f aca="false">IF(B96="","",IF(COUNTIF(H96:L96,"Y")=5,"Yes","No"))</f>
        <v/>
      </c>
      <c r="N96" s="41"/>
      <c r="O96" s="42"/>
      <c r="P96" s="42"/>
      <c r="Q96" s="43" t="str">
        <f aca="false">IF(OR(O96="",P96=""),"",IF(F96="Long",O96+Settings!$B$7*(O96-P96),O96-Settings!$B$7*(P96-O96)))</f>
        <v/>
      </c>
      <c r="R96" s="42"/>
      <c r="S96" s="40"/>
      <c r="T96" s="44" t="str">
        <f aca="false">IF(OR(R96="",O96="",P96="",O96=P96),"",ROUND(IF(F96="Long",(R96-O96)/(O96-P96),(O96-R96)/(P96-O96)),2))</f>
        <v/>
      </c>
      <c r="U96" s="38" t="str">
        <f aca="false">IF(T96="","",IF(T96&gt;=Settings!$B$20,"Win",IF(T96&lt;=-Settings!$B$20,"Loss","BE")))</f>
        <v/>
      </c>
      <c r="V96" s="45" t="str">
        <f aca="false">IF(B96="","",Settings!$B$6)</f>
        <v/>
      </c>
      <c r="W96" s="46" t="str">
        <f aca="false">IF(B96="","",(Settings!$B$5+SUM(X$4:X95))*V96)</f>
        <v/>
      </c>
      <c r="X96" s="46" t="str">
        <f aca="false">IF(T96="","",ROUND(T96*W96,2))</f>
        <v/>
      </c>
      <c r="Y96" s="46" t="str">
        <f aca="false">IF(T96="","",Settings!$B$5+SUM(X$5:X96))</f>
        <v/>
      </c>
      <c r="Z96" s="43" t="str">
        <f aca="false">IF(T96="","",SUM(T$5:T96))</f>
        <v/>
      </c>
      <c r="AA96" s="43" t="str">
        <f aca="false">IF(T96="","",MAX(0,MAX(Z$5:Z96)))</f>
        <v/>
      </c>
      <c r="AB96" s="43" t="str">
        <f aca="false">IF(T96="","",Z96-AA96)</f>
        <v/>
      </c>
      <c r="AC96" s="38" t="str">
        <f aca="false">IF(U96="","",IF(U96="Loss",N(AC95)+1,0))</f>
        <v/>
      </c>
      <c r="AD96" s="40"/>
      <c r="AE96" s="38" t="str">
        <f aca="false">IF(B96="","",IF(AND(M96="Yes",OR(AD96="None",AD96="")),"Yes","No"))</f>
        <v/>
      </c>
      <c r="AF96" s="40"/>
      <c r="AG96" s="40"/>
      <c r="AH96" s="47"/>
      <c r="AI96" s="47"/>
    </row>
    <row r="97" customFormat="false" ht="15" hidden="false" customHeight="false" outlineLevel="0" collapsed="false">
      <c r="A97" s="38" t="str">
        <f aca="false">IF(B97="","",ROW()-4)</f>
        <v/>
      </c>
      <c r="B97" s="39"/>
      <c r="C97" s="38" t="str">
        <f aca="false">IF(B97="","",INT((B97-Settings!$B$4)/7)+1)</f>
        <v/>
      </c>
      <c r="D97" s="40"/>
      <c r="E97" s="40"/>
      <c r="F97" s="40"/>
      <c r="G97" s="40"/>
      <c r="H97" s="40"/>
      <c r="I97" s="40"/>
      <c r="J97" s="40"/>
      <c r="K97" s="40"/>
      <c r="L97" s="40"/>
      <c r="M97" s="38" t="str">
        <f aca="false">IF(B97="","",IF(COUNTIF(H97:L97,"Y")=5,"Yes","No"))</f>
        <v/>
      </c>
      <c r="N97" s="41"/>
      <c r="O97" s="42"/>
      <c r="P97" s="42"/>
      <c r="Q97" s="43" t="str">
        <f aca="false">IF(OR(O97="",P97=""),"",IF(F97="Long",O97+Settings!$B$7*(O97-P97),O97-Settings!$B$7*(P97-O97)))</f>
        <v/>
      </c>
      <c r="R97" s="42"/>
      <c r="S97" s="40"/>
      <c r="T97" s="44" t="str">
        <f aca="false">IF(OR(R97="",O97="",P97="",O97=P97),"",ROUND(IF(F97="Long",(R97-O97)/(O97-P97),(O97-R97)/(P97-O97)),2))</f>
        <v/>
      </c>
      <c r="U97" s="38" t="str">
        <f aca="false">IF(T97="","",IF(T97&gt;=Settings!$B$20,"Win",IF(T97&lt;=-Settings!$B$20,"Loss","BE")))</f>
        <v/>
      </c>
      <c r="V97" s="45" t="str">
        <f aca="false">IF(B97="","",Settings!$B$6)</f>
        <v/>
      </c>
      <c r="W97" s="46" t="str">
        <f aca="false">IF(B97="","",(Settings!$B$5+SUM(X$4:X96))*V97)</f>
        <v/>
      </c>
      <c r="X97" s="46" t="str">
        <f aca="false">IF(T97="","",ROUND(T97*W97,2))</f>
        <v/>
      </c>
      <c r="Y97" s="46" t="str">
        <f aca="false">IF(T97="","",Settings!$B$5+SUM(X$5:X97))</f>
        <v/>
      </c>
      <c r="Z97" s="43" t="str">
        <f aca="false">IF(T97="","",SUM(T$5:T97))</f>
        <v/>
      </c>
      <c r="AA97" s="43" t="str">
        <f aca="false">IF(T97="","",MAX(0,MAX(Z$5:Z97)))</f>
        <v/>
      </c>
      <c r="AB97" s="43" t="str">
        <f aca="false">IF(T97="","",Z97-AA97)</f>
        <v/>
      </c>
      <c r="AC97" s="38" t="str">
        <f aca="false">IF(U97="","",IF(U97="Loss",N(AC96)+1,0))</f>
        <v/>
      </c>
      <c r="AD97" s="40"/>
      <c r="AE97" s="38" t="str">
        <f aca="false">IF(B97="","",IF(AND(M97="Yes",OR(AD97="None",AD97="")),"Yes","No"))</f>
        <v/>
      </c>
      <c r="AF97" s="40"/>
      <c r="AG97" s="40"/>
      <c r="AH97" s="47"/>
      <c r="AI97" s="47"/>
    </row>
    <row r="98" customFormat="false" ht="15" hidden="false" customHeight="false" outlineLevel="0" collapsed="false">
      <c r="A98" s="38" t="str">
        <f aca="false">IF(B98="","",ROW()-4)</f>
        <v/>
      </c>
      <c r="B98" s="39"/>
      <c r="C98" s="38" t="str">
        <f aca="false">IF(B98="","",INT((B98-Settings!$B$4)/7)+1)</f>
        <v/>
      </c>
      <c r="D98" s="40"/>
      <c r="E98" s="40"/>
      <c r="F98" s="40"/>
      <c r="G98" s="40"/>
      <c r="H98" s="40"/>
      <c r="I98" s="40"/>
      <c r="J98" s="40"/>
      <c r="K98" s="40"/>
      <c r="L98" s="40"/>
      <c r="M98" s="38" t="str">
        <f aca="false">IF(B98="","",IF(COUNTIF(H98:L98,"Y")=5,"Yes","No"))</f>
        <v/>
      </c>
      <c r="N98" s="41"/>
      <c r="O98" s="42"/>
      <c r="P98" s="42"/>
      <c r="Q98" s="43" t="str">
        <f aca="false">IF(OR(O98="",P98=""),"",IF(F98="Long",O98+Settings!$B$7*(O98-P98),O98-Settings!$B$7*(P98-O98)))</f>
        <v/>
      </c>
      <c r="R98" s="42"/>
      <c r="S98" s="40"/>
      <c r="T98" s="44" t="str">
        <f aca="false">IF(OR(R98="",O98="",P98="",O98=P98),"",ROUND(IF(F98="Long",(R98-O98)/(O98-P98),(O98-R98)/(P98-O98)),2))</f>
        <v/>
      </c>
      <c r="U98" s="38" t="str">
        <f aca="false">IF(T98="","",IF(T98&gt;=Settings!$B$20,"Win",IF(T98&lt;=-Settings!$B$20,"Loss","BE")))</f>
        <v/>
      </c>
      <c r="V98" s="45" t="str">
        <f aca="false">IF(B98="","",Settings!$B$6)</f>
        <v/>
      </c>
      <c r="W98" s="46" t="str">
        <f aca="false">IF(B98="","",(Settings!$B$5+SUM(X$4:X97))*V98)</f>
        <v/>
      </c>
      <c r="X98" s="46" t="str">
        <f aca="false">IF(T98="","",ROUND(T98*W98,2))</f>
        <v/>
      </c>
      <c r="Y98" s="46" t="str">
        <f aca="false">IF(T98="","",Settings!$B$5+SUM(X$5:X98))</f>
        <v/>
      </c>
      <c r="Z98" s="43" t="str">
        <f aca="false">IF(T98="","",SUM(T$5:T98))</f>
        <v/>
      </c>
      <c r="AA98" s="43" t="str">
        <f aca="false">IF(T98="","",MAX(0,MAX(Z$5:Z98)))</f>
        <v/>
      </c>
      <c r="AB98" s="43" t="str">
        <f aca="false">IF(T98="","",Z98-AA98)</f>
        <v/>
      </c>
      <c r="AC98" s="38" t="str">
        <f aca="false">IF(U98="","",IF(U98="Loss",N(AC97)+1,0))</f>
        <v/>
      </c>
      <c r="AD98" s="40"/>
      <c r="AE98" s="38" t="str">
        <f aca="false">IF(B98="","",IF(AND(M98="Yes",OR(AD98="None",AD98="")),"Yes","No"))</f>
        <v/>
      </c>
      <c r="AF98" s="40"/>
      <c r="AG98" s="40"/>
      <c r="AH98" s="47"/>
      <c r="AI98" s="47"/>
    </row>
    <row r="99" customFormat="false" ht="15" hidden="false" customHeight="false" outlineLevel="0" collapsed="false">
      <c r="A99" s="38" t="str">
        <f aca="false">IF(B99="","",ROW()-4)</f>
        <v/>
      </c>
      <c r="B99" s="39"/>
      <c r="C99" s="38" t="str">
        <f aca="false">IF(B99="","",INT((B99-Settings!$B$4)/7)+1)</f>
        <v/>
      </c>
      <c r="D99" s="40"/>
      <c r="E99" s="40"/>
      <c r="F99" s="40"/>
      <c r="G99" s="40"/>
      <c r="H99" s="40"/>
      <c r="I99" s="40"/>
      <c r="J99" s="40"/>
      <c r="K99" s="40"/>
      <c r="L99" s="40"/>
      <c r="M99" s="38" t="str">
        <f aca="false">IF(B99="","",IF(COUNTIF(H99:L99,"Y")=5,"Yes","No"))</f>
        <v/>
      </c>
      <c r="N99" s="41"/>
      <c r="O99" s="42"/>
      <c r="P99" s="42"/>
      <c r="Q99" s="43" t="str">
        <f aca="false">IF(OR(O99="",P99=""),"",IF(F99="Long",O99+Settings!$B$7*(O99-P99),O99-Settings!$B$7*(P99-O99)))</f>
        <v/>
      </c>
      <c r="R99" s="42"/>
      <c r="S99" s="40"/>
      <c r="T99" s="44" t="str">
        <f aca="false">IF(OR(R99="",O99="",P99="",O99=P99),"",ROUND(IF(F99="Long",(R99-O99)/(O99-P99),(O99-R99)/(P99-O99)),2))</f>
        <v/>
      </c>
      <c r="U99" s="38" t="str">
        <f aca="false">IF(T99="","",IF(T99&gt;=Settings!$B$20,"Win",IF(T99&lt;=-Settings!$B$20,"Loss","BE")))</f>
        <v/>
      </c>
      <c r="V99" s="45" t="str">
        <f aca="false">IF(B99="","",Settings!$B$6)</f>
        <v/>
      </c>
      <c r="W99" s="46" t="str">
        <f aca="false">IF(B99="","",(Settings!$B$5+SUM(X$4:X98))*V99)</f>
        <v/>
      </c>
      <c r="X99" s="46" t="str">
        <f aca="false">IF(T99="","",ROUND(T99*W99,2))</f>
        <v/>
      </c>
      <c r="Y99" s="46" t="str">
        <f aca="false">IF(T99="","",Settings!$B$5+SUM(X$5:X99))</f>
        <v/>
      </c>
      <c r="Z99" s="43" t="str">
        <f aca="false">IF(T99="","",SUM(T$5:T99))</f>
        <v/>
      </c>
      <c r="AA99" s="43" t="str">
        <f aca="false">IF(T99="","",MAX(0,MAX(Z$5:Z99)))</f>
        <v/>
      </c>
      <c r="AB99" s="43" t="str">
        <f aca="false">IF(T99="","",Z99-AA99)</f>
        <v/>
      </c>
      <c r="AC99" s="38" t="str">
        <f aca="false">IF(U99="","",IF(U99="Loss",N(AC98)+1,0))</f>
        <v/>
      </c>
      <c r="AD99" s="40"/>
      <c r="AE99" s="38" t="str">
        <f aca="false">IF(B99="","",IF(AND(M99="Yes",OR(AD99="None",AD99="")),"Yes","No"))</f>
        <v/>
      </c>
      <c r="AF99" s="40"/>
      <c r="AG99" s="40"/>
      <c r="AH99" s="47"/>
      <c r="AI99" s="47"/>
    </row>
    <row r="100" customFormat="false" ht="15" hidden="false" customHeight="false" outlineLevel="0" collapsed="false">
      <c r="A100" s="38" t="str">
        <f aca="false">IF(B100="","",ROW()-4)</f>
        <v/>
      </c>
      <c r="B100" s="39"/>
      <c r="C100" s="38" t="str">
        <f aca="false">IF(B100="","",INT((B100-Settings!$B$4)/7)+1)</f>
        <v/>
      </c>
      <c r="D100" s="40"/>
      <c r="E100" s="40"/>
      <c r="F100" s="40"/>
      <c r="G100" s="40"/>
      <c r="H100" s="40"/>
      <c r="I100" s="40"/>
      <c r="J100" s="40"/>
      <c r="K100" s="40"/>
      <c r="L100" s="40"/>
      <c r="M100" s="38" t="str">
        <f aca="false">IF(B100="","",IF(COUNTIF(H100:L100,"Y")=5,"Yes","No"))</f>
        <v/>
      </c>
      <c r="N100" s="41"/>
      <c r="O100" s="42"/>
      <c r="P100" s="42"/>
      <c r="Q100" s="43" t="str">
        <f aca="false">IF(OR(O100="",P100=""),"",IF(F100="Long",O100+Settings!$B$7*(O100-P100),O100-Settings!$B$7*(P100-O100)))</f>
        <v/>
      </c>
      <c r="R100" s="42"/>
      <c r="S100" s="40"/>
      <c r="T100" s="44" t="str">
        <f aca="false">IF(OR(R100="",O100="",P100="",O100=P100),"",ROUND(IF(F100="Long",(R100-O100)/(O100-P100),(O100-R100)/(P100-O100)),2))</f>
        <v/>
      </c>
      <c r="U100" s="38" t="str">
        <f aca="false">IF(T100="","",IF(T100&gt;=Settings!$B$20,"Win",IF(T100&lt;=-Settings!$B$20,"Loss","BE")))</f>
        <v/>
      </c>
      <c r="V100" s="45" t="str">
        <f aca="false">IF(B100="","",Settings!$B$6)</f>
        <v/>
      </c>
      <c r="W100" s="46" t="str">
        <f aca="false">IF(B100="","",(Settings!$B$5+SUM(X$4:X99))*V100)</f>
        <v/>
      </c>
      <c r="X100" s="46" t="str">
        <f aca="false">IF(T100="","",ROUND(T100*W100,2))</f>
        <v/>
      </c>
      <c r="Y100" s="46" t="str">
        <f aca="false">IF(T100="","",Settings!$B$5+SUM(X$5:X100))</f>
        <v/>
      </c>
      <c r="Z100" s="43" t="str">
        <f aca="false">IF(T100="","",SUM(T$5:T100))</f>
        <v/>
      </c>
      <c r="AA100" s="43" t="str">
        <f aca="false">IF(T100="","",MAX(0,MAX(Z$5:Z100)))</f>
        <v/>
      </c>
      <c r="AB100" s="43" t="str">
        <f aca="false">IF(T100="","",Z100-AA100)</f>
        <v/>
      </c>
      <c r="AC100" s="38" t="str">
        <f aca="false">IF(U100="","",IF(U100="Loss",N(AC99)+1,0))</f>
        <v/>
      </c>
      <c r="AD100" s="40"/>
      <c r="AE100" s="38" t="str">
        <f aca="false">IF(B100="","",IF(AND(M100="Yes",OR(AD100="None",AD100="")),"Yes","No"))</f>
        <v/>
      </c>
      <c r="AF100" s="40"/>
      <c r="AG100" s="40"/>
      <c r="AH100" s="47"/>
      <c r="AI100" s="47"/>
    </row>
    <row r="101" customFormat="false" ht="15" hidden="false" customHeight="false" outlineLevel="0" collapsed="false">
      <c r="A101" s="38" t="str">
        <f aca="false">IF(B101="","",ROW()-4)</f>
        <v/>
      </c>
      <c r="B101" s="39"/>
      <c r="C101" s="38" t="str">
        <f aca="false">IF(B101="","",INT((B101-Settings!$B$4)/7)+1)</f>
        <v/>
      </c>
      <c r="D101" s="40"/>
      <c r="E101" s="40"/>
      <c r="F101" s="40"/>
      <c r="G101" s="40"/>
      <c r="H101" s="40"/>
      <c r="I101" s="40"/>
      <c r="J101" s="40"/>
      <c r="K101" s="40"/>
      <c r="L101" s="40"/>
      <c r="M101" s="38" t="str">
        <f aca="false">IF(B101="","",IF(COUNTIF(H101:L101,"Y")=5,"Yes","No"))</f>
        <v/>
      </c>
      <c r="N101" s="41"/>
      <c r="O101" s="42"/>
      <c r="P101" s="42"/>
      <c r="Q101" s="43" t="str">
        <f aca="false">IF(OR(O101="",P101=""),"",IF(F101="Long",O101+Settings!$B$7*(O101-P101),O101-Settings!$B$7*(P101-O101)))</f>
        <v/>
      </c>
      <c r="R101" s="42"/>
      <c r="S101" s="40"/>
      <c r="T101" s="44" t="str">
        <f aca="false">IF(OR(R101="",O101="",P101="",O101=P101),"",ROUND(IF(F101="Long",(R101-O101)/(O101-P101),(O101-R101)/(P101-O101)),2))</f>
        <v/>
      </c>
      <c r="U101" s="38" t="str">
        <f aca="false">IF(T101="","",IF(T101&gt;=Settings!$B$20,"Win",IF(T101&lt;=-Settings!$B$20,"Loss","BE")))</f>
        <v/>
      </c>
      <c r="V101" s="45" t="str">
        <f aca="false">IF(B101="","",Settings!$B$6)</f>
        <v/>
      </c>
      <c r="W101" s="46" t="str">
        <f aca="false">IF(B101="","",(Settings!$B$5+SUM(X$4:X100))*V101)</f>
        <v/>
      </c>
      <c r="X101" s="46" t="str">
        <f aca="false">IF(T101="","",ROUND(T101*W101,2))</f>
        <v/>
      </c>
      <c r="Y101" s="46" t="str">
        <f aca="false">IF(T101="","",Settings!$B$5+SUM(X$5:X101))</f>
        <v/>
      </c>
      <c r="Z101" s="43" t="str">
        <f aca="false">IF(T101="","",SUM(T$5:T101))</f>
        <v/>
      </c>
      <c r="AA101" s="43" t="str">
        <f aca="false">IF(T101="","",MAX(0,MAX(Z$5:Z101)))</f>
        <v/>
      </c>
      <c r="AB101" s="43" t="str">
        <f aca="false">IF(T101="","",Z101-AA101)</f>
        <v/>
      </c>
      <c r="AC101" s="38" t="str">
        <f aca="false">IF(U101="","",IF(U101="Loss",N(AC100)+1,0))</f>
        <v/>
      </c>
      <c r="AD101" s="40"/>
      <c r="AE101" s="38" t="str">
        <f aca="false">IF(B101="","",IF(AND(M101="Yes",OR(AD101="None",AD101="")),"Yes","No"))</f>
        <v/>
      </c>
      <c r="AF101" s="40"/>
      <c r="AG101" s="40"/>
      <c r="AH101" s="47"/>
      <c r="AI101" s="47"/>
    </row>
    <row r="102" customFormat="false" ht="15" hidden="false" customHeight="false" outlineLevel="0" collapsed="false">
      <c r="A102" s="38" t="str">
        <f aca="false">IF(B102="","",ROW()-4)</f>
        <v/>
      </c>
      <c r="B102" s="39"/>
      <c r="C102" s="38" t="str">
        <f aca="false">IF(B102="","",INT((B102-Settings!$B$4)/7)+1)</f>
        <v/>
      </c>
      <c r="D102" s="40"/>
      <c r="E102" s="40"/>
      <c r="F102" s="40"/>
      <c r="G102" s="40"/>
      <c r="H102" s="40"/>
      <c r="I102" s="40"/>
      <c r="J102" s="40"/>
      <c r="K102" s="40"/>
      <c r="L102" s="40"/>
      <c r="M102" s="38" t="str">
        <f aca="false">IF(B102="","",IF(COUNTIF(H102:L102,"Y")=5,"Yes","No"))</f>
        <v/>
      </c>
      <c r="N102" s="41"/>
      <c r="O102" s="42"/>
      <c r="P102" s="42"/>
      <c r="Q102" s="43" t="str">
        <f aca="false">IF(OR(O102="",P102=""),"",IF(F102="Long",O102+Settings!$B$7*(O102-P102),O102-Settings!$B$7*(P102-O102)))</f>
        <v/>
      </c>
      <c r="R102" s="42"/>
      <c r="S102" s="40"/>
      <c r="T102" s="44" t="str">
        <f aca="false">IF(OR(R102="",O102="",P102="",O102=P102),"",ROUND(IF(F102="Long",(R102-O102)/(O102-P102),(O102-R102)/(P102-O102)),2))</f>
        <v/>
      </c>
      <c r="U102" s="38" t="str">
        <f aca="false">IF(T102="","",IF(T102&gt;=Settings!$B$20,"Win",IF(T102&lt;=-Settings!$B$20,"Loss","BE")))</f>
        <v/>
      </c>
      <c r="V102" s="45" t="str">
        <f aca="false">IF(B102="","",Settings!$B$6)</f>
        <v/>
      </c>
      <c r="W102" s="46" t="str">
        <f aca="false">IF(B102="","",(Settings!$B$5+SUM(X$4:X101))*V102)</f>
        <v/>
      </c>
      <c r="X102" s="46" t="str">
        <f aca="false">IF(T102="","",ROUND(T102*W102,2))</f>
        <v/>
      </c>
      <c r="Y102" s="46" t="str">
        <f aca="false">IF(T102="","",Settings!$B$5+SUM(X$5:X102))</f>
        <v/>
      </c>
      <c r="Z102" s="43" t="str">
        <f aca="false">IF(T102="","",SUM(T$5:T102))</f>
        <v/>
      </c>
      <c r="AA102" s="43" t="str">
        <f aca="false">IF(T102="","",MAX(0,MAX(Z$5:Z102)))</f>
        <v/>
      </c>
      <c r="AB102" s="43" t="str">
        <f aca="false">IF(T102="","",Z102-AA102)</f>
        <v/>
      </c>
      <c r="AC102" s="38" t="str">
        <f aca="false">IF(U102="","",IF(U102="Loss",N(AC101)+1,0))</f>
        <v/>
      </c>
      <c r="AD102" s="40"/>
      <c r="AE102" s="38" t="str">
        <f aca="false">IF(B102="","",IF(AND(M102="Yes",OR(AD102="None",AD102="")),"Yes","No"))</f>
        <v/>
      </c>
      <c r="AF102" s="40"/>
      <c r="AG102" s="40"/>
      <c r="AH102" s="47"/>
      <c r="AI102" s="47"/>
    </row>
    <row r="103" customFormat="false" ht="15" hidden="false" customHeight="false" outlineLevel="0" collapsed="false">
      <c r="A103" s="38" t="str">
        <f aca="false">IF(B103="","",ROW()-4)</f>
        <v/>
      </c>
      <c r="B103" s="39"/>
      <c r="C103" s="38" t="str">
        <f aca="false">IF(B103="","",INT((B103-Settings!$B$4)/7)+1)</f>
        <v/>
      </c>
      <c r="D103" s="40"/>
      <c r="E103" s="40"/>
      <c r="F103" s="40"/>
      <c r="G103" s="40"/>
      <c r="H103" s="40"/>
      <c r="I103" s="40"/>
      <c r="J103" s="40"/>
      <c r="K103" s="40"/>
      <c r="L103" s="40"/>
      <c r="M103" s="38" t="str">
        <f aca="false">IF(B103="","",IF(COUNTIF(H103:L103,"Y")=5,"Yes","No"))</f>
        <v/>
      </c>
      <c r="N103" s="41"/>
      <c r="O103" s="42"/>
      <c r="P103" s="42"/>
      <c r="Q103" s="43" t="str">
        <f aca="false">IF(OR(O103="",P103=""),"",IF(F103="Long",O103+Settings!$B$7*(O103-P103),O103-Settings!$B$7*(P103-O103)))</f>
        <v/>
      </c>
      <c r="R103" s="42"/>
      <c r="S103" s="40"/>
      <c r="T103" s="44" t="str">
        <f aca="false">IF(OR(R103="",O103="",P103="",O103=P103),"",ROUND(IF(F103="Long",(R103-O103)/(O103-P103),(O103-R103)/(P103-O103)),2))</f>
        <v/>
      </c>
      <c r="U103" s="38" t="str">
        <f aca="false">IF(T103="","",IF(T103&gt;=Settings!$B$20,"Win",IF(T103&lt;=-Settings!$B$20,"Loss","BE")))</f>
        <v/>
      </c>
      <c r="V103" s="45" t="str">
        <f aca="false">IF(B103="","",Settings!$B$6)</f>
        <v/>
      </c>
      <c r="W103" s="46" t="str">
        <f aca="false">IF(B103="","",(Settings!$B$5+SUM(X$4:X102))*V103)</f>
        <v/>
      </c>
      <c r="X103" s="46" t="str">
        <f aca="false">IF(T103="","",ROUND(T103*W103,2))</f>
        <v/>
      </c>
      <c r="Y103" s="46" t="str">
        <f aca="false">IF(T103="","",Settings!$B$5+SUM(X$5:X103))</f>
        <v/>
      </c>
      <c r="Z103" s="43" t="str">
        <f aca="false">IF(T103="","",SUM(T$5:T103))</f>
        <v/>
      </c>
      <c r="AA103" s="43" t="str">
        <f aca="false">IF(T103="","",MAX(0,MAX(Z$5:Z103)))</f>
        <v/>
      </c>
      <c r="AB103" s="43" t="str">
        <f aca="false">IF(T103="","",Z103-AA103)</f>
        <v/>
      </c>
      <c r="AC103" s="38" t="str">
        <f aca="false">IF(U103="","",IF(U103="Loss",N(AC102)+1,0))</f>
        <v/>
      </c>
      <c r="AD103" s="40"/>
      <c r="AE103" s="38" t="str">
        <f aca="false">IF(B103="","",IF(AND(M103="Yes",OR(AD103="None",AD103="")),"Yes","No"))</f>
        <v/>
      </c>
      <c r="AF103" s="40"/>
      <c r="AG103" s="40"/>
      <c r="AH103" s="47"/>
      <c r="AI103" s="47"/>
    </row>
    <row r="104" customFormat="false" ht="15" hidden="false" customHeight="false" outlineLevel="0" collapsed="false">
      <c r="A104" s="38" t="str">
        <f aca="false">IF(B104="","",ROW()-4)</f>
        <v/>
      </c>
      <c r="B104" s="39"/>
      <c r="C104" s="38" t="str">
        <f aca="false">IF(B104="","",INT((B104-Settings!$B$4)/7)+1)</f>
        <v/>
      </c>
      <c r="D104" s="40"/>
      <c r="E104" s="40"/>
      <c r="F104" s="40"/>
      <c r="G104" s="40"/>
      <c r="H104" s="40"/>
      <c r="I104" s="40"/>
      <c r="J104" s="40"/>
      <c r="K104" s="40"/>
      <c r="L104" s="40"/>
      <c r="M104" s="38" t="str">
        <f aca="false">IF(B104="","",IF(COUNTIF(H104:L104,"Y")=5,"Yes","No"))</f>
        <v/>
      </c>
      <c r="N104" s="41"/>
      <c r="O104" s="42"/>
      <c r="P104" s="42"/>
      <c r="Q104" s="43" t="str">
        <f aca="false">IF(OR(O104="",P104=""),"",IF(F104="Long",O104+Settings!$B$7*(O104-P104),O104-Settings!$B$7*(P104-O104)))</f>
        <v/>
      </c>
      <c r="R104" s="42"/>
      <c r="S104" s="40"/>
      <c r="T104" s="44" t="str">
        <f aca="false">IF(OR(R104="",O104="",P104="",O104=P104),"",ROUND(IF(F104="Long",(R104-O104)/(O104-P104),(O104-R104)/(P104-O104)),2))</f>
        <v/>
      </c>
      <c r="U104" s="38" t="str">
        <f aca="false">IF(T104="","",IF(T104&gt;=Settings!$B$20,"Win",IF(T104&lt;=-Settings!$B$20,"Loss","BE")))</f>
        <v/>
      </c>
      <c r="V104" s="45" t="str">
        <f aca="false">IF(B104="","",Settings!$B$6)</f>
        <v/>
      </c>
      <c r="W104" s="46" t="str">
        <f aca="false">IF(B104="","",(Settings!$B$5+SUM(X$4:X103))*V104)</f>
        <v/>
      </c>
      <c r="X104" s="46" t="str">
        <f aca="false">IF(T104="","",ROUND(T104*W104,2))</f>
        <v/>
      </c>
      <c r="Y104" s="46" t="str">
        <f aca="false">IF(T104="","",Settings!$B$5+SUM(X$5:X104))</f>
        <v/>
      </c>
      <c r="Z104" s="43" t="str">
        <f aca="false">IF(T104="","",SUM(T$5:T104))</f>
        <v/>
      </c>
      <c r="AA104" s="43" t="str">
        <f aca="false">IF(T104="","",MAX(0,MAX(Z$5:Z104)))</f>
        <v/>
      </c>
      <c r="AB104" s="43" t="str">
        <f aca="false">IF(T104="","",Z104-AA104)</f>
        <v/>
      </c>
      <c r="AC104" s="38" t="str">
        <f aca="false">IF(U104="","",IF(U104="Loss",N(AC103)+1,0))</f>
        <v/>
      </c>
      <c r="AD104" s="40"/>
      <c r="AE104" s="38" t="str">
        <f aca="false">IF(B104="","",IF(AND(M104="Yes",OR(AD104="None",AD104="")),"Yes","No"))</f>
        <v/>
      </c>
      <c r="AF104" s="40"/>
      <c r="AG104" s="40"/>
      <c r="AH104" s="47"/>
      <c r="AI104" s="47"/>
    </row>
    <row r="105" customFormat="false" ht="15" hidden="false" customHeight="false" outlineLevel="0" collapsed="false">
      <c r="A105" s="38" t="str">
        <f aca="false">IF(B105="","",ROW()-4)</f>
        <v/>
      </c>
      <c r="B105" s="39"/>
      <c r="C105" s="38" t="str">
        <f aca="false">IF(B105="","",INT((B105-Settings!$B$4)/7)+1)</f>
        <v/>
      </c>
      <c r="D105" s="40"/>
      <c r="E105" s="40"/>
      <c r="F105" s="40"/>
      <c r="G105" s="40"/>
      <c r="H105" s="40"/>
      <c r="I105" s="40"/>
      <c r="J105" s="40"/>
      <c r="K105" s="40"/>
      <c r="L105" s="40"/>
      <c r="M105" s="38" t="str">
        <f aca="false">IF(B105="","",IF(COUNTIF(H105:L105,"Y")=5,"Yes","No"))</f>
        <v/>
      </c>
      <c r="N105" s="41"/>
      <c r="O105" s="42"/>
      <c r="P105" s="42"/>
      <c r="Q105" s="43" t="str">
        <f aca="false">IF(OR(O105="",P105=""),"",IF(F105="Long",O105+Settings!$B$7*(O105-P105),O105-Settings!$B$7*(P105-O105)))</f>
        <v/>
      </c>
      <c r="R105" s="42"/>
      <c r="S105" s="40"/>
      <c r="T105" s="44" t="str">
        <f aca="false">IF(OR(R105="",O105="",P105="",O105=P105),"",ROUND(IF(F105="Long",(R105-O105)/(O105-P105),(O105-R105)/(P105-O105)),2))</f>
        <v/>
      </c>
      <c r="U105" s="38" t="str">
        <f aca="false">IF(T105="","",IF(T105&gt;=Settings!$B$20,"Win",IF(T105&lt;=-Settings!$B$20,"Loss","BE")))</f>
        <v/>
      </c>
      <c r="V105" s="45" t="str">
        <f aca="false">IF(B105="","",Settings!$B$6)</f>
        <v/>
      </c>
      <c r="W105" s="46" t="str">
        <f aca="false">IF(B105="","",(Settings!$B$5+SUM(X$4:X104))*V105)</f>
        <v/>
      </c>
      <c r="X105" s="46" t="str">
        <f aca="false">IF(T105="","",ROUND(T105*W105,2))</f>
        <v/>
      </c>
      <c r="Y105" s="46" t="str">
        <f aca="false">IF(T105="","",Settings!$B$5+SUM(X$5:X105))</f>
        <v/>
      </c>
      <c r="Z105" s="43" t="str">
        <f aca="false">IF(T105="","",SUM(T$5:T105))</f>
        <v/>
      </c>
      <c r="AA105" s="43" t="str">
        <f aca="false">IF(T105="","",MAX(0,MAX(Z$5:Z105)))</f>
        <v/>
      </c>
      <c r="AB105" s="43" t="str">
        <f aca="false">IF(T105="","",Z105-AA105)</f>
        <v/>
      </c>
      <c r="AC105" s="38" t="str">
        <f aca="false">IF(U105="","",IF(U105="Loss",N(AC104)+1,0))</f>
        <v/>
      </c>
      <c r="AD105" s="40"/>
      <c r="AE105" s="38" t="str">
        <f aca="false">IF(B105="","",IF(AND(M105="Yes",OR(AD105="None",AD105="")),"Yes","No"))</f>
        <v/>
      </c>
      <c r="AF105" s="40"/>
      <c r="AG105" s="40"/>
      <c r="AH105" s="47"/>
      <c r="AI105" s="47"/>
    </row>
    <row r="106" customFormat="false" ht="15" hidden="false" customHeight="false" outlineLevel="0" collapsed="false">
      <c r="A106" s="38" t="str">
        <f aca="false">IF(B106="","",ROW()-4)</f>
        <v/>
      </c>
      <c r="B106" s="39"/>
      <c r="C106" s="38" t="str">
        <f aca="false">IF(B106="","",INT((B106-Settings!$B$4)/7)+1)</f>
        <v/>
      </c>
      <c r="D106" s="40"/>
      <c r="E106" s="40"/>
      <c r="F106" s="40"/>
      <c r="G106" s="40"/>
      <c r="H106" s="40"/>
      <c r="I106" s="40"/>
      <c r="J106" s="40"/>
      <c r="K106" s="40"/>
      <c r="L106" s="40"/>
      <c r="M106" s="38" t="str">
        <f aca="false">IF(B106="","",IF(COUNTIF(H106:L106,"Y")=5,"Yes","No"))</f>
        <v/>
      </c>
      <c r="N106" s="41"/>
      <c r="O106" s="42"/>
      <c r="P106" s="42"/>
      <c r="Q106" s="43" t="str">
        <f aca="false">IF(OR(O106="",P106=""),"",IF(F106="Long",O106+Settings!$B$7*(O106-P106),O106-Settings!$B$7*(P106-O106)))</f>
        <v/>
      </c>
      <c r="R106" s="42"/>
      <c r="S106" s="40"/>
      <c r="T106" s="44" t="str">
        <f aca="false">IF(OR(R106="",O106="",P106="",O106=P106),"",ROUND(IF(F106="Long",(R106-O106)/(O106-P106),(O106-R106)/(P106-O106)),2))</f>
        <v/>
      </c>
      <c r="U106" s="38" t="str">
        <f aca="false">IF(T106="","",IF(T106&gt;=Settings!$B$20,"Win",IF(T106&lt;=-Settings!$B$20,"Loss","BE")))</f>
        <v/>
      </c>
      <c r="V106" s="45" t="str">
        <f aca="false">IF(B106="","",Settings!$B$6)</f>
        <v/>
      </c>
      <c r="W106" s="46" t="str">
        <f aca="false">IF(B106="","",(Settings!$B$5+SUM(X$4:X105))*V106)</f>
        <v/>
      </c>
      <c r="X106" s="46" t="str">
        <f aca="false">IF(T106="","",ROUND(T106*W106,2))</f>
        <v/>
      </c>
      <c r="Y106" s="46" t="str">
        <f aca="false">IF(T106="","",Settings!$B$5+SUM(X$5:X106))</f>
        <v/>
      </c>
      <c r="Z106" s="43" t="str">
        <f aca="false">IF(T106="","",SUM(T$5:T106))</f>
        <v/>
      </c>
      <c r="AA106" s="43" t="str">
        <f aca="false">IF(T106="","",MAX(0,MAX(Z$5:Z106)))</f>
        <v/>
      </c>
      <c r="AB106" s="43" t="str">
        <f aca="false">IF(T106="","",Z106-AA106)</f>
        <v/>
      </c>
      <c r="AC106" s="38" t="str">
        <f aca="false">IF(U106="","",IF(U106="Loss",N(AC105)+1,0))</f>
        <v/>
      </c>
      <c r="AD106" s="40"/>
      <c r="AE106" s="38" t="str">
        <f aca="false">IF(B106="","",IF(AND(M106="Yes",OR(AD106="None",AD106="")),"Yes","No"))</f>
        <v/>
      </c>
      <c r="AF106" s="40"/>
      <c r="AG106" s="40"/>
      <c r="AH106" s="47"/>
      <c r="AI106" s="47"/>
    </row>
    <row r="107" customFormat="false" ht="15" hidden="false" customHeight="false" outlineLevel="0" collapsed="false">
      <c r="A107" s="38" t="str">
        <f aca="false">IF(B107="","",ROW()-4)</f>
        <v/>
      </c>
      <c r="B107" s="39"/>
      <c r="C107" s="38" t="str">
        <f aca="false">IF(B107="","",INT((B107-Settings!$B$4)/7)+1)</f>
        <v/>
      </c>
      <c r="D107" s="40"/>
      <c r="E107" s="40"/>
      <c r="F107" s="40"/>
      <c r="G107" s="40"/>
      <c r="H107" s="40"/>
      <c r="I107" s="40"/>
      <c r="J107" s="40"/>
      <c r="K107" s="40"/>
      <c r="L107" s="40"/>
      <c r="M107" s="38" t="str">
        <f aca="false">IF(B107="","",IF(COUNTIF(H107:L107,"Y")=5,"Yes","No"))</f>
        <v/>
      </c>
      <c r="N107" s="41"/>
      <c r="O107" s="42"/>
      <c r="P107" s="42"/>
      <c r="Q107" s="43" t="str">
        <f aca="false">IF(OR(O107="",P107=""),"",IF(F107="Long",O107+Settings!$B$7*(O107-P107),O107-Settings!$B$7*(P107-O107)))</f>
        <v/>
      </c>
      <c r="R107" s="42"/>
      <c r="S107" s="40"/>
      <c r="T107" s="44" t="str">
        <f aca="false">IF(OR(R107="",O107="",P107="",O107=P107),"",ROUND(IF(F107="Long",(R107-O107)/(O107-P107),(O107-R107)/(P107-O107)),2))</f>
        <v/>
      </c>
      <c r="U107" s="38" t="str">
        <f aca="false">IF(T107="","",IF(T107&gt;=Settings!$B$20,"Win",IF(T107&lt;=-Settings!$B$20,"Loss","BE")))</f>
        <v/>
      </c>
      <c r="V107" s="45" t="str">
        <f aca="false">IF(B107="","",Settings!$B$6)</f>
        <v/>
      </c>
      <c r="W107" s="46" t="str">
        <f aca="false">IF(B107="","",(Settings!$B$5+SUM(X$4:X106))*V107)</f>
        <v/>
      </c>
      <c r="X107" s="46" t="str">
        <f aca="false">IF(T107="","",ROUND(T107*W107,2))</f>
        <v/>
      </c>
      <c r="Y107" s="46" t="str">
        <f aca="false">IF(T107="","",Settings!$B$5+SUM(X$5:X107))</f>
        <v/>
      </c>
      <c r="Z107" s="43" t="str">
        <f aca="false">IF(T107="","",SUM(T$5:T107))</f>
        <v/>
      </c>
      <c r="AA107" s="43" t="str">
        <f aca="false">IF(T107="","",MAX(0,MAX(Z$5:Z107)))</f>
        <v/>
      </c>
      <c r="AB107" s="43" t="str">
        <f aca="false">IF(T107="","",Z107-AA107)</f>
        <v/>
      </c>
      <c r="AC107" s="38" t="str">
        <f aca="false">IF(U107="","",IF(U107="Loss",N(AC106)+1,0))</f>
        <v/>
      </c>
      <c r="AD107" s="40"/>
      <c r="AE107" s="38" t="str">
        <f aca="false">IF(B107="","",IF(AND(M107="Yes",OR(AD107="None",AD107="")),"Yes","No"))</f>
        <v/>
      </c>
      <c r="AF107" s="40"/>
      <c r="AG107" s="40"/>
      <c r="AH107" s="47"/>
      <c r="AI107" s="47"/>
    </row>
    <row r="108" customFormat="false" ht="15" hidden="false" customHeight="false" outlineLevel="0" collapsed="false">
      <c r="A108" s="38" t="str">
        <f aca="false">IF(B108="","",ROW()-4)</f>
        <v/>
      </c>
      <c r="B108" s="39"/>
      <c r="C108" s="38" t="str">
        <f aca="false">IF(B108="","",INT((B108-Settings!$B$4)/7)+1)</f>
        <v/>
      </c>
      <c r="D108" s="40"/>
      <c r="E108" s="40"/>
      <c r="F108" s="40"/>
      <c r="G108" s="40"/>
      <c r="H108" s="40"/>
      <c r="I108" s="40"/>
      <c r="J108" s="40"/>
      <c r="K108" s="40"/>
      <c r="L108" s="40"/>
      <c r="M108" s="38" t="str">
        <f aca="false">IF(B108="","",IF(COUNTIF(H108:L108,"Y")=5,"Yes","No"))</f>
        <v/>
      </c>
      <c r="N108" s="41"/>
      <c r="O108" s="42"/>
      <c r="P108" s="42"/>
      <c r="Q108" s="43" t="str">
        <f aca="false">IF(OR(O108="",P108=""),"",IF(F108="Long",O108+Settings!$B$7*(O108-P108),O108-Settings!$B$7*(P108-O108)))</f>
        <v/>
      </c>
      <c r="R108" s="42"/>
      <c r="S108" s="40"/>
      <c r="T108" s="44" t="str">
        <f aca="false">IF(OR(R108="",O108="",P108="",O108=P108),"",ROUND(IF(F108="Long",(R108-O108)/(O108-P108),(O108-R108)/(P108-O108)),2))</f>
        <v/>
      </c>
      <c r="U108" s="38" t="str">
        <f aca="false">IF(T108="","",IF(T108&gt;=Settings!$B$20,"Win",IF(T108&lt;=-Settings!$B$20,"Loss","BE")))</f>
        <v/>
      </c>
      <c r="V108" s="45" t="str">
        <f aca="false">IF(B108="","",Settings!$B$6)</f>
        <v/>
      </c>
      <c r="W108" s="46" t="str">
        <f aca="false">IF(B108="","",(Settings!$B$5+SUM(X$4:X107))*V108)</f>
        <v/>
      </c>
      <c r="X108" s="46" t="str">
        <f aca="false">IF(T108="","",ROUND(T108*W108,2))</f>
        <v/>
      </c>
      <c r="Y108" s="46" t="str">
        <f aca="false">IF(T108="","",Settings!$B$5+SUM(X$5:X108))</f>
        <v/>
      </c>
      <c r="Z108" s="43" t="str">
        <f aca="false">IF(T108="","",SUM(T$5:T108))</f>
        <v/>
      </c>
      <c r="AA108" s="43" t="str">
        <f aca="false">IF(T108="","",MAX(0,MAX(Z$5:Z108)))</f>
        <v/>
      </c>
      <c r="AB108" s="43" t="str">
        <f aca="false">IF(T108="","",Z108-AA108)</f>
        <v/>
      </c>
      <c r="AC108" s="38" t="str">
        <f aca="false">IF(U108="","",IF(U108="Loss",N(AC107)+1,0))</f>
        <v/>
      </c>
      <c r="AD108" s="40"/>
      <c r="AE108" s="38" t="str">
        <f aca="false">IF(B108="","",IF(AND(M108="Yes",OR(AD108="None",AD108="")),"Yes","No"))</f>
        <v/>
      </c>
      <c r="AF108" s="40"/>
      <c r="AG108" s="40"/>
      <c r="AH108" s="47"/>
      <c r="AI108" s="47"/>
    </row>
    <row r="109" customFormat="false" ht="15" hidden="false" customHeight="false" outlineLevel="0" collapsed="false">
      <c r="A109" s="38" t="str">
        <f aca="false">IF(B109="","",ROW()-4)</f>
        <v/>
      </c>
      <c r="B109" s="39"/>
      <c r="C109" s="38" t="str">
        <f aca="false">IF(B109="","",INT((B109-Settings!$B$4)/7)+1)</f>
        <v/>
      </c>
      <c r="D109" s="40"/>
      <c r="E109" s="40"/>
      <c r="F109" s="40"/>
      <c r="G109" s="40"/>
      <c r="H109" s="40"/>
      <c r="I109" s="40"/>
      <c r="J109" s="40"/>
      <c r="K109" s="40"/>
      <c r="L109" s="40"/>
      <c r="M109" s="38" t="str">
        <f aca="false">IF(B109="","",IF(COUNTIF(H109:L109,"Y")=5,"Yes","No"))</f>
        <v/>
      </c>
      <c r="N109" s="41"/>
      <c r="O109" s="42"/>
      <c r="P109" s="42"/>
      <c r="Q109" s="43" t="str">
        <f aca="false">IF(OR(O109="",P109=""),"",IF(F109="Long",O109+Settings!$B$7*(O109-P109),O109-Settings!$B$7*(P109-O109)))</f>
        <v/>
      </c>
      <c r="R109" s="42"/>
      <c r="S109" s="40"/>
      <c r="T109" s="44" t="str">
        <f aca="false">IF(OR(R109="",O109="",P109="",O109=P109),"",ROUND(IF(F109="Long",(R109-O109)/(O109-P109),(O109-R109)/(P109-O109)),2))</f>
        <v/>
      </c>
      <c r="U109" s="38" t="str">
        <f aca="false">IF(T109="","",IF(T109&gt;=Settings!$B$20,"Win",IF(T109&lt;=-Settings!$B$20,"Loss","BE")))</f>
        <v/>
      </c>
      <c r="V109" s="45" t="str">
        <f aca="false">IF(B109="","",Settings!$B$6)</f>
        <v/>
      </c>
      <c r="W109" s="46" t="str">
        <f aca="false">IF(B109="","",(Settings!$B$5+SUM(X$4:X108))*V109)</f>
        <v/>
      </c>
      <c r="X109" s="46" t="str">
        <f aca="false">IF(T109="","",ROUND(T109*W109,2))</f>
        <v/>
      </c>
      <c r="Y109" s="46" t="str">
        <f aca="false">IF(T109="","",Settings!$B$5+SUM(X$5:X109))</f>
        <v/>
      </c>
      <c r="Z109" s="43" t="str">
        <f aca="false">IF(T109="","",SUM(T$5:T109))</f>
        <v/>
      </c>
      <c r="AA109" s="43" t="str">
        <f aca="false">IF(T109="","",MAX(0,MAX(Z$5:Z109)))</f>
        <v/>
      </c>
      <c r="AB109" s="43" t="str">
        <f aca="false">IF(T109="","",Z109-AA109)</f>
        <v/>
      </c>
      <c r="AC109" s="38" t="str">
        <f aca="false">IF(U109="","",IF(U109="Loss",N(AC108)+1,0))</f>
        <v/>
      </c>
      <c r="AD109" s="40"/>
      <c r="AE109" s="38" t="str">
        <f aca="false">IF(B109="","",IF(AND(M109="Yes",OR(AD109="None",AD109="")),"Yes","No"))</f>
        <v/>
      </c>
      <c r="AF109" s="40"/>
      <c r="AG109" s="40"/>
      <c r="AH109" s="47"/>
      <c r="AI109" s="47"/>
    </row>
    <row r="110" customFormat="false" ht="15" hidden="false" customHeight="false" outlineLevel="0" collapsed="false">
      <c r="A110" s="38" t="str">
        <f aca="false">IF(B110="","",ROW()-4)</f>
        <v/>
      </c>
      <c r="B110" s="39"/>
      <c r="C110" s="38" t="str">
        <f aca="false">IF(B110="","",INT((B110-Settings!$B$4)/7)+1)</f>
        <v/>
      </c>
      <c r="D110" s="40"/>
      <c r="E110" s="40"/>
      <c r="F110" s="40"/>
      <c r="G110" s="40"/>
      <c r="H110" s="40"/>
      <c r="I110" s="40"/>
      <c r="J110" s="40"/>
      <c r="K110" s="40"/>
      <c r="L110" s="40"/>
      <c r="M110" s="38" t="str">
        <f aca="false">IF(B110="","",IF(COUNTIF(H110:L110,"Y")=5,"Yes","No"))</f>
        <v/>
      </c>
      <c r="N110" s="41"/>
      <c r="O110" s="42"/>
      <c r="P110" s="42"/>
      <c r="Q110" s="43" t="str">
        <f aca="false">IF(OR(O110="",P110=""),"",IF(F110="Long",O110+Settings!$B$7*(O110-P110),O110-Settings!$B$7*(P110-O110)))</f>
        <v/>
      </c>
      <c r="R110" s="42"/>
      <c r="S110" s="40"/>
      <c r="T110" s="44" t="str">
        <f aca="false">IF(OR(R110="",O110="",P110="",O110=P110),"",ROUND(IF(F110="Long",(R110-O110)/(O110-P110),(O110-R110)/(P110-O110)),2))</f>
        <v/>
      </c>
      <c r="U110" s="38" t="str">
        <f aca="false">IF(T110="","",IF(T110&gt;=Settings!$B$20,"Win",IF(T110&lt;=-Settings!$B$20,"Loss","BE")))</f>
        <v/>
      </c>
      <c r="V110" s="45" t="str">
        <f aca="false">IF(B110="","",Settings!$B$6)</f>
        <v/>
      </c>
      <c r="W110" s="46" t="str">
        <f aca="false">IF(B110="","",(Settings!$B$5+SUM(X$4:X109))*V110)</f>
        <v/>
      </c>
      <c r="X110" s="46" t="str">
        <f aca="false">IF(T110="","",ROUND(T110*W110,2))</f>
        <v/>
      </c>
      <c r="Y110" s="46" t="str">
        <f aca="false">IF(T110="","",Settings!$B$5+SUM(X$5:X110))</f>
        <v/>
      </c>
      <c r="Z110" s="43" t="str">
        <f aca="false">IF(T110="","",SUM(T$5:T110))</f>
        <v/>
      </c>
      <c r="AA110" s="43" t="str">
        <f aca="false">IF(T110="","",MAX(0,MAX(Z$5:Z110)))</f>
        <v/>
      </c>
      <c r="AB110" s="43" t="str">
        <f aca="false">IF(T110="","",Z110-AA110)</f>
        <v/>
      </c>
      <c r="AC110" s="38" t="str">
        <f aca="false">IF(U110="","",IF(U110="Loss",N(AC109)+1,0))</f>
        <v/>
      </c>
      <c r="AD110" s="40"/>
      <c r="AE110" s="38" t="str">
        <f aca="false">IF(B110="","",IF(AND(M110="Yes",OR(AD110="None",AD110="")),"Yes","No"))</f>
        <v/>
      </c>
      <c r="AF110" s="40"/>
      <c r="AG110" s="40"/>
      <c r="AH110" s="47"/>
      <c r="AI110" s="47"/>
    </row>
    <row r="111" customFormat="false" ht="15" hidden="false" customHeight="false" outlineLevel="0" collapsed="false">
      <c r="A111" s="38" t="str">
        <f aca="false">IF(B111="","",ROW()-4)</f>
        <v/>
      </c>
      <c r="B111" s="39"/>
      <c r="C111" s="38" t="str">
        <f aca="false">IF(B111="","",INT((B111-Settings!$B$4)/7)+1)</f>
        <v/>
      </c>
      <c r="D111" s="40"/>
      <c r="E111" s="40"/>
      <c r="F111" s="40"/>
      <c r="G111" s="40"/>
      <c r="H111" s="40"/>
      <c r="I111" s="40"/>
      <c r="J111" s="40"/>
      <c r="K111" s="40"/>
      <c r="L111" s="40"/>
      <c r="M111" s="38" t="str">
        <f aca="false">IF(B111="","",IF(COUNTIF(H111:L111,"Y")=5,"Yes","No"))</f>
        <v/>
      </c>
      <c r="N111" s="41"/>
      <c r="O111" s="42"/>
      <c r="P111" s="42"/>
      <c r="Q111" s="43" t="str">
        <f aca="false">IF(OR(O111="",P111=""),"",IF(F111="Long",O111+Settings!$B$7*(O111-P111),O111-Settings!$B$7*(P111-O111)))</f>
        <v/>
      </c>
      <c r="R111" s="42"/>
      <c r="S111" s="40"/>
      <c r="T111" s="44" t="str">
        <f aca="false">IF(OR(R111="",O111="",P111="",O111=P111),"",ROUND(IF(F111="Long",(R111-O111)/(O111-P111),(O111-R111)/(P111-O111)),2))</f>
        <v/>
      </c>
      <c r="U111" s="38" t="str">
        <f aca="false">IF(T111="","",IF(T111&gt;=Settings!$B$20,"Win",IF(T111&lt;=-Settings!$B$20,"Loss","BE")))</f>
        <v/>
      </c>
      <c r="V111" s="45" t="str">
        <f aca="false">IF(B111="","",Settings!$B$6)</f>
        <v/>
      </c>
      <c r="W111" s="46" t="str">
        <f aca="false">IF(B111="","",(Settings!$B$5+SUM(X$4:X110))*V111)</f>
        <v/>
      </c>
      <c r="X111" s="46" t="str">
        <f aca="false">IF(T111="","",ROUND(T111*W111,2))</f>
        <v/>
      </c>
      <c r="Y111" s="46" t="str">
        <f aca="false">IF(T111="","",Settings!$B$5+SUM(X$5:X111))</f>
        <v/>
      </c>
      <c r="Z111" s="43" t="str">
        <f aca="false">IF(T111="","",SUM(T$5:T111))</f>
        <v/>
      </c>
      <c r="AA111" s="43" t="str">
        <f aca="false">IF(T111="","",MAX(0,MAX(Z$5:Z111)))</f>
        <v/>
      </c>
      <c r="AB111" s="43" t="str">
        <f aca="false">IF(T111="","",Z111-AA111)</f>
        <v/>
      </c>
      <c r="AC111" s="38" t="str">
        <f aca="false">IF(U111="","",IF(U111="Loss",N(AC110)+1,0))</f>
        <v/>
      </c>
      <c r="AD111" s="40"/>
      <c r="AE111" s="38" t="str">
        <f aca="false">IF(B111="","",IF(AND(M111="Yes",OR(AD111="None",AD111="")),"Yes","No"))</f>
        <v/>
      </c>
      <c r="AF111" s="40"/>
      <c r="AG111" s="40"/>
      <c r="AH111" s="47"/>
      <c r="AI111" s="47"/>
    </row>
    <row r="112" customFormat="false" ht="15" hidden="false" customHeight="false" outlineLevel="0" collapsed="false">
      <c r="A112" s="38" t="str">
        <f aca="false">IF(B112="","",ROW()-4)</f>
        <v/>
      </c>
      <c r="B112" s="39"/>
      <c r="C112" s="38" t="str">
        <f aca="false">IF(B112="","",INT((B112-Settings!$B$4)/7)+1)</f>
        <v/>
      </c>
      <c r="D112" s="40"/>
      <c r="E112" s="40"/>
      <c r="F112" s="40"/>
      <c r="G112" s="40"/>
      <c r="H112" s="40"/>
      <c r="I112" s="40"/>
      <c r="J112" s="40"/>
      <c r="K112" s="40"/>
      <c r="L112" s="40"/>
      <c r="M112" s="38" t="str">
        <f aca="false">IF(B112="","",IF(COUNTIF(H112:L112,"Y")=5,"Yes","No"))</f>
        <v/>
      </c>
      <c r="N112" s="41"/>
      <c r="O112" s="42"/>
      <c r="P112" s="42"/>
      <c r="Q112" s="43" t="str">
        <f aca="false">IF(OR(O112="",P112=""),"",IF(F112="Long",O112+Settings!$B$7*(O112-P112),O112-Settings!$B$7*(P112-O112)))</f>
        <v/>
      </c>
      <c r="R112" s="42"/>
      <c r="S112" s="40"/>
      <c r="T112" s="44" t="str">
        <f aca="false">IF(OR(R112="",O112="",P112="",O112=P112),"",ROUND(IF(F112="Long",(R112-O112)/(O112-P112),(O112-R112)/(P112-O112)),2))</f>
        <v/>
      </c>
      <c r="U112" s="38" t="str">
        <f aca="false">IF(T112="","",IF(T112&gt;=Settings!$B$20,"Win",IF(T112&lt;=-Settings!$B$20,"Loss","BE")))</f>
        <v/>
      </c>
      <c r="V112" s="45" t="str">
        <f aca="false">IF(B112="","",Settings!$B$6)</f>
        <v/>
      </c>
      <c r="W112" s="46" t="str">
        <f aca="false">IF(B112="","",(Settings!$B$5+SUM(X$4:X111))*V112)</f>
        <v/>
      </c>
      <c r="X112" s="46" t="str">
        <f aca="false">IF(T112="","",ROUND(T112*W112,2))</f>
        <v/>
      </c>
      <c r="Y112" s="46" t="str">
        <f aca="false">IF(T112="","",Settings!$B$5+SUM(X$5:X112))</f>
        <v/>
      </c>
      <c r="Z112" s="43" t="str">
        <f aca="false">IF(T112="","",SUM(T$5:T112))</f>
        <v/>
      </c>
      <c r="AA112" s="43" t="str">
        <f aca="false">IF(T112="","",MAX(0,MAX(Z$5:Z112)))</f>
        <v/>
      </c>
      <c r="AB112" s="43" t="str">
        <f aca="false">IF(T112="","",Z112-AA112)</f>
        <v/>
      </c>
      <c r="AC112" s="38" t="str">
        <f aca="false">IF(U112="","",IF(U112="Loss",N(AC111)+1,0))</f>
        <v/>
      </c>
      <c r="AD112" s="40"/>
      <c r="AE112" s="38" t="str">
        <f aca="false">IF(B112="","",IF(AND(M112="Yes",OR(AD112="None",AD112="")),"Yes","No"))</f>
        <v/>
      </c>
      <c r="AF112" s="40"/>
      <c r="AG112" s="40"/>
      <c r="AH112" s="47"/>
      <c r="AI112" s="47"/>
    </row>
    <row r="113" customFormat="false" ht="15" hidden="false" customHeight="false" outlineLevel="0" collapsed="false">
      <c r="A113" s="38" t="str">
        <f aca="false">IF(B113="","",ROW()-4)</f>
        <v/>
      </c>
      <c r="B113" s="39"/>
      <c r="C113" s="38" t="str">
        <f aca="false">IF(B113="","",INT((B113-Settings!$B$4)/7)+1)</f>
        <v/>
      </c>
      <c r="D113" s="40"/>
      <c r="E113" s="40"/>
      <c r="F113" s="40"/>
      <c r="G113" s="40"/>
      <c r="H113" s="40"/>
      <c r="I113" s="40"/>
      <c r="J113" s="40"/>
      <c r="K113" s="40"/>
      <c r="L113" s="40"/>
      <c r="M113" s="38" t="str">
        <f aca="false">IF(B113="","",IF(COUNTIF(H113:L113,"Y")=5,"Yes","No"))</f>
        <v/>
      </c>
      <c r="N113" s="41"/>
      <c r="O113" s="42"/>
      <c r="P113" s="42"/>
      <c r="Q113" s="43" t="str">
        <f aca="false">IF(OR(O113="",P113=""),"",IF(F113="Long",O113+Settings!$B$7*(O113-P113),O113-Settings!$B$7*(P113-O113)))</f>
        <v/>
      </c>
      <c r="R113" s="42"/>
      <c r="S113" s="40"/>
      <c r="T113" s="44" t="str">
        <f aca="false">IF(OR(R113="",O113="",P113="",O113=P113),"",ROUND(IF(F113="Long",(R113-O113)/(O113-P113),(O113-R113)/(P113-O113)),2))</f>
        <v/>
      </c>
      <c r="U113" s="38" t="str">
        <f aca="false">IF(T113="","",IF(T113&gt;=Settings!$B$20,"Win",IF(T113&lt;=-Settings!$B$20,"Loss","BE")))</f>
        <v/>
      </c>
      <c r="V113" s="45" t="str">
        <f aca="false">IF(B113="","",Settings!$B$6)</f>
        <v/>
      </c>
      <c r="W113" s="46" t="str">
        <f aca="false">IF(B113="","",(Settings!$B$5+SUM(X$4:X112))*V113)</f>
        <v/>
      </c>
      <c r="X113" s="46" t="str">
        <f aca="false">IF(T113="","",ROUND(T113*W113,2))</f>
        <v/>
      </c>
      <c r="Y113" s="46" t="str">
        <f aca="false">IF(T113="","",Settings!$B$5+SUM(X$5:X113))</f>
        <v/>
      </c>
      <c r="Z113" s="43" t="str">
        <f aca="false">IF(T113="","",SUM(T$5:T113))</f>
        <v/>
      </c>
      <c r="AA113" s="43" t="str">
        <f aca="false">IF(T113="","",MAX(0,MAX(Z$5:Z113)))</f>
        <v/>
      </c>
      <c r="AB113" s="43" t="str">
        <f aca="false">IF(T113="","",Z113-AA113)</f>
        <v/>
      </c>
      <c r="AC113" s="38" t="str">
        <f aca="false">IF(U113="","",IF(U113="Loss",N(AC112)+1,0))</f>
        <v/>
      </c>
      <c r="AD113" s="40"/>
      <c r="AE113" s="38" t="str">
        <f aca="false">IF(B113="","",IF(AND(M113="Yes",OR(AD113="None",AD113="")),"Yes","No"))</f>
        <v/>
      </c>
      <c r="AF113" s="40"/>
      <c r="AG113" s="40"/>
      <c r="AH113" s="47"/>
      <c r="AI113" s="47"/>
    </row>
    <row r="114" customFormat="false" ht="15" hidden="false" customHeight="false" outlineLevel="0" collapsed="false">
      <c r="A114" s="38" t="str">
        <f aca="false">IF(B114="","",ROW()-4)</f>
        <v/>
      </c>
      <c r="B114" s="39"/>
      <c r="C114" s="38" t="str">
        <f aca="false">IF(B114="","",INT((B114-Settings!$B$4)/7)+1)</f>
        <v/>
      </c>
      <c r="D114" s="40"/>
      <c r="E114" s="40"/>
      <c r="F114" s="40"/>
      <c r="G114" s="40"/>
      <c r="H114" s="40"/>
      <c r="I114" s="40"/>
      <c r="J114" s="40"/>
      <c r="K114" s="40"/>
      <c r="L114" s="40"/>
      <c r="M114" s="38" t="str">
        <f aca="false">IF(B114="","",IF(COUNTIF(H114:L114,"Y")=5,"Yes","No"))</f>
        <v/>
      </c>
      <c r="N114" s="41"/>
      <c r="O114" s="42"/>
      <c r="P114" s="42"/>
      <c r="Q114" s="43" t="str">
        <f aca="false">IF(OR(O114="",P114=""),"",IF(F114="Long",O114+Settings!$B$7*(O114-P114),O114-Settings!$B$7*(P114-O114)))</f>
        <v/>
      </c>
      <c r="R114" s="42"/>
      <c r="S114" s="40"/>
      <c r="T114" s="44" t="str">
        <f aca="false">IF(OR(R114="",O114="",P114="",O114=P114),"",ROUND(IF(F114="Long",(R114-O114)/(O114-P114),(O114-R114)/(P114-O114)),2))</f>
        <v/>
      </c>
      <c r="U114" s="38" t="str">
        <f aca="false">IF(T114="","",IF(T114&gt;=Settings!$B$20,"Win",IF(T114&lt;=-Settings!$B$20,"Loss","BE")))</f>
        <v/>
      </c>
      <c r="V114" s="45" t="str">
        <f aca="false">IF(B114="","",Settings!$B$6)</f>
        <v/>
      </c>
      <c r="W114" s="46" t="str">
        <f aca="false">IF(B114="","",(Settings!$B$5+SUM(X$4:X113))*V114)</f>
        <v/>
      </c>
      <c r="X114" s="46" t="str">
        <f aca="false">IF(T114="","",ROUND(T114*W114,2))</f>
        <v/>
      </c>
      <c r="Y114" s="46" t="str">
        <f aca="false">IF(T114="","",Settings!$B$5+SUM(X$5:X114))</f>
        <v/>
      </c>
      <c r="Z114" s="43" t="str">
        <f aca="false">IF(T114="","",SUM(T$5:T114))</f>
        <v/>
      </c>
      <c r="AA114" s="43" t="str">
        <f aca="false">IF(T114="","",MAX(0,MAX(Z$5:Z114)))</f>
        <v/>
      </c>
      <c r="AB114" s="43" t="str">
        <f aca="false">IF(T114="","",Z114-AA114)</f>
        <v/>
      </c>
      <c r="AC114" s="38" t="str">
        <f aca="false">IF(U114="","",IF(U114="Loss",N(AC113)+1,0))</f>
        <v/>
      </c>
      <c r="AD114" s="40"/>
      <c r="AE114" s="38" t="str">
        <f aca="false">IF(B114="","",IF(AND(M114="Yes",OR(AD114="None",AD114="")),"Yes","No"))</f>
        <v/>
      </c>
      <c r="AF114" s="40"/>
      <c r="AG114" s="40"/>
      <c r="AH114" s="47"/>
      <c r="AI114" s="47"/>
    </row>
    <row r="115" customFormat="false" ht="15" hidden="false" customHeight="false" outlineLevel="0" collapsed="false">
      <c r="A115" s="38" t="str">
        <f aca="false">IF(B115="","",ROW()-4)</f>
        <v/>
      </c>
      <c r="B115" s="39"/>
      <c r="C115" s="38" t="str">
        <f aca="false">IF(B115="","",INT((B115-Settings!$B$4)/7)+1)</f>
        <v/>
      </c>
      <c r="D115" s="40"/>
      <c r="E115" s="40"/>
      <c r="F115" s="40"/>
      <c r="G115" s="40"/>
      <c r="H115" s="40"/>
      <c r="I115" s="40"/>
      <c r="J115" s="40"/>
      <c r="K115" s="40"/>
      <c r="L115" s="40"/>
      <c r="M115" s="38" t="str">
        <f aca="false">IF(B115="","",IF(COUNTIF(H115:L115,"Y")=5,"Yes","No"))</f>
        <v/>
      </c>
      <c r="N115" s="41"/>
      <c r="O115" s="42"/>
      <c r="P115" s="42"/>
      <c r="Q115" s="43" t="str">
        <f aca="false">IF(OR(O115="",P115=""),"",IF(F115="Long",O115+Settings!$B$7*(O115-P115),O115-Settings!$B$7*(P115-O115)))</f>
        <v/>
      </c>
      <c r="R115" s="42"/>
      <c r="S115" s="40"/>
      <c r="T115" s="44" t="str">
        <f aca="false">IF(OR(R115="",O115="",P115="",O115=P115),"",ROUND(IF(F115="Long",(R115-O115)/(O115-P115),(O115-R115)/(P115-O115)),2))</f>
        <v/>
      </c>
      <c r="U115" s="38" t="str">
        <f aca="false">IF(T115="","",IF(T115&gt;=Settings!$B$20,"Win",IF(T115&lt;=-Settings!$B$20,"Loss","BE")))</f>
        <v/>
      </c>
      <c r="V115" s="45" t="str">
        <f aca="false">IF(B115="","",Settings!$B$6)</f>
        <v/>
      </c>
      <c r="W115" s="46" t="str">
        <f aca="false">IF(B115="","",(Settings!$B$5+SUM(X$4:X114))*V115)</f>
        <v/>
      </c>
      <c r="X115" s="46" t="str">
        <f aca="false">IF(T115="","",ROUND(T115*W115,2))</f>
        <v/>
      </c>
      <c r="Y115" s="46" t="str">
        <f aca="false">IF(T115="","",Settings!$B$5+SUM(X$5:X115))</f>
        <v/>
      </c>
      <c r="Z115" s="43" t="str">
        <f aca="false">IF(T115="","",SUM(T$5:T115))</f>
        <v/>
      </c>
      <c r="AA115" s="43" t="str">
        <f aca="false">IF(T115="","",MAX(0,MAX(Z$5:Z115)))</f>
        <v/>
      </c>
      <c r="AB115" s="43" t="str">
        <f aca="false">IF(T115="","",Z115-AA115)</f>
        <v/>
      </c>
      <c r="AC115" s="38" t="str">
        <f aca="false">IF(U115="","",IF(U115="Loss",N(AC114)+1,0))</f>
        <v/>
      </c>
      <c r="AD115" s="40"/>
      <c r="AE115" s="38" t="str">
        <f aca="false">IF(B115="","",IF(AND(M115="Yes",OR(AD115="None",AD115="")),"Yes","No"))</f>
        <v/>
      </c>
      <c r="AF115" s="40"/>
      <c r="AG115" s="40"/>
      <c r="AH115" s="47"/>
      <c r="AI115" s="47"/>
    </row>
    <row r="116" customFormat="false" ht="15" hidden="false" customHeight="false" outlineLevel="0" collapsed="false">
      <c r="A116" s="38" t="str">
        <f aca="false">IF(B116="","",ROW()-4)</f>
        <v/>
      </c>
      <c r="B116" s="39"/>
      <c r="C116" s="38" t="str">
        <f aca="false">IF(B116="","",INT((B116-Settings!$B$4)/7)+1)</f>
        <v/>
      </c>
      <c r="D116" s="40"/>
      <c r="E116" s="40"/>
      <c r="F116" s="40"/>
      <c r="G116" s="40"/>
      <c r="H116" s="40"/>
      <c r="I116" s="40"/>
      <c r="J116" s="40"/>
      <c r="K116" s="40"/>
      <c r="L116" s="40"/>
      <c r="M116" s="38" t="str">
        <f aca="false">IF(B116="","",IF(COUNTIF(H116:L116,"Y")=5,"Yes","No"))</f>
        <v/>
      </c>
      <c r="N116" s="41"/>
      <c r="O116" s="42"/>
      <c r="P116" s="42"/>
      <c r="Q116" s="43" t="str">
        <f aca="false">IF(OR(O116="",P116=""),"",IF(F116="Long",O116+Settings!$B$7*(O116-P116),O116-Settings!$B$7*(P116-O116)))</f>
        <v/>
      </c>
      <c r="R116" s="42"/>
      <c r="S116" s="40"/>
      <c r="T116" s="44" t="str">
        <f aca="false">IF(OR(R116="",O116="",P116="",O116=P116),"",ROUND(IF(F116="Long",(R116-O116)/(O116-P116),(O116-R116)/(P116-O116)),2))</f>
        <v/>
      </c>
      <c r="U116" s="38" t="str">
        <f aca="false">IF(T116="","",IF(T116&gt;=Settings!$B$20,"Win",IF(T116&lt;=-Settings!$B$20,"Loss","BE")))</f>
        <v/>
      </c>
      <c r="V116" s="45" t="str">
        <f aca="false">IF(B116="","",Settings!$B$6)</f>
        <v/>
      </c>
      <c r="W116" s="46" t="str">
        <f aca="false">IF(B116="","",(Settings!$B$5+SUM(X$4:X115))*V116)</f>
        <v/>
      </c>
      <c r="X116" s="46" t="str">
        <f aca="false">IF(T116="","",ROUND(T116*W116,2))</f>
        <v/>
      </c>
      <c r="Y116" s="46" t="str">
        <f aca="false">IF(T116="","",Settings!$B$5+SUM(X$5:X116))</f>
        <v/>
      </c>
      <c r="Z116" s="43" t="str">
        <f aca="false">IF(T116="","",SUM(T$5:T116))</f>
        <v/>
      </c>
      <c r="AA116" s="43" t="str">
        <f aca="false">IF(T116="","",MAX(0,MAX(Z$5:Z116)))</f>
        <v/>
      </c>
      <c r="AB116" s="43" t="str">
        <f aca="false">IF(T116="","",Z116-AA116)</f>
        <v/>
      </c>
      <c r="AC116" s="38" t="str">
        <f aca="false">IF(U116="","",IF(U116="Loss",N(AC115)+1,0))</f>
        <v/>
      </c>
      <c r="AD116" s="40"/>
      <c r="AE116" s="38" t="str">
        <f aca="false">IF(B116="","",IF(AND(M116="Yes",OR(AD116="None",AD116="")),"Yes","No"))</f>
        <v/>
      </c>
      <c r="AF116" s="40"/>
      <c r="AG116" s="40"/>
      <c r="AH116" s="47"/>
      <c r="AI116" s="47"/>
    </row>
    <row r="117" customFormat="false" ht="15" hidden="false" customHeight="false" outlineLevel="0" collapsed="false">
      <c r="A117" s="38" t="str">
        <f aca="false">IF(B117="","",ROW()-4)</f>
        <v/>
      </c>
      <c r="B117" s="39"/>
      <c r="C117" s="38" t="str">
        <f aca="false">IF(B117="","",INT((B117-Settings!$B$4)/7)+1)</f>
        <v/>
      </c>
      <c r="D117" s="40"/>
      <c r="E117" s="40"/>
      <c r="F117" s="40"/>
      <c r="G117" s="40"/>
      <c r="H117" s="40"/>
      <c r="I117" s="40"/>
      <c r="J117" s="40"/>
      <c r="K117" s="40"/>
      <c r="L117" s="40"/>
      <c r="M117" s="38" t="str">
        <f aca="false">IF(B117="","",IF(COUNTIF(H117:L117,"Y")=5,"Yes","No"))</f>
        <v/>
      </c>
      <c r="N117" s="41"/>
      <c r="O117" s="42"/>
      <c r="P117" s="42"/>
      <c r="Q117" s="43" t="str">
        <f aca="false">IF(OR(O117="",P117=""),"",IF(F117="Long",O117+Settings!$B$7*(O117-P117),O117-Settings!$B$7*(P117-O117)))</f>
        <v/>
      </c>
      <c r="R117" s="42"/>
      <c r="S117" s="40"/>
      <c r="T117" s="44" t="str">
        <f aca="false">IF(OR(R117="",O117="",P117="",O117=P117),"",ROUND(IF(F117="Long",(R117-O117)/(O117-P117),(O117-R117)/(P117-O117)),2))</f>
        <v/>
      </c>
      <c r="U117" s="38" t="str">
        <f aca="false">IF(T117="","",IF(T117&gt;=Settings!$B$20,"Win",IF(T117&lt;=-Settings!$B$20,"Loss","BE")))</f>
        <v/>
      </c>
      <c r="V117" s="45" t="str">
        <f aca="false">IF(B117="","",Settings!$B$6)</f>
        <v/>
      </c>
      <c r="W117" s="46" t="str">
        <f aca="false">IF(B117="","",(Settings!$B$5+SUM(X$4:X116))*V117)</f>
        <v/>
      </c>
      <c r="X117" s="46" t="str">
        <f aca="false">IF(T117="","",ROUND(T117*W117,2))</f>
        <v/>
      </c>
      <c r="Y117" s="46" t="str">
        <f aca="false">IF(T117="","",Settings!$B$5+SUM(X$5:X117))</f>
        <v/>
      </c>
      <c r="Z117" s="43" t="str">
        <f aca="false">IF(T117="","",SUM(T$5:T117))</f>
        <v/>
      </c>
      <c r="AA117" s="43" t="str">
        <f aca="false">IF(T117="","",MAX(0,MAX(Z$5:Z117)))</f>
        <v/>
      </c>
      <c r="AB117" s="43" t="str">
        <f aca="false">IF(T117="","",Z117-AA117)</f>
        <v/>
      </c>
      <c r="AC117" s="38" t="str">
        <f aca="false">IF(U117="","",IF(U117="Loss",N(AC116)+1,0))</f>
        <v/>
      </c>
      <c r="AD117" s="40"/>
      <c r="AE117" s="38" t="str">
        <f aca="false">IF(B117="","",IF(AND(M117="Yes",OR(AD117="None",AD117="")),"Yes","No"))</f>
        <v/>
      </c>
      <c r="AF117" s="40"/>
      <c r="AG117" s="40"/>
      <c r="AH117" s="47"/>
      <c r="AI117" s="47"/>
    </row>
    <row r="118" customFormat="false" ht="15" hidden="false" customHeight="false" outlineLevel="0" collapsed="false">
      <c r="A118" s="38" t="str">
        <f aca="false">IF(B118="","",ROW()-4)</f>
        <v/>
      </c>
      <c r="B118" s="39"/>
      <c r="C118" s="38" t="str">
        <f aca="false">IF(B118="","",INT((B118-Settings!$B$4)/7)+1)</f>
        <v/>
      </c>
      <c r="D118" s="40"/>
      <c r="E118" s="40"/>
      <c r="F118" s="40"/>
      <c r="G118" s="40"/>
      <c r="H118" s="40"/>
      <c r="I118" s="40"/>
      <c r="J118" s="40"/>
      <c r="K118" s="40"/>
      <c r="L118" s="40"/>
      <c r="M118" s="38" t="str">
        <f aca="false">IF(B118="","",IF(COUNTIF(H118:L118,"Y")=5,"Yes","No"))</f>
        <v/>
      </c>
      <c r="N118" s="41"/>
      <c r="O118" s="42"/>
      <c r="P118" s="42"/>
      <c r="Q118" s="43" t="str">
        <f aca="false">IF(OR(O118="",P118=""),"",IF(F118="Long",O118+Settings!$B$7*(O118-P118),O118-Settings!$B$7*(P118-O118)))</f>
        <v/>
      </c>
      <c r="R118" s="42"/>
      <c r="S118" s="40"/>
      <c r="T118" s="44" t="str">
        <f aca="false">IF(OR(R118="",O118="",P118="",O118=P118),"",ROUND(IF(F118="Long",(R118-O118)/(O118-P118),(O118-R118)/(P118-O118)),2))</f>
        <v/>
      </c>
      <c r="U118" s="38" t="str">
        <f aca="false">IF(T118="","",IF(T118&gt;=Settings!$B$20,"Win",IF(T118&lt;=-Settings!$B$20,"Loss","BE")))</f>
        <v/>
      </c>
      <c r="V118" s="45" t="str">
        <f aca="false">IF(B118="","",Settings!$B$6)</f>
        <v/>
      </c>
      <c r="W118" s="46" t="str">
        <f aca="false">IF(B118="","",(Settings!$B$5+SUM(X$4:X117))*V118)</f>
        <v/>
      </c>
      <c r="X118" s="46" t="str">
        <f aca="false">IF(T118="","",ROUND(T118*W118,2))</f>
        <v/>
      </c>
      <c r="Y118" s="46" t="str">
        <f aca="false">IF(T118="","",Settings!$B$5+SUM(X$5:X118))</f>
        <v/>
      </c>
      <c r="Z118" s="43" t="str">
        <f aca="false">IF(T118="","",SUM(T$5:T118))</f>
        <v/>
      </c>
      <c r="AA118" s="43" t="str">
        <f aca="false">IF(T118="","",MAX(0,MAX(Z$5:Z118)))</f>
        <v/>
      </c>
      <c r="AB118" s="43" t="str">
        <f aca="false">IF(T118="","",Z118-AA118)</f>
        <v/>
      </c>
      <c r="AC118" s="38" t="str">
        <f aca="false">IF(U118="","",IF(U118="Loss",N(AC117)+1,0))</f>
        <v/>
      </c>
      <c r="AD118" s="40"/>
      <c r="AE118" s="38" t="str">
        <f aca="false">IF(B118="","",IF(AND(M118="Yes",OR(AD118="None",AD118="")),"Yes","No"))</f>
        <v/>
      </c>
      <c r="AF118" s="40"/>
      <c r="AG118" s="40"/>
      <c r="AH118" s="47"/>
      <c r="AI118" s="47"/>
    </row>
    <row r="119" customFormat="false" ht="15" hidden="false" customHeight="false" outlineLevel="0" collapsed="false">
      <c r="A119" s="38" t="str">
        <f aca="false">IF(B119="","",ROW()-4)</f>
        <v/>
      </c>
      <c r="B119" s="39"/>
      <c r="C119" s="38" t="str">
        <f aca="false">IF(B119="","",INT((B119-Settings!$B$4)/7)+1)</f>
        <v/>
      </c>
      <c r="D119" s="40"/>
      <c r="E119" s="40"/>
      <c r="F119" s="40"/>
      <c r="G119" s="40"/>
      <c r="H119" s="40"/>
      <c r="I119" s="40"/>
      <c r="J119" s="40"/>
      <c r="K119" s="40"/>
      <c r="L119" s="40"/>
      <c r="M119" s="38" t="str">
        <f aca="false">IF(B119="","",IF(COUNTIF(H119:L119,"Y")=5,"Yes","No"))</f>
        <v/>
      </c>
      <c r="N119" s="41"/>
      <c r="O119" s="42"/>
      <c r="P119" s="42"/>
      <c r="Q119" s="43" t="str">
        <f aca="false">IF(OR(O119="",P119=""),"",IF(F119="Long",O119+Settings!$B$7*(O119-P119),O119-Settings!$B$7*(P119-O119)))</f>
        <v/>
      </c>
      <c r="R119" s="42"/>
      <c r="S119" s="40"/>
      <c r="T119" s="44" t="str">
        <f aca="false">IF(OR(R119="",O119="",P119="",O119=P119),"",ROUND(IF(F119="Long",(R119-O119)/(O119-P119),(O119-R119)/(P119-O119)),2))</f>
        <v/>
      </c>
      <c r="U119" s="38" t="str">
        <f aca="false">IF(T119="","",IF(T119&gt;=Settings!$B$20,"Win",IF(T119&lt;=-Settings!$B$20,"Loss","BE")))</f>
        <v/>
      </c>
      <c r="V119" s="45" t="str">
        <f aca="false">IF(B119="","",Settings!$B$6)</f>
        <v/>
      </c>
      <c r="W119" s="46" t="str">
        <f aca="false">IF(B119="","",(Settings!$B$5+SUM(X$4:X118))*V119)</f>
        <v/>
      </c>
      <c r="X119" s="46" t="str">
        <f aca="false">IF(T119="","",ROUND(T119*W119,2))</f>
        <v/>
      </c>
      <c r="Y119" s="46" t="str">
        <f aca="false">IF(T119="","",Settings!$B$5+SUM(X$5:X119))</f>
        <v/>
      </c>
      <c r="Z119" s="43" t="str">
        <f aca="false">IF(T119="","",SUM(T$5:T119))</f>
        <v/>
      </c>
      <c r="AA119" s="43" t="str">
        <f aca="false">IF(T119="","",MAX(0,MAX(Z$5:Z119)))</f>
        <v/>
      </c>
      <c r="AB119" s="43" t="str">
        <f aca="false">IF(T119="","",Z119-AA119)</f>
        <v/>
      </c>
      <c r="AC119" s="38" t="str">
        <f aca="false">IF(U119="","",IF(U119="Loss",N(AC118)+1,0))</f>
        <v/>
      </c>
      <c r="AD119" s="40"/>
      <c r="AE119" s="38" t="str">
        <f aca="false">IF(B119="","",IF(AND(M119="Yes",OR(AD119="None",AD119="")),"Yes","No"))</f>
        <v/>
      </c>
      <c r="AF119" s="40"/>
      <c r="AG119" s="40"/>
      <c r="AH119" s="47"/>
      <c r="AI119" s="47"/>
    </row>
    <row r="120" customFormat="false" ht="15" hidden="false" customHeight="false" outlineLevel="0" collapsed="false">
      <c r="A120" s="38" t="str">
        <f aca="false">IF(B120="","",ROW()-4)</f>
        <v/>
      </c>
      <c r="B120" s="39"/>
      <c r="C120" s="38" t="str">
        <f aca="false">IF(B120="","",INT((B120-Settings!$B$4)/7)+1)</f>
        <v/>
      </c>
      <c r="D120" s="40"/>
      <c r="E120" s="40"/>
      <c r="F120" s="40"/>
      <c r="G120" s="40"/>
      <c r="H120" s="40"/>
      <c r="I120" s="40"/>
      <c r="J120" s="40"/>
      <c r="K120" s="40"/>
      <c r="L120" s="40"/>
      <c r="M120" s="38" t="str">
        <f aca="false">IF(B120="","",IF(COUNTIF(H120:L120,"Y")=5,"Yes","No"))</f>
        <v/>
      </c>
      <c r="N120" s="41"/>
      <c r="O120" s="42"/>
      <c r="P120" s="42"/>
      <c r="Q120" s="43" t="str">
        <f aca="false">IF(OR(O120="",P120=""),"",IF(F120="Long",O120+Settings!$B$7*(O120-P120),O120-Settings!$B$7*(P120-O120)))</f>
        <v/>
      </c>
      <c r="R120" s="42"/>
      <c r="S120" s="40"/>
      <c r="T120" s="44" t="str">
        <f aca="false">IF(OR(R120="",O120="",P120="",O120=P120),"",ROUND(IF(F120="Long",(R120-O120)/(O120-P120),(O120-R120)/(P120-O120)),2))</f>
        <v/>
      </c>
      <c r="U120" s="38" t="str">
        <f aca="false">IF(T120="","",IF(T120&gt;=Settings!$B$20,"Win",IF(T120&lt;=-Settings!$B$20,"Loss","BE")))</f>
        <v/>
      </c>
      <c r="V120" s="45" t="str">
        <f aca="false">IF(B120="","",Settings!$B$6)</f>
        <v/>
      </c>
      <c r="W120" s="46" t="str">
        <f aca="false">IF(B120="","",(Settings!$B$5+SUM(X$4:X119))*V120)</f>
        <v/>
      </c>
      <c r="X120" s="46" t="str">
        <f aca="false">IF(T120="","",ROUND(T120*W120,2))</f>
        <v/>
      </c>
      <c r="Y120" s="46" t="str">
        <f aca="false">IF(T120="","",Settings!$B$5+SUM(X$5:X120))</f>
        <v/>
      </c>
      <c r="Z120" s="43" t="str">
        <f aca="false">IF(T120="","",SUM(T$5:T120))</f>
        <v/>
      </c>
      <c r="AA120" s="43" t="str">
        <f aca="false">IF(T120="","",MAX(0,MAX(Z$5:Z120)))</f>
        <v/>
      </c>
      <c r="AB120" s="43" t="str">
        <f aca="false">IF(T120="","",Z120-AA120)</f>
        <v/>
      </c>
      <c r="AC120" s="38" t="str">
        <f aca="false">IF(U120="","",IF(U120="Loss",N(AC119)+1,0))</f>
        <v/>
      </c>
      <c r="AD120" s="40"/>
      <c r="AE120" s="38" t="str">
        <f aca="false">IF(B120="","",IF(AND(M120="Yes",OR(AD120="None",AD120="")),"Yes","No"))</f>
        <v/>
      </c>
      <c r="AF120" s="40"/>
      <c r="AG120" s="40"/>
      <c r="AH120" s="47"/>
      <c r="AI120" s="47"/>
    </row>
    <row r="121" customFormat="false" ht="15" hidden="false" customHeight="false" outlineLevel="0" collapsed="false">
      <c r="A121" s="38" t="str">
        <f aca="false">IF(B121="","",ROW()-4)</f>
        <v/>
      </c>
      <c r="B121" s="39"/>
      <c r="C121" s="38" t="str">
        <f aca="false">IF(B121="","",INT((B121-Settings!$B$4)/7)+1)</f>
        <v/>
      </c>
      <c r="D121" s="40"/>
      <c r="E121" s="40"/>
      <c r="F121" s="40"/>
      <c r="G121" s="40"/>
      <c r="H121" s="40"/>
      <c r="I121" s="40"/>
      <c r="J121" s="40"/>
      <c r="K121" s="40"/>
      <c r="L121" s="40"/>
      <c r="M121" s="38" t="str">
        <f aca="false">IF(B121="","",IF(COUNTIF(H121:L121,"Y")=5,"Yes","No"))</f>
        <v/>
      </c>
      <c r="N121" s="41"/>
      <c r="O121" s="42"/>
      <c r="P121" s="42"/>
      <c r="Q121" s="43" t="str">
        <f aca="false">IF(OR(O121="",P121=""),"",IF(F121="Long",O121+Settings!$B$7*(O121-P121),O121-Settings!$B$7*(P121-O121)))</f>
        <v/>
      </c>
      <c r="R121" s="42"/>
      <c r="S121" s="40"/>
      <c r="T121" s="44" t="str">
        <f aca="false">IF(OR(R121="",O121="",P121="",O121=P121),"",ROUND(IF(F121="Long",(R121-O121)/(O121-P121),(O121-R121)/(P121-O121)),2))</f>
        <v/>
      </c>
      <c r="U121" s="38" t="str">
        <f aca="false">IF(T121="","",IF(T121&gt;=Settings!$B$20,"Win",IF(T121&lt;=-Settings!$B$20,"Loss","BE")))</f>
        <v/>
      </c>
      <c r="V121" s="45" t="str">
        <f aca="false">IF(B121="","",Settings!$B$6)</f>
        <v/>
      </c>
      <c r="W121" s="46" t="str">
        <f aca="false">IF(B121="","",(Settings!$B$5+SUM(X$4:X120))*V121)</f>
        <v/>
      </c>
      <c r="X121" s="46" t="str">
        <f aca="false">IF(T121="","",ROUND(T121*W121,2))</f>
        <v/>
      </c>
      <c r="Y121" s="46" t="str">
        <f aca="false">IF(T121="","",Settings!$B$5+SUM(X$5:X121))</f>
        <v/>
      </c>
      <c r="Z121" s="43" t="str">
        <f aca="false">IF(T121="","",SUM(T$5:T121))</f>
        <v/>
      </c>
      <c r="AA121" s="43" t="str">
        <f aca="false">IF(T121="","",MAX(0,MAX(Z$5:Z121)))</f>
        <v/>
      </c>
      <c r="AB121" s="43" t="str">
        <f aca="false">IF(T121="","",Z121-AA121)</f>
        <v/>
      </c>
      <c r="AC121" s="38" t="str">
        <f aca="false">IF(U121="","",IF(U121="Loss",N(AC120)+1,0))</f>
        <v/>
      </c>
      <c r="AD121" s="40"/>
      <c r="AE121" s="38" t="str">
        <f aca="false">IF(B121="","",IF(AND(M121="Yes",OR(AD121="None",AD121="")),"Yes","No"))</f>
        <v/>
      </c>
      <c r="AF121" s="40"/>
      <c r="AG121" s="40"/>
      <c r="AH121" s="47"/>
      <c r="AI121" s="47"/>
    </row>
    <row r="122" customFormat="false" ht="15" hidden="false" customHeight="false" outlineLevel="0" collapsed="false">
      <c r="A122" s="38" t="str">
        <f aca="false">IF(B122="","",ROW()-4)</f>
        <v/>
      </c>
      <c r="B122" s="39"/>
      <c r="C122" s="38" t="str">
        <f aca="false">IF(B122="","",INT((B122-Settings!$B$4)/7)+1)</f>
        <v/>
      </c>
      <c r="D122" s="40"/>
      <c r="E122" s="40"/>
      <c r="F122" s="40"/>
      <c r="G122" s="40"/>
      <c r="H122" s="40"/>
      <c r="I122" s="40"/>
      <c r="J122" s="40"/>
      <c r="K122" s="40"/>
      <c r="L122" s="40"/>
      <c r="M122" s="38" t="str">
        <f aca="false">IF(B122="","",IF(COUNTIF(H122:L122,"Y")=5,"Yes","No"))</f>
        <v/>
      </c>
      <c r="N122" s="41"/>
      <c r="O122" s="42"/>
      <c r="P122" s="42"/>
      <c r="Q122" s="43" t="str">
        <f aca="false">IF(OR(O122="",P122=""),"",IF(F122="Long",O122+Settings!$B$7*(O122-P122),O122-Settings!$B$7*(P122-O122)))</f>
        <v/>
      </c>
      <c r="R122" s="42"/>
      <c r="S122" s="40"/>
      <c r="T122" s="44" t="str">
        <f aca="false">IF(OR(R122="",O122="",P122="",O122=P122),"",ROUND(IF(F122="Long",(R122-O122)/(O122-P122),(O122-R122)/(P122-O122)),2))</f>
        <v/>
      </c>
      <c r="U122" s="38" t="str">
        <f aca="false">IF(T122="","",IF(T122&gt;=Settings!$B$20,"Win",IF(T122&lt;=-Settings!$B$20,"Loss","BE")))</f>
        <v/>
      </c>
      <c r="V122" s="45" t="str">
        <f aca="false">IF(B122="","",Settings!$B$6)</f>
        <v/>
      </c>
      <c r="W122" s="46" t="str">
        <f aca="false">IF(B122="","",(Settings!$B$5+SUM(X$4:X121))*V122)</f>
        <v/>
      </c>
      <c r="X122" s="46" t="str">
        <f aca="false">IF(T122="","",ROUND(T122*W122,2))</f>
        <v/>
      </c>
      <c r="Y122" s="46" t="str">
        <f aca="false">IF(T122="","",Settings!$B$5+SUM(X$5:X122))</f>
        <v/>
      </c>
      <c r="Z122" s="43" t="str">
        <f aca="false">IF(T122="","",SUM(T$5:T122))</f>
        <v/>
      </c>
      <c r="AA122" s="43" t="str">
        <f aca="false">IF(T122="","",MAX(0,MAX(Z$5:Z122)))</f>
        <v/>
      </c>
      <c r="AB122" s="43" t="str">
        <f aca="false">IF(T122="","",Z122-AA122)</f>
        <v/>
      </c>
      <c r="AC122" s="38" t="str">
        <f aca="false">IF(U122="","",IF(U122="Loss",N(AC121)+1,0))</f>
        <v/>
      </c>
      <c r="AD122" s="40"/>
      <c r="AE122" s="38" t="str">
        <f aca="false">IF(B122="","",IF(AND(M122="Yes",OR(AD122="None",AD122="")),"Yes","No"))</f>
        <v/>
      </c>
      <c r="AF122" s="40"/>
      <c r="AG122" s="40"/>
      <c r="AH122" s="47"/>
      <c r="AI122" s="47"/>
    </row>
    <row r="123" customFormat="false" ht="15" hidden="false" customHeight="false" outlineLevel="0" collapsed="false">
      <c r="A123" s="38" t="str">
        <f aca="false">IF(B123="","",ROW()-4)</f>
        <v/>
      </c>
      <c r="B123" s="39"/>
      <c r="C123" s="38" t="str">
        <f aca="false">IF(B123="","",INT((B123-Settings!$B$4)/7)+1)</f>
        <v/>
      </c>
      <c r="D123" s="40"/>
      <c r="E123" s="40"/>
      <c r="F123" s="40"/>
      <c r="G123" s="40"/>
      <c r="H123" s="40"/>
      <c r="I123" s="40"/>
      <c r="J123" s="40"/>
      <c r="K123" s="40"/>
      <c r="L123" s="40"/>
      <c r="M123" s="38" t="str">
        <f aca="false">IF(B123="","",IF(COUNTIF(H123:L123,"Y")=5,"Yes","No"))</f>
        <v/>
      </c>
      <c r="N123" s="41"/>
      <c r="O123" s="42"/>
      <c r="P123" s="42"/>
      <c r="Q123" s="43" t="str">
        <f aca="false">IF(OR(O123="",P123=""),"",IF(F123="Long",O123+Settings!$B$7*(O123-P123),O123-Settings!$B$7*(P123-O123)))</f>
        <v/>
      </c>
      <c r="R123" s="42"/>
      <c r="S123" s="40"/>
      <c r="T123" s="44" t="str">
        <f aca="false">IF(OR(R123="",O123="",P123="",O123=P123),"",ROUND(IF(F123="Long",(R123-O123)/(O123-P123),(O123-R123)/(P123-O123)),2))</f>
        <v/>
      </c>
      <c r="U123" s="38" t="str">
        <f aca="false">IF(T123="","",IF(T123&gt;=Settings!$B$20,"Win",IF(T123&lt;=-Settings!$B$20,"Loss","BE")))</f>
        <v/>
      </c>
      <c r="V123" s="45" t="str">
        <f aca="false">IF(B123="","",Settings!$B$6)</f>
        <v/>
      </c>
      <c r="W123" s="46" t="str">
        <f aca="false">IF(B123="","",(Settings!$B$5+SUM(X$4:X122))*V123)</f>
        <v/>
      </c>
      <c r="X123" s="46" t="str">
        <f aca="false">IF(T123="","",ROUND(T123*W123,2))</f>
        <v/>
      </c>
      <c r="Y123" s="46" t="str">
        <f aca="false">IF(T123="","",Settings!$B$5+SUM(X$5:X123))</f>
        <v/>
      </c>
      <c r="Z123" s="43" t="str">
        <f aca="false">IF(T123="","",SUM(T$5:T123))</f>
        <v/>
      </c>
      <c r="AA123" s="43" t="str">
        <f aca="false">IF(T123="","",MAX(0,MAX(Z$5:Z123)))</f>
        <v/>
      </c>
      <c r="AB123" s="43" t="str">
        <f aca="false">IF(T123="","",Z123-AA123)</f>
        <v/>
      </c>
      <c r="AC123" s="38" t="str">
        <f aca="false">IF(U123="","",IF(U123="Loss",N(AC122)+1,0))</f>
        <v/>
      </c>
      <c r="AD123" s="40"/>
      <c r="AE123" s="38" t="str">
        <f aca="false">IF(B123="","",IF(AND(M123="Yes",OR(AD123="None",AD123="")),"Yes","No"))</f>
        <v/>
      </c>
      <c r="AF123" s="40"/>
      <c r="AG123" s="40"/>
      <c r="AH123" s="47"/>
      <c r="AI123" s="47"/>
    </row>
    <row r="124" customFormat="false" ht="15" hidden="false" customHeight="false" outlineLevel="0" collapsed="false">
      <c r="A124" s="38" t="str">
        <f aca="false">IF(B124="","",ROW()-4)</f>
        <v/>
      </c>
      <c r="B124" s="39"/>
      <c r="C124" s="38" t="str">
        <f aca="false">IF(B124="","",INT((B124-Settings!$B$4)/7)+1)</f>
        <v/>
      </c>
      <c r="D124" s="40"/>
      <c r="E124" s="40"/>
      <c r="F124" s="40"/>
      <c r="G124" s="40"/>
      <c r="H124" s="40"/>
      <c r="I124" s="40"/>
      <c r="J124" s="40"/>
      <c r="K124" s="40"/>
      <c r="L124" s="40"/>
      <c r="M124" s="38" t="str">
        <f aca="false">IF(B124="","",IF(COUNTIF(H124:L124,"Y")=5,"Yes","No"))</f>
        <v/>
      </c>
      <c r="N124" s="41"/>
      <c r="O124" s="42"/>
      <c r="P124" s="42"/>
      <c r="Q124" s="43" t="str">
        <f aca="false">IF(OR(O124="",P124=""),"",IF(F124="Long",O124+Settings!$B$7*(O124-P124),O124-Settings!$B$7*(P124-O124)))</f>
        <v/>
      </c>
      <c r="R124" s="42"/>
      <c r="S124" s="40"/>
      <c r="T124" s="44" t="str">
        <f aca="false">IF(OR(R124="",O124="",P124="",O124=P124),"",ROUND(IF(F124="Long",(R124-O124)/(O124-P124),(O124-R124)/(P124-O124)),2))</f>
        <v/>
      </c>
      <c r="U124" s="38" t="str">
        <f aca="false">IF(T124="","",IF(T124&gt;=Settings!$B$20,"Win",IF(T124&lt;=-Settings!$B$20,"Loss","BE")))</f>
        <v/>
      </c>
      <c r="V124" s="45" t="str">
        <f aca="false">IF(B124="","",Settings!$B$6)</f>
        <v/>
      </c>
      <c r="W124" s="46" t="str">
        <f aca="false">IF(B124="","",(Settings!$B$5+SUM(X$4:X123))*V124)</f>
        <v/>
      </c>
      <c r="X124" s="46" t="str">
        <f aca="false">IF(T124="","",ROUND(T124*W124,2))</f>
        <v/>
      </c>
      <c r="Y124" s="46" t="str">
        <f aca="false">IF(T124="","",Settings!$B$5+SUM(X$5:X124))</f>
        <v/>
      </c>
      <c r="Z124" s="43" t="str">
        <f aca="false">IF(T124="","",SUM(T$5:T124))</f>
        <v/>
      </c>
      <c r="AA124" s="43" t="str">
        <f aca="false">IF(T124="","",MAX(0,MAX(Z$5:Z124)))</f>
        <v/>
      </c>
      <c r="AB124" s="43" t="str">
        <f aca="false">IF(T124="","",Z124-AA124)</f>
        <v/>
      </c>
      <c r="AC124" s="38" t="str">
        <f aca="false">IF(U124="","",IF(U124="Loss",N(AC123)+1,0))</f>
        <v/>
      </c>
      <c r="AD124" s="40"/>
      <c r="AE124" s="38" t="str">
        <f aca="false">IF(B124="","",IF(AND(M124="Yes",OR(AD124="None",AD124="")),"Yes","No"))</f>
        <v/>
      </c>
      <c r="AF124" s="40"/>
      <c r="AG124" s="40"/>
      <c r="AH124" s="47"/>
      <c r="AI124" s="47"/>
    </row>
    <row r="125" customFormat="false" ht="15" hidden="false" customHeight="false" outlineLevel="0" collapsed="false">
      <c r="A125" s="38" t="str">
        <f aca="false">IF(B125="","",ROW()-4)</f>
        <v/>
      </c>
      <c r="B125" s="39"/>
      <c r="C125" s="38" t="str">
        <f aca="false">IF(B125="","",INT((B125-Settings!$B$4)/7)+1)</f>
        <v/>
      </c>
      <c r="D125" s="40"/>
      <c r="E125" s="40"/>
      <c r="F125" s="40"/>
      <c r="G125" s="40"/>
      <c r="H125" s="40"/>
      <c r="I125" s="40"/>
      <c r="J125" s="40"/>
      <c r="K125" s="40"/>
      <c r="L125" s="40"/>
      <c r="M125" s="38" t="str">
        <f aca="false">IF(B125="","",IF(COUNTIF(H125:L125,"Y")=5,"Yes","No"))</f>
        <v/>
      </c>
      <c r="N125" s="41"/>
      <c r="O125" s="42"/>
      <c r="P125" s="42"/>
      <c r="Q125" s="43" t="str">
        <f aca="false">IF(OR(O125="",P125=""),"",IF(F125="Long",O125+Settings!$B$7*(O125-P125),O125-Settings!$B$7*(P125-O125)))</f>
        <v/>
      </c>
      <c r="R125" s="42"/>
      <c r="S125" s="40"/>
      <c r="T125" s="44" t="str">
        <f aca="false">IF(OR(R125="",O125="",P125="",O125=P125),"",ROUND(IF(F125="Long",(R125-O125)/(O125-P125),(O125-R125)/(P125-O125)),2))</f>
        <v/>
      </c>
      <c r="U125" s="38" t="str">
        <f aca="false">IF(T125="","",IF(T125&gt;=Settings!$B$20,"Win",IF(T125&lt;=-Settings!$B$20,"Loss","BE")))</f>
        <v/>
      </c>
      <c r="V125" s="45" t="str">
        <f aca="false">IF(B125="","",Settings!$B$6)</f>
        <v/>
      </c>
      <c r="W125" s="46" t="str">
        <f aca="false">IF(B125="","",(Settings!$B$5+SUM(X$4:X124))*V125)</f>
        <v/>
      </c>
      <c r="X125" s="46" t="str">
        <f aca="false">IF(T125="","",ROUND(T125*W125,2))</f>
        <v/>
      </c>
      <c r="Y125" s="46" t="str">
        <f aca="false">IF(T125="","",Settings!$B$5+SUM(X$5:X125))</f>
        <v/>
      </c>
      <c r="Z125" s="43" t="str">
        <f aca="false">IF(T125="","",SUM(T$5:T125))</f>
        <v/>
      </c>
      <c r="AA125" s="43" t="str">
        <f aca="false">IF(T125="","",MAX(0,MAX(Z$5:Z125)))</f>
        <v/>
      </c>
      <c r="AB125" s="43" t="str">
        <f aca="false">IF(T125="","",Z125-AA125)</f>
        <v/>
      </c>
      <c r="AC125" s="38" t="str">
        <f aca="false">IF(U125="","",IF(U125="Loss",N(AC124)+1,0))</f>
        <v/>
      </c>
      <c r="AD125" s="40"/>
      <c r="AE125" s="38" t="str">
        <f aca="false">IF(B125="","",IF(AND(M125="Yes",OR(AD125="None",AD125="")),"Yes","No"))</f>
        <v/>
      </c>
      <c r="AF125" s="40"/>
      <c r="AG125" s="40"/>
      <c r="AH125" s="47"/>
      <c r="AI125" s="47"/>
    </row>
    <row r="126" customFormat="false" ht="15" hidden="false" customHeight="false" outlineLevel="0" collapsed="false">
      <c r="A126" s="38" t="str">
        <f aca="false">IF(B126="","",ROW()-4)</f>
        <v/>
      </c>
      <c r="B126" s="39"/>
      <c r="C126" s="38" t="str">
        <f aca="false">IF(B126="","",INT((B126-Settings!$B$4)/7)+1)</f>
        <v/>
      </c>
      <c r="D126" s="40"/>
      <c r="E126" s="40"/>
      <c r="F126" s="40"/>
      <c r="G126" s="40"/>
      <c r="H126" s="40"/>
      <c r="I126" s="40"/>
      <c r="J126" s="40"/>
      <c r="K126" s="40"/>
      <c r="L126" s="40"/>
      <c r="M126" s="38" t="str">
        <f aca="false">IF(B126="","",IF(COUNTIF(H126:L126,"Y")=5,"Yes","No"))</f>
        <v/>
      </c>
      <c r="N126" s="41"/>
      <c r="O126" s="42"/>
      <c r="P126" s="42"/>
      <c r="Q126" s="43" t="str">
        <f aca="false">IF(OR(O126="",P126=""),"",IF(F126="Long",O126+Settings!$B$7*(O126-P126),O126-Settings!$B$7*(P126-O126)))</f>
        <v/>
      </c>
      <c r="R126" s="42"/>
      <c r="S126" s="40"/>
      <c r="T126" s="44" t="str">
        <f aca="false">IF(OR(R126="",O126="",P126="",O126=P126),"",ROUND(IF(F126="Long",(R126-O126)/(O126-P126),(O126-R126)/(P126-O126)),2))</f>
        <v/>
      </c>
      <c r="U126" s="38" t="str">
        <f aca="false">IF(T126="","",IF(T126&gt;=Settings!$B$20,"Win",IF(T126&lt;=-Settings!$B$20,"Loss","BE")))</f>
        <v/>
      </c>
      <c r="V126" s="45" t="str">
        <f aca="false">IF(B126="","",Settings!$B$6)</f>
        <v/>
      </c>
      <c r="W126" s="46" t="str">
        <f aca="false">IF(B126="","",(Settings!$B$5+SUM(X$4:X125))*V126)</f>
        <v/>
      </c>
      <c r="X126" s="46" t="str">
        <f aca="false">IF(T126="","",ROUND(T126*W126,2))</f>
        <v/>
      </c>
      <c r="Y126" s="46" t="str">
        <f aca="false">IF(T126="","",Settings!$B$5+SUM(X$5:X126))</f>
        <v/>
      </c>
      <c r="Z126" s="43" t="str">
        <f aca="false">IF(T126="","",SUM(T$5:T126))</f>
        <v/>
      </c>
      <c r="AA126" s="43" t="str">
        <f aca="false">IF(T126="","",MAX(0,MAX(Z$5:Z126)))</f>
        <v/>
      </c>
      <c r="AB126" s="43" t="str">
        <f aca="false">IF(T126="","",Z126-AA126)</f>
        <v/>
      </c>
      <c r="AC126" s="38" t="str">
        <f aca="false">IF(U126="","",IF(U126="Loss",N(AC125)+1,0))</f>
        <v/>
      </c>
      <c r="AD126" s="40"/>
      <c r="AE126" s="38" t="str">
        <f aca="false">IF(B126="","",IF(AND(M126="Yes",OR(AD126="None",AD126="")),"Yes","No"))</f>
        <v/>
      </c>
      <c r="AF126" s="40"/>
      <c r="AG126" s="40"/>
      <c r="AH126" s="47"/>
      <c r="AI126" s="47"/>
    </row>
    <row r="127" customFormat="false" ht="15" hidden="false" customHeight="false" outlineLevel="0" collapsed="false">
      <c r="A127" s="38" t="str">
        <f aca="false">IF(B127="","",ROW()-4)</f>
        <v/>
      </c>
      <c r="B127" s="39"/>
      <c r="C127" s="38" t="str">
        <f aca="false">IF(B127="","",INT((B127-Settings!$B$4)/7)+1)</f>
        <v/>
      </c>
      <c r="D127" s="40"/>
      <c r="E127" s="40"/>
      <c r="F127" s="40"/>
      <c r="G127" s="40"/>
      <c r="H127" s="40"/>
      <c r="I127" s="40"/>
      <c r="J127" s="40"/>
      <c r="K127" s="40"/>
      <c r="L127" s="40"/>
      <c r="M127" s="38" t="str">
        <f aca="false">IF(B127="","",IF(COUNTIF(H127:L127,"Y")=5,"Yes","No"))</f>
        <v/>
      </c>
      <c r="N127" s="41"/>
      <c r="O127" s="42"/>
      <c r="P127" s="42"/>
      <c r="Q127" s="43" t="str">
        <f aca="false">IF(OR(O127="",P127=""),"",IF(F127="Long",O127+Settings!$B$7*(O127-P127),O127-Settings!$B$7*(P127-O127)))</f>
        <v/>
      </c>
      <c r="R127" s="42"/>
      <c r="S127" s="40"/>
      <c r="T127" s="44" t="str">
        <f aca="false">IF(OR(R127="",O127="",P127="",O127=P127),"",ROUND(IF(F127="Long",(R127-O127)/(O127-P127),(O127-R127)/(P127-O127)),2))</f>
        <v/>
      </c>
      <c r="U127" s="38" t="str">
        <f aca="false">IF(T127="","",IF(T127&gt;=Settings!$B$20,"Win",IF(T127&lt;=-Settings!$B$20,"Loss","BE")))</f>
        <v/>
      </c>
      <c r="V127" s="45" t="str">
        <f aca="false">IF(B127="","",Settings!$B$6)</f>
        <v/>
      </c>
      <c r="W127" s="46" t="str">
        <f aca="false">IF(B127="","",(Settings!$B$5+SUM(X$4:X126))*V127)</f>
        <v/>
      </c>
      <c r="X127" s="46" t="str">
        <f aca="false">IF(T127="","",ROUND(T127*W127,2))</f>
        <v/>
      </c>
      <c r="Y127" s="46" t="str">
        <f aca="false">IF(T127="","",Settings!$B$5+SUM(X$5:X127))</f>
        <v/>
      </c>
      <c r="Z127" s="43" t="str">
        <f aca="false">IF(T127="","",SUM(T$5:T127))</f>
        <v/>
      </c>
      <c r="AA127" s="43" t="str">
        <f aca="false">IF(T127="","",MAX(0,MAX(Z$5:Z127)))</f>
        <v/>
      </c>
      <c r="AB127" s="43" t="str">
        <f aca="false">IF(T127="","",Z127-AA127)</f>
        <v/>
      </c>
      <c r="AC127" s="38" t="str">
        <f aca="false">IF(U127="","",IF(U127="Loss",N(AC126)+1,0))</f>
        <v/>
      </c>
      <c r="AD127" s="40"/>
      <c r="AE127" s="38" t="str">
        <f aca="false">IF(B127="","",IF(AND(M127="Yes",OR(AD127="None",AD127="")),"Yes","No"))</f>
        <v/>
      </c>
      <c r="AF127" s="40"/>
      <c r="AG127" s="40"/>
      <c r="AH127" s="47"/>
      <c r="AI127" s="47"/>
    </row>
    <row r="128" customFormat="false" ht="15" hidden="false" customHeight="false" outlineLevel="0" collapsed="false">
      <c r="A128" s="38" t="str">
        <f aca="false">IF(B128="","",ROW()-4)</f>
        <v/>
      </c>
      <c r="B128" s="39"/>
      <c r="C128" s="38" t="str">
        <f aca="false">IF(B128="","",INT((B128-Settings!$B$4)/7)+1)</f>
        <v/>
      </c>
      <c r="D128" s="40"/>
      <c r="E128" s="40"/>
      <c r="F128" s="40"/>
      <c r="G128" s="40"/>
      <c r="H128" s="40"/>
      <c r="I128" s="40"/>
      <c r="J128" s="40"/>
      <c r="K128" s="40"/>
      <c r="L128" s="40"/>
      <c r="M128" s="38" t="str">
        <f aca="false">IF(B128="","",IF(COUNTIF(H128:L128,"Y")=5,"Yes","No"))</f>
        <v/>
      </c>
      <c r="N128" s="41"/>
      <c r="O128" s="42"/>
      <c r="P128" s="42"/>
      <c r="Q128" s="43" t="str">
        <f aca="false">IF(OR(O128="",P128=""),"",IF(F128="Long",O128+Settings!$B$7*(O128-P128),O128-Settings!$B$7*(P128-O128)))</f>
        <v/>
      </c>
      <c r="R128" s="42"/>
      <c r="S128" s="40"/>
      <c r="T128" s="44" t="str">
        <f aca="false">IF(OR(R128="",O128="",P128="",O128=P128),"",ROUND(IF(F128="Long",(R128-O128)/(O128-P128),(O128-R128)/(P128-O128)),2))</f>
        <v/>
      </c>
      <c r="U128" s="38" t="str">
        <f aca="false">IF(T128="","",IF(T128&gt;=Settings!$B$20,"Win",IF(T128&lt;=-Settings!$B$20,"Loss","BE")))</f>
        <v/>
      </c>
      <c r="V128" s="45" t="str">
        <f aca="false">IF(B128="","",Settings!$B$6)</f>
        <v/>
      </c>
      <c r="W128" s="46" t="str">
        <f aca="false">IF(B128="","",(Settings!$B$5+SUM(X$4:X127))*V128)</f>
        <v/>
      </c>
      <c r="X128" s="46" t="str">
        <f aca="false">IF(T128="","",ROUND(T128*W128,2))</f>
        <v/>
      </c>
      <c r="Y128" s="46" t="str">
        <f aca="false">IF(T128="","",Settings!$B$5+SUM(X$5:X128))</f>
        <v/>
      </c>
      <c r="Z128" s="43" t="str">
        <f aca="false">IF(T128="","",SUM(T$5:T128))</f>
        <v/>
      </c>
      <c r="AA128" s="43" t="str">
        <f aca="false">IF(T128="","",MAX(0,MAX(Z$5:Z128)))</f>
        <v/>
      </c>
      <c r="AB128" s="43" t="str">
        <f aca="false">IF(T128="","",Z128-AA128)</f>
        <v/>
      </c>
      <c r="AC128" s="38" t="str">
        <f aca="false">IF(U128="","",IF(U128="Loss",N(AC127)+1,0))</f>
        <v/>
      </c>
      <c r="AD128" s="40"/>
      <c r="AE128" s="38" t="str">
        <f aca="false">IF(B128="","",IF(AND(M128="Yes",OR(AD128="None",AD128="")),"Yes","No"))</f>
        <v/>
      </c>
      <c r="AF128" s="40"/>
      <c r="AG128" s="40"/>
      <c r="AH128" s="47"/>
      <c r="AI128" s="47"/>
    </row>
    <row r="129" customFormat="false" ht="15" hidden="false" customHeight="false" outlineLevel="0" collapsed="false">
      <c r="A129" s="38" t="str">
        <f aca="false">IF(B129="","",ROW()-4)</f>
        <v/>
      </c>
      <c r="B129" s="39"/>
      <c r="C129" s="38" t="str">
        <f aca="false">IF(B129="","",INT((B129-Settings!$B$4)/7)+1)</f>
        <v/>
      </c>
      <c r="D129" s="40"/>
      <c r="E129" s="40"/>
      <c r="F129" s="40"/>
      <c r="G129" s="40"/>
      <c r="H129" s="40"/>
      <c r="I129" s="40"/>
      <c r="J129" s="40"/>
      <c r="K129" s="40"/>
      <c r="L129" s="40"/>
      <c r="M129" s="38" t="str">
        <f aca="false">IF(B129="","",IF(COUNTIF(H129:L129,"Y")=5,"Yes","No"))</f>
        <v/>
      </c>
      <c r="N129" s="41"/>
      <c r="O129" s="42"/>
      <c r="P129" s="42"/>
      <c r="Q129" s="43" t="str">
        <f aca="false">IF(OR(O129="",P129=""),"",IF(F129="Long",O129+Settings!$B$7*(O129-P129),O129-Settings!$B$7*(P129-O129)))</f>
        <v/>
      </c>
      <c r="R129" s="42"/>
      <c r="S129" s="40"/>
      <c r="T129" s="44" t="str">
        <f aca="false">IF(OR(R129="",O129="",P129="",O129=P129),"",ROUND(IF(F129="Long",(R129-O129)/(O129-P129),(O129-R129)/(P129-O129)),2))</f>
        <v/>
      </c>
      <c r="U129" s="38" t="str">
        <f aca="false">IF(T129="","",IF(T129&gt;=Settings!$B$20,"Win",IF(T129&lt;=-Settings!$B$20,"Loss","BE")))</f>
        <v/>
      </c>
      <c r="V129" s="45" t="str">
        <f aca="false">IF(B129="","",Settings!$B$6)</f>
        <v/>
      </c>
      <c r="W129" s="46" t="str">
        <f aca="false">IF(B129="","",(Settings!$B$5+SUM(X$4:X128))*V129)</f>
        <v/>
      </c>
      <c r="X129" s="46" t="str">
        <f aca="false">IF(T129="","",ROUND(T129*W129,2))</f>
        <v/>
      </c>
      <c r="Y129" s="46" t="str">
        <f aca="false">IF(T129="","",Settings!$B$5+SUM(X$5:X129))</f>
        <v/>
      </c>
      <c r="Z129" s="43" t="str">
        <f aca="false">IF(T129="","",SUM(T$5:T129))</f>
        <v/>
      </c>
      <c r="AA129" s="43" t="str">
        <f aca="false">IF(T129="","",MAX(0,MAX(Z$5:Z129)))</f>
        <v/>
      </c>
      <c r="AB129" s="43" t="str">
        <f aca="false">IF(T129="","",Z129-AA129)</f>
        <v/>
      </c>
      <c r="AC129" s="38" t="str">
        <f aca="false">IF(U129="","",IF(U129="Loss",N(AC128)+1,0))</f>
        <v/>
      </c>
      <c r="AD129" s="40"/>
      <c r="AE129" s="38" t="str">
        <f aca="false">IF(B129="","",IF(AND(M129="Yes",OR(AD129="None",AD129="")),"Yes","No"))</f>
        <v/>
      </c>
      <c r="AF129" s="40"/>
      <c r="AG129" s="40"/>
      <c r="AH129" s="47"/>
      <c r="AI129" s="47"/>
    </row>
    <row r="130" customFormat="false" ht="15" hidden="false" customHeight="false" outlineLevel="0" collapsed="false">
      <c r="A130" s="38" t="str">
        <f aca="false">IF(B130="","",ROW()-4)</f>
        <v/>
      </c>
      <c r="B130" s="39"/>
      <c r="C130" s="38" t="str">
        <f aca="false">IF(B130="","",INT((B130-Settings!$B$4)/7)+1)</f>
        <v/>
      </c>
      <c r="D130" s="40"/>
      <c r="E130" s="40"/>
      <c r="F130" s="40"/>
      <c r="G130" s="40"/>
      <c r="H130" s="40"/>
      <c r="I130" s="40"/>
      <c r="J130" s="40"/>
      <c r="K130" s="40"/>
      <c r="L130" s="40"/>
      <c r="M130" s="38" t="str">
        <f aca="false">IF(B130="","",IF(COUNTIF(H130:L130,"Y")=5,"Yes","No"))</f>
        <v/>
      </c>
      <c r="N130" s="41"/>
      <c r="O130" s="42"/>
      <c r="P130" s="42"/>
      <c r="Q130" s="43" t="str">
        <f aca="false">IF(OR(O130="",P130=""),"",IF(F130="Long",O130+Settings!$B$7*(O130-P130),O130-Settings!$B$7*(P130-O130)))</f>
        <v/>
      </c>
      <c r="R130" s="42"/>
      <c r="S130" s="40"/>
      <c r="T130" s="44" t="str">
        <f aca="false">IF(OR(R130="",O130="",P130="",O130=P130),"",ROUND(IF(F130="Long",(R130-O130)/(O130-P130),(O130-R130)/(P130-O130)),2))</f>
        <v/>
      </c>
      <c r="U130" s="38" t="str">
        <f aca="false">IF(T130="","",IF(T130&gt;=Settings!$B$20,"Win",IF(T130&lt;=-Settings!$B$20,"Loss","BE")))</f>
        <v/>
      </c>
      <c r="V130" s="45" t="str">
        <f aca="false">IF(B130="","",Settings!$B$6)</f>
        <v/>
      </c>
      <c r="W130" s="46" t="str">
        <f aca="false">IF(B130="","",(Settings!$B$5+SUM(X$4:X129))*V130)</f>
        <v/>
      </c>
      <c r="X130" s="46" t="str">
        <f aca="false">IF(T130="","",ROUND(T130*W130,2))</f>
        <v/>
      </c>
      <c r="Y130" s="46" t="str">
        <f aca="false">IF(T130="","",Settings!$B$5+SUM(X$5:X130))</f>
        <v/>
      </c>
      <c r="Z130" s="43" t="str">
        <f aca="false">IF(T130="","",SUM(T$5:T130))</f>
        <v/>
      </c>
      <c r="AA130" s="43" t="str">
        <f aca="false">IF(T130="","",MAX(0,MAX(Z$5:Z130)))</f>
        <v/>
      </c>
      <c r="AB130" s="43" t="str">
        <f aca="false">IF(T130="","",Z130-AA130)</f>
        <v/>
      </c>
      <c r="AC130" s="38" t="str">
        <f aca="false">IF(U130="","",IF(U130="Loss",N(AC129)+1,0))</f>
        <v/>
      </c>
      <c r="AD130" s="40"/>
      <c r="AE130" s="38" t="str">
        <f aca="false">IF(B130="","",IF(AND(M130="Yes",OR(AD130="None",AD130="")),"Yes","No"))</f>
        <v/>
      </c>
      <c r="AF130" s="40"/>
      <c r="AG130" s="40"/>
      <c r="AH130" s="47"/>
      <c r="AI130" s="47"/>
    </row>
    <row r="131" customFormat="false" ht="15" hidden="false" customHeight="false" outlineLevel="0" collapsed="false">
      <c r="A131" s="38" t="str">
        <f aca="false">IF(B131="","",ROW()-4)</f>
        <v/>
      </c>
      <c r="B131" s="39"/>
      <c r="C131" s="38" t="str">
        <f aca="false">IF(B131="","",INT((B131-Settings!$B$4)/7)+1)</f>
        <v/>
      </c>
      <c r="D131" s="40"/>
      <c r="E131" s="40"/>
      <c r="F131" s="40"/>
      <c r="G131" s="40"/>
      <c r="H131" s="40"/>
      <c r="I131" s="40"/>
      <c r="J131" s="40"/>
      <c r="K131" s="40"/>
      <c r="L131" s="40"/>
      <c r="M131" s="38" t="str">
        <f aca="false">IF(B131="","",IF(COUNTIF(H131:L131,"Y")=5,"Yes","No"))</f>
        <v/>
      </c>
      <c r="N131" s="41"/>
      <c r="O131" s="42"/>
      <c r="P131" s="42"/>
      <c r="Q131" s="43" t="str">
        <f aca="false">IF(OR(O131="",P131=""),"",IF(F131="Long",O131+Settings!$B$7*(O131-P131),O131-Settings!$B$7*(P131-O131)))</f>
        <v/>
      </c>
      <c r="R131" s="42"/>
      <c r="S131" s="40"/>
      <c r="T131" s="44" t="str">
        <f aca="false">IF(OR(R131="",O131="",P131="",O131=P131),"",ROUND(IF(F131="Long",(R131-O131)/(O131-P131),(O131-R131)/(P131-O131)),2))</f>
        <v/>
      </c>
      <c r="U131" s="38" t="str">
        <f aca="false">IF(T131="","",IF(T131&gt;=Settings!$B$20,"Win",IF(T131&lt;=-Settings!$B$20,"Loss","BE")))</f>
        <v/>
      </c>
      <c r="V131" s="45" t="str">
        <f aca="false">IF(B131="","",Settings!$B$6)</f>
        <v/>
      </c>
      <c r="W131" s="46" t="str">
        <f aca="false">IF(B131="","",(Settings!$B$5+SUM(X$4:X130))*V131)</f>
        <v/>
      </c>
      <c r="X131" s="46" t="str">
        <f aca="false">IF(T131="","",ROUND(T131*W131,2))</f>
        <v/>
      </c>
      <c r="Y131" s="46" t="str">
        <f aca="false">IF(T131="","",Settings!$B$5+SUM(X$5:X131))</f>
        <v/>
      </c>
      <c r="Z131" s="43" t="str">
        <f aca="false">IF(T131="","",SUM(T$5:T131))</f>
        <v/>
      </c>
      <c r="AA131" s="43" t="str">
        <f aca="false">IF(T131="","",MAX(0,MAX(Z$5:Z131)))</f>
        <v/>
      </c>
      <c r="AB131" s="43" t="str">
        <f aca="false">IF(T131="","",Z131-AA131)</f>
        <v/>
      </c>
      <c r="AC131" s="38" t="str">
        <f aca="false">IF(U131="","",IF(U131="Loss",N(AC130)+1,0))</f>
        <v/>
      </c>
      <c r="AD131" s="40"/>
      <c r="AE131" s="38" t="str">
        <f aca="false">IF(B131="","",IF(AND(M131="Yes",OR(AD131="None",AD131="")),"Yes","No"))</f>
        <v/>
      </c>
      <c r="AF131" s="40"/>
      <c r="AG131" s="40"/>
      <c r="AH131" s="47"/>
      <c r="AI131" s="47"/>
    </row>
    <row r="132" customFormat="false" ht="15" hidden="false" customHeight="false" outlineLevel="0" collapsed="false">
      <c r="A132" s="38" t="str">
        <f aca="false">IF(B132="","",ROW()-4)</f>
        <v/>
      </c>
      <c r="B132" s="39"/>
      <c r="C132" s="38" t="str">
        <f aca="false">IF(B132="","",INT((B132-Settings!$B$4)/7)+1)</f>
        <v/>
      </c>
      <c r="D132" s="40"/>
      <c r="E132" s="40"/>
      <c r="F132" s="40"/>
      <c r="G132" s="40"/>
      <c r="H132" s="40"/>
      <c r="I132" s="40"/>
      <c r="J132" s="40"/>
      <c r="K132" s="40"/>
      <c r="L132" s="40"/>
      <c r="M132" s="38" t="str">
        <f aca="false">IF(B132="","",IF(COUNTIF(H132:L132,"Y")=5,"Yes","No"))</f>
        <v/>
      </c>
      <c r="N132" s="41"/>
      <c r="O132" s="42"/>
      <c r="P132" s="42"/>
      <c r="Q132" s="43" t="str">
        <f aca="false">IF(OR(O132="",P132=""),"",IF(F132="Long",O132+Settings!$B$7*(O132-P132),O132-Settings!$B$7*(P132-O132)))</f>
        <v/>
      </c>
      <c r="R132" s="42"/>
      <c r="S132" s="40"/>
      <c r="T132" s="44" t="str">
        <f aca="false">IF(OR(R132="",O132="",P132="",O132=P132),"",ROUND(IF(F132="Long",(R132-O132)/(O132-P132),(O132-R132)/(P132-O132)),2))</f>
        <v/>
      </c>
      <c r="U132" s="38" t="str">
        <f aca="false">IF(T132="","",IF(T132&gt;=Settings!$B$20,"Win",IF(T132&lt;=-Settings!$B$20,"Loss","BE")))</f>
        <v/>
      </c>
      <c r="V132" s="45" t="str">
        <f aca="false">IF(B132="","",Settings!$B$6)</f>
        <v/>
      </c>
      <c r="W132" s="46" t="str">
        <f aca="false">IF(B132="","",(Settings!$B$5+SUM(X$4:X131))*V132)</f>
        <v/>
      </c>
      <c r="X132" s="46" t="str">
        <f aca="false">IF(T132="","",ROUND(T132*W132,2))</f>
        <v/>
      </c>
      <c r="Y132" s="46" t="str">
        <f aca="false">IF(T132="","",Settings!$B$5+SUM(X$5:X132))</f>
        <v/>
      </c>
      <c r="Z132" s="43" t="str">
        <f aca="false">IF(T132="","",SUM(T$5:T132))</f>
        <v/>
      </c>
      <c r="AA132" s="43" t="str">
        <f aca="false">IF(T132="","",MAX(0,MAX(Z$5:Z132)))</f>
        <v/>
      </c>
      <c r="AB132" s="43" t="str">
        <f aca="false">IF(T132="","",Z132-AA132)</f>
        <v/>
      </c>
      <c r="AC132" s="38" t="str">
        <f aca="false">IF(U132="","",IF(U132="Loss",N(AC131)+1,0))</f>
        <v/>
      </c>
      <c r="AD132" s="40"/>
      <c r="AE132" s="38" t="str">
        <f aca="false">IF(B132="","",IF(AND(M132="Yes",OR(AD132="None",AD132="")),"Yes","No"))</f>
        <v/>
      </c>
      <c r="AF132" s="40"/>
      <c r="AG132" s="40"/>
      <c r="AH132" s="47"/>
      <c r="AI132" s="47"/>
    </row>
    <row r="133" customFormat="false" ht="15" hidden="false" customHeight="false" outlineLevel="0" collapsed="false">
      <c r="A133" s="38" t="str">
        <f aca="false">IF(B133="","",ROW()-4)</f>
        <v/>
      </c>
      <c r="B133" s="39"/>
      <c r="C133" s="38" t="str">
        <f aca="false">IF(B133="","",INT((B133-Settings!$B$4)/7)+1)</f>
        <v/>
      </c>
      <c r="D133" s="40"/>
      <c r="E133" s="40"/>
      <c r="F133" s="40"/>
      <c r="G133" s="40"/>
      <c r="H133" s="40"/>
      <c r="I133" s="40"/>
      <c r="J133" s="40"/>
      <c r="K133" s="40"/>
      <c r="L133" s="40"/>
      <c r="M133" s="38" t="str">
        <f aca="false">IF(B133="","",IF(COUNTIF(H133:L133,"Y")=5,"Yes","No"))</f>
        <v/>
      </c>
      <c r="N133" s="41"/>
      <c r="O133" s="42"/>
      <c r="P133" s="42"/>
      <c r="Q133" s="43" t="str">
        <f aca="false">IF(OR(O133="",P133=""),"",IF(F133="Long",O133+Settings!$B$7*(O133-P133),O133-Settings!$B$7*(P133-O133)))</f>
        <v/>
      </c>
      <c r="R133" s="42"/>
      <c r="S133" s="40"/>
      <c r="T133" s="44" t="str">
        <f aca="false">IF(OR(R133="",O133="",P133="",O133=P133),"",ROUND(IF(F133="Long",(R133-O133)/(O133-P133),(O133-R133)/(P133-O133)),2))</f>
        <v/>
      </c>
      <c r="U133" s="38" t="str">
        <f aca="false">IF(T133="","",IF(T133&gt;=Settings!$B$20,"Win",IF(T133&lt;=-Settings!$B$20,"Loss","BE")))</f>
        <v/>
      </c>
      <c r="V133" s="45" t="str">
        <f aca="false">IF(B133="","",Settings!$B$6)</f>
        <v/>
      </c>
      <c r="W133" s="46" t="str">
        <f aca="false">IF(B133="","",(Settings!$B$5+SUM(X$4:X132))*V133)</f>
        <v/>
      </c>
      <c r="X133" s="46" t="str">
        <f aca="false">IF(T133="","",ROUND(T133*W133,2))</f>
        <v/>
      </c>
      <c r="Y133" s="46" t="str">
        <f aca="false">IF(T133="","",Settings!$B$5+SUM(X$5:X133))</f>
        <v/>
      </c>
      <c r="Z133" s="43" t="str">
        <f aca="false">IF(T133="","",SUM(T$5:T133))</f>
        <v/>
      </c>
      <c r="AA133" s="43" t="str">
        <f aca="false">IF(T133="","",MAX(0,MAX(Z$5:Z133)))</f>
        <v/>
      </c>
      <c r="AB133" s="43" t="str">
        <f aca="false">IF(T133="","",Z133-AA133)</f>
        <v/>
      </c>
      <c r="AC133" s="38" t="str">
        <f aca="false">IF(U133="","",IF(U133="Loss",N(AC132)+1,0))</f>
        <v/>
      </c>
      <c r="AD133" s="40"/>
      <c r="AE133" s="38" t="str">
        <f aca="false">IF(B133="","",IF(AND(M133="Yes",OR(AD133="None",AD133="")),"Yes","No"))</f>
        <v/>
      </c>
      <c r="AF133" s="40"/>
      <c r="AG133" s="40"/>
      <c r="AH133" s="47"/>
      <c r="AI133" s="47"/>
    </row>
    <row r="134" customFormat="false" ht="15" hidden="false" customHeight="false" outlineLevel="0" collapsed="false">
      <c r="A134" s="38" t="str">
        <f aca="false">IF(B134="","",ROW()-4)</f>
        <v/>
      </c>
      <c r="B134" s="39"/>
      <c r="C134" s="38" t="str">
        <f aca="false">IF(B134="","",INT((B134-Settings!$B$4)/7)+1)</f>
        <v/>
      </c>
      <c r="D134" s="40"/>
      <c r="E134" s="40"/>
      <c r="F134" s="40"/>
      <c r="G134" s="40"/>
      <c r="H134" s="40"/>
      <c r="I134" s="40"/>
      <c r="J134" s="40"/>
      <c r="K134" s="40"/>
      <c r="L134" s="40"/>
      <c r="M134" s="38" t="str">
        <f aca="false">IF(B134="","",IF(COUNTIF(H134:L134,"Y")=5,"Yes","No"))</f>
        <v/>
      </c>
      <c r="N134" s="41"/>
      <c r="O134" s="42"/>
      <c r="P134" s="42"/>
      <c r="Q134" s="43" t="str">
        <f aca="false">IF(OR(O134="",P134=""),"",IF(F134="Long",O134+Settings!$B$7*(O134-P134),O134-Settings!$B$7*(P134-O134)))</f>
        <v/>
      </c>
      <c r="R134" s="42"/>
      <c r="S134" s="40"/>
      <c r="T134" s="44" t="str">
        <f aca="false">IF(OR(R134="",O134="",P134="",O134=P134),"",ROUND(IF(F134="Long",(R134-O134)/(O134-P134),(O134-R134)/(P134-O134)),2))</f>
        <v/>
      </c>
      <c r="U134" s="38" t="str">
        <f aca="false">IF(T134="","",IF(T134&gt;=Settings!$B$20,"Win",IF(T134&lt;=-Settings!$B$20,"Loss","BE")))</f>
        <v/>
      </c>
      <c r="V134" s="45" t="str">
        <f aca="false">IF(B134="","",Settings!$B$6)</f>
        <v/>
      </c>
      <c r="W134" s="46" t="str">
        <f aca="false">IF(B134="","",(Settings!$B$5+SUM(X$4:X133))*V134)</f>
        <v/>
      </c>
      <c r="X134" s="46" t="str">
        <f aca="false">IF(T134="","",ROUND(T134*W134,2))</f>
        <v/>
      </c>
      <c r="Y134" s="46" t="str">
        <f aca="false">IF(T134="","",Settings!$B$5+SUM(X$5:X134))</f>
        <v/>
      </c>
      <c r="Z134" s="43" t="str">
        <f aca="false">IF(T134="","",SUM(T$5:T134))</f>
        <v/>
      </c>
      <c r="AA134" s="43" t="str">
        <f aca="false">IF(T134="","",MAX(0,MAX(Z$5:Z134)))</f>
        <v/>
      </c>
      <c r="AB134" s="43" t="str">
        <f aca="false">IF(T134="","",Z134-AA134)</f>
        <v/>
      </c>
      <c r="AC134" s="38" t="str">
        <f aca="false">IF(U134="","",IF(U134="Loss",N(AC133)+1,0))</f>
        <v/>
      </c>
      <c r="AD134" s="40"/>
      <c r="AE134" s="38" t="str">
        <f aca="false">IF(B134="","",IF(AND(M134="Yes",OR(AD134="None",AD134="")),"Yes","No"))</f>
        <v/>
      </c>
      <c r="AF134" s="40"/>
      <c r="AG134" s="40"/>
      <c r="AH134" s="47"/>
      <c r="AI134" s="47"/>
    </row>
    <row r="135" customFormat="false" ht="15" hidden="false" customHeight="false" outlineLevel="0" collapsed="false">
      <c r="A135" s="38" t="str">
        <f aca="false">IF(B135="","",ROW()-4)</f>
        <v/>
      </c>
      <c r="B135" s="39"/>
      <c r="C135" s="38" t="str">
        <f aca="false">IF(B135="","",INT((B135-Settings!$B$4)/7)+1)</f>
        <v/>
      </c>
      <c r="D135" s="40"/>
      <c r="E135" s="40"/>
      <c r="F135" s="40"/>
      <c r="G135" s="40"/>
      <c r="H135" s="40"/>
      <c r="I135" s="40"/>
      <c r="J135" s="40"/>
      <c r="K135" s="40"/>
      <c r="L135" s="40"/>
      <c r="M135" s="38" t="str">
        <f aca="false">IF(B135="","",IF(COUNTIF(H135:L135,"Y")=5,"Yes","No"))</f>
        <v/>
      </c>
      <c r="N135" s="41"/>
      <c r="O135" s="42"/>
      <c r="P135" s="42"/>
      <c r="Q135" s="43" t="str">
        <f aca="false">IF(OR(O135="",P135=""),"",IF(F135="Long",O135+Settings!$B$7*(O135-P135),O135-Settings!$B$7*(P135-O135)))</f>
        <v/>
      </c>
      <c r="R135" s="42"/>
      <c r="S135" s="40"/>
      <c r="T135" s="44" t="str">
        <f aca="false">IF(OR(R135="",O135="",P135="",O135=P135),"",ROUND(IF(F135="Long",(R135-O135)/(O135-P135),(O135-R135)/(P135-O135)),2))</f>
        <v/>
      </c>
      <c r="U135" s="38" t="str">
        <f aca="false">IF(T135="","",IF(T135&gt;=Settings!$B$20,"Win",IF(T135&lt;=-Settings!$B$20,"Loss","BE")))</f>
        <v/>
      </c>
      <c r="V135" s="45" t="str">
        <f aca="false">IF(B135="","",Settings!$B$6)</f>
        <v/>
      </c>
      <c r="W135" s="46" t="str">
        <f aca="false">IF(B135="","",(Settings!$B$5+SUM(X$4:X134))*V135)</f>
        <v/>
      </c>
      <c r="X135" s="46" t="str">
        <f aca="false">IF(T135="","",ROUND(T135*W135,2))</f>
        <v/>
      </c>
      <c r="Y135" s="46" t="str">
        <f aca="false">IF(T135="","",Settings!$B$5+SUM(X$5:X135))</f>
        <v/>
      </c>
      <c r="Z135" s="43" t="str">
        <f aca="false">IF(T135="","",SUM(T$5:T135))</f>
        <v/>
      </c>
      <c r="AA135" s="43" t="str">
        <f aca="false">IF(T135="","",MAX(0,MAX(Z$5:Z135)))</f>
        <v/>
      </c>
      <c r="AB135" s="43" t="str">
        <f aca="false">IF(T135="","",Z135-AA135)</f>
        <v/>
      </c>
      <c r="AC135" s="38" t="str">
        <f aca="false">IF(U135="","",IF(U135="Loss",N(AC134)+1,0))</f>
        <v/>
      </c>
      <c r="AD135" s="40"/>
      <c r="AE135" s="38" t="str">
        <f aca="false">IF(B135="","",IF(AND(M135="Yes",OR(AD135="None",AD135="")),"Yes","No"))</f>
        <v/>
      </c>
      <c r="AF135" s="40"/>
      <c r="AG135" s="40"/>
      <c r="AH135" s="47"/>
      <c r="AI135" s="47"/>
    </row>
    <row r="136" customFormat="false" ht="15" hidden="false" customHeight="false" outlineLevel="0" collapsed="false">
      <c r="A136" s="38" t="str">
        <f aca="false">IF(B136="","",ROW()-4)</f>
        <v/>
      </c>
      <c r="B136" s="39"/>
      <c r="C136" s="38" t="str">
        <f aca="false">IF(B136="","",INT((B136-Settings!$B$4)/7)+1)</f>
        <v/>
      </c>
      <c r="D136" s="40"/>
      <c r="E136" s="40"/>
      <c r="F136" s="40"/>
      <c r="G136" s="40"/>
      <c r="H136" s="40"/>
      <c r="I136" s="40"/>
      <c r="J136" s="40"/>
      <c r="K136" s="40"/>
      <c r="L136" s="40"/>
      <c r="M136" s="38" t="str">
        <f aca="false">IF(B136="","",IF(COUNTIF(H136:L136,"Y")=5,"Yes","No"))</f>
        <v/>
      </c>
      <c r="N136" s="41"/>
      <c r="O136" s="42"/>
      <c r="P136" s="42"/>
      <c r="Q136" s="43" t="str">
        <f aca="false">IF(OR(O136="",P136=""),"",IF(F136="Long",O136+Settings!$B$7*(O136-P136),O136-Settings!$B$7*(P136-O136)))</f>
        <v/>
      </c>
      <c r="R136" s="42"/>
      <c r="S136" s="40"/>
      <c r="T136" s="44" t="str">
        <f aca="false">IF(OR(R136="",O136="",P136="",O136=P136),"",ROUND(IF(F136="Long",(R136-O136)/(O136-P136),(O136-R136)/(P136-O136)),2))</f>
        <v/>
      </c>
      <c r="U136" s="38" t="str">
        <f aca="false">IF(T136="","",IF(T136&gt;=Settings!$B$20,"Win",IF(T136&lt;=-Settings!$B$20,"Loss","BE")))</f>
        <v/>
      </c>
      <c r="V136" s="45" t="str">
        <f aca="false">IF(B136="","",Settings!$B$6)</f>
        <v/>
      </c>
      <c r="W136" s="46" t="str">
        <f aca="false">IF(B136="","",(Settings!$B$5+SUM(X$4:X135))*V136)</f>
        <v/>
      </c>
      <c r="X136" s="46" t="str">
        <f aca="false">IF(T136="","",ROUND(T136*W136,2))</f>
        <v/>
      </c>
      <c r="Y136" s="46" t="str">
        <f aca="false">IF(T136="","",Settings!$B$5+SUM(X$5:X136))</f>
        <v/>
      </c>
      <c r="Z136" s="43" t="str">
        <f aca="false">IF(T136="","",SUM(T$5:T136))</f>
        <v/>
      </c>
      <c r="AA136" s="43" t="str">
        <f aca="false">IF(T136="","",MAX(0,MAX(Z$5:Z136)))</f>
        <v/>
      </c>
      <c r="AB136" s="43" t="str">
        <f aca="false">IF(T136="","",Z136-AA136)</f>
        <v/>
      </c>
      <c r="AC136" s="38" t="str">
        <f aca="false">IF(U136="","",IF(U136="Loss",N(AC135)+1,0))</f>
        <v/>
      </c>
      <c r="AD136" s="40"/>
      <c r="AE136" s="38" t="str">
        <f aca="false">IF(B136="","",IF(AND(M136="Yes",OR(AD136="None",AD136="")),"Yes","No"))</f>
        <v/>
      </c>
      <c r="AF136" s="40"/>
      <c r="AG136" s="40"/>
      <c r="AH136" s="47"/>
      <c r="AI136" s="47"/>
    </row>
    <row r="137" customFormat="false" ht="15" hidden="false" customHeight="false" outlineLevel="0" collapsed="false">
      <c r="A137" s="38" t="str">
        <f aca="false">IF(B137="","",ROW()-4)</f>
        <v/>
      </c>
      <c r="B137" s="39"/>
      <c r="C137" s="38" t="str">
        <f aca="false">IF(B137="","",INT((B137-Settings!$B$4)/7)+1)</f>
        <v/>
      </c>
      <c r="D137" s="40"/>
      <c r="E137" s="40"/>
      <c r="F137" s="40"/>
      <c r="G137" s="40"/>
      <c r="H137" s="40"/>
      <c r="I137" s="40"/>
      <c r="J137" s="40"/>
      <c r="K137" s="40"/>
      <c r="L137" s="40"/>
      <c r="M137" s="38" t="str">
        <f aca="false">IF(B137="","",IF(COUNTIF(H137:L137,"Y")=5,"Yes","No"))</f>
        <v/>
      </c>
      <c r="N137" s="41"/>
      <c r="O137" s="42"/>
      <c r="P137" s="42"/>
      <c r="Q137" s="43" t="str">
        <f aca="false">IF(OR(O137="",P137=""),"",IF(F137="Long",O137+Settings!$B$7*(O137-P137),O137-Settings!$B$7*(P137-O137)))</f>
        <v/>
      </c>
      <c r="R137" s="42"/>
      <c r="S137" s="40"/>
      <c r="T137" s="44" t="str">
        <f aca="false">IF(OR(R137="",O137="",P137="",O137=P137),"",ROUND(IF(F137="Long",(R137-O137)/(O137-P137),(O137-R137)/(P137-O137)),2))</f>
        <v/>
      </c>
      <c r="U137" s="38" t="str">
        <f aca="false">IF(T137="","",IF(T137&gt;=Settings!$B$20,"Win",IF(T137&lt;=-Settings!$B$20,"Loss","BE")))</f>
        <v/>
      </c>
      <c r="V137" s="45" t="str">
        <f aca="false">IF(B137="","",Settings!$B$6)</f>
        <v/>
      </c>
      <c r="W137" s="46" t="str">
        <f aca="false">IF(B137="","",(Settings!$B$5+SUM(X$4:X136))*V137)</f>
        <v/>
      </c>
      <c r="X137" s="46" t="str">
        <f aca="false">IF(T137="","",ROUND(T137*W137,2))</f>
        <v/>
      </c>
      <c r="Y137" s="46" t="str">
        <f aca="false">IF(T137="","",Settings!$B$5+SUM(X$5:X137))</f>
        <v/>
      </c>
      <c r="Z137" s="43" t="str">
        <f aca="false">IF(T137="","",SUM(T$5:T137))</f>
        <v/>
      </c>
      <c r="AA137" s="43" t="str">
        <f aca="false">IF(T137="","",MAX(0,MAX(Z$5:Z137)))</f>
        <v/>
      </c>
      <c r="AB137" s="43" t="str">
        <f aca="false">IF(T137="","",Z137-AA137)</f>
        <v/>
      </c>
      <c r="AC137" s="38" t="str">
        <f aca="false">IF(U137="","",IF(U137="Loss",N(AC136)+1,0))</f>
        <v/>
      </c>
      <c r="AD137" s="40"/>
      <c r="AE137" s="38" t="str">
        <f aca="false">IF(B137="","",IF(AND(M137="Yes",OR(AD137="None",AD137="")),"Yes","No"))</f>
        <v/>
      </c>
      <c r="AF137" s="40"/>
      <c r="AG137" s="40"/>
      <c r="AH137" s="47"/>
      <c r="AI137" s="47"/>
    </row>
    <row r="138" customFormat="false" ht="15" hidden="false" customHeight="false" outlineLevel="0" collapsed="false">
      <c r="A138" s="38" t="str">
        <f aca="false">IF(B138="","",ROW()-4)</f>
        <v/>
      </c>
      <c r="B138" s="39"/>
      <c r="C138" s="38" t="str">
        <f aca="false">IF(B138="","",INT((B138-Settings!$B$4)/7)+1)</f>
        <v/>
      </c>
      <c r="D138" s="40"/>
      <c r="E138" s="40"/>
      <c r="F138" s="40"/>
      <c r="G138" s="40"/>
      <c r="H138" s="40"/>
      <c r="I138" s="40"/>
      <c r="J138" s="40"/>
      <c r="K138" s="40"/>
      <c r="L138" s="40"/>
      <c r="M138" s="38" t="str">
        <f aca="false">IF(B138="","",IF(COUNTIF(H138:L138,"Y")=5,"Yes","No"))</f>
        <v/>
      </c>
      <c r="N138" s="41"/>
      <c r="O138" s="42"/>
      <c r="P138" s="42"/>
      <c r="Q138" s="43" t="str">
        <f aca="false">IF(OR(O138="",P138=""),"",IF(F138="Long",O138+Settings!$B$7*(O138-P138),O138-Settings!$B$7*(P138-O138)))</f>
        <v/>
      </c>
      <c r="R138" s="42"/>
      <c r="S138" s="40"/>
      <c r="T138" s="44" t="str">
        <f aca="false">IF(OR(R138="",O138="",P138="",O138=P138),"",ROUND(IF(F138="Long",(R138-O138)/(O138-P138),(O138-R138)/(P138-O138)),2))</f>
        <v/>
      </c>
      <c r="U138" s="38" t="str">
        <f aca="false">IF(T138="","",IF(T138&gt;=Settings!$B$20,"Win",IF(T138&lt;=-Settings!$B$20,"Loss","BE")))</f>
        <v/>
      </c>
      <c r="V138" s="45" t="str">
        <f aca="false">IF(B138="","",Settings!$B$6)</f>
        <v/>
      </c>
      <c r="W138" s="46" t="str">
        <f aca="false">IF(B138="","",(Settings!$B$5+SUM(X$4:X137))*V138)</f>
        <v/>
      </c>
      <c r="X138" s="46" t="str">
        <f aca="false">IF(T138="","",ROUND(T138*W138,2))</f>
        <v/>
      </c>
      <c r="Y138" s="46" t="str">
        <f aca="false">IF(T138="","",Settings!$B$5+SUM(X$5:X138))</f>
        <v/>
      </c>
      <c r="Z138" s="43" t="str">
        <f aca="false">IF(T138="","",SUM(T$5:T138))</f>
        <v/>
      </c>
      <c r="AA138" s="43" t="str">
        <f aca="false">IF(T138="","",MAX(0,MAX(Z$5:Z138)))</f>
        <v/>
      </c>
      <c r="AB138" s="43" t="str">
        <f aca="false">IF(T138="","",Z138-AA138)</f>
        <v/>
      </c>
      <c r="AC138" s="38" t="str">
        <f aca="false">IF(U138="","",IF(U138="Loss",N(AC137)+1,0))</f>
        <v/>
      </c>
      <c r="AD138" s="40"/>
      <c r="AE138" s="38" t="str">
        <f aca="false">IF(B138="","",IF(AND(M138="Yes",OR(AD138="None",AD138="")),"Yes","No"))</f>
        <v/>
      </c>
      <c r="AF138" s="40"/>
      <c r="AG138" s="40"/>
      <c r="AH138" s="47"/>
      <c r="AI138" s="47"/>
    </row>
    <row r="139" customFormat="false" ht="15" hidden="false" customHeight="false" outlineLevel="0" collapsed="false">
      <c r="A139" s="38" t="str">
        <f aca="false">IF(B139="","",ROW()-4)</f>
        <v/>
      </c>
      <c r="B139" s="39"/>
      <c r="C139" s="38" t="str">
        <f aca="false">IF(B139="","",INT((B139-Settings!$B$4)/7)+1)</f>
        <v/>
      </c>
      <c r="D139" s="40"/>
      <c r="E139" s="40"/>
      <c r="F139" s="40"/>
      <c r="G139" s="40"/>
      <c r="H139" s="40"/>
      <c r="I139" s="40"/>
      <c r="J139" s="40"/>
      <c r="K139" s="40"/>
      <c r="L139" s="40"/>
      <c r="M139" s="38" t="str">
        <f aca="false">IF(B139="","",IF(COUNTIF(H139:L139,"Y")=5,"Yes","No"))</f>
        <v/>
      </c>
      <c r="N139" s="41"/>
      <c r="O139" s="42"/>
      <c r="P139" s="42"/>
      <c r="Q139" s="43" t="str">
        <f aca="false">IF(OR(O139="",P139=""),"",IF(F139="Long",O139+Settings!$B$7*(O139-P139),O139-Settings!$B$7*(P139-O139)))</f>
        <v/>
      </c>
      <c r="R139" s="42"/>
      <c r="S139" s="40"/>
      <c r="T139" s="44" t="str">
        <f aca="false">IF(OR(R139="",O139="",P139="",O139=P139),"",ROUND(IF(F139="Long",(R139-O139)/(O139-P139),(O139-R139)/(P139-O139)),2))</f>
        <v/>
      </c>
      <c r="U139" s="38" t="str">
        <f aca="false">IF(T139="","",IF(T139&gt;=Settings!$B$20,"Win",IF(T139&lt;=-Settings!$B$20,"Loss","BE")))</f>
        <v/>
      </c>
      <c r="V139" s="45" t="str">
        <f aca="false">IF(B139="","",Settings!$B$6)</f>
        <v/>
      </c>
      <c r="W139" s="46" t="str">
        <f aca="false">IF(B139="","",(Settings!$B$5+SUM(X$4:X138))*V139)</f>
        <v/>
      </c>
      <c r="X139" s="46" t="str">
        <f aca="false">IF(T139="","",ROUND(T139*W139,2))</f>
        <v/>
      </c>
      <c r="Y139" s="46" t="str">
        <f aca="false">IF(T139="","",Settings!$B$5+SUM(X$5:X139))</f>
        <v/>
      </c>
      <c r="Z139" s="43" t="str">
        <f aca="false">IF(T139="","",SUM(T$5:T139))</f>
        <v/>
      </c>
      <c r="AA139" s="43" t="str">
        <f aca="false">IF(T139="","",MAX(0,MAX(Z$5:Z139)))</f>
        <v/>
      </c>
      <c r="AB139" s="43" t="str">
        <f aca="false">IF(T139="","",Z139-AA139)</f>
        <v/>
      </c>
      <c r="AC139" s="38" t="str">
        <f aca="false">IF(U139="","",IF(U139="Loss",N(AC138)+1,0))</f>
        <v/>
      </c>
      <c r="AD139" s="40"/>
      <c r="AE139" s="38" t="str">
        <f aca="false">IF(B139="","",IF(AND(M139="Yes",OR(AD139="None",AD139="")),"Yes","No"))</f>
        <v/>
      </c>
      <c r="AF139" s="40"/>
      <c r="AG139" s="40"/>
      <c r="AH139" s="47"/>
      <c r="AI139" s="47"/>
    </row>
    <row r="140" customFormat="false" ht="15" hidden="false" customHeight="false" outlineLevel="0" collapsed="false">
      <c r="A140" s="38" t="str">
        <f aca="false">IF(B140="","",ROW()-4)</f>
        <v/>
      </c>
      <c r="B140" s="39"/>
      <c r="C140" s="38" t="str">
        <f aca="false">IF(B140="","",INT((B140-Settings!$B$4)/7)+1)</f>
        <v/>
      </c>
      <c r="D140" s="40"/>
      <c r="E140" s="40"/>
      <c r="F140" s="40"/>
      <c r="G140" s="40"/>
      <c r="H140" s="40"/>
      <c r="I140" s="40"/>
      <c r="J140" s="40"/>
      <c r="K140" s="40"/>
      <c r="L140" s="40"/>
      <c r="M140" s="38" t="str">
        <f aca="false">IF(B140="","",IF(COUNTIF(H140:L140,"Y")=5,"Yes","No"))</f>
        <v/>
      </c>
      <c r="N140" s="41"/>
      <c r="O140" s="42"/>
      <c r="P140" s="42"/>
      <c r="Q140" s="43" t="str">
        <f aca="false">IF(OR(O140="",P140=""),"",IF(F140="Long",O140+Settings!$B$7*(O140-P140),O140-Settings!$B$7*(P140-O140)))</f>
        <v/>
      </c>
      <c r="R140" s="42"/>
      <c r="S140" s="40"/>
      <c r="T140" s="44" t="str">
        <f aca="false">IF(OR(R140="",O140="",P140="",O140=P140),"",ROUND(IF(F140="Long",(R140-O140)/(O140-P140),(O140-R140)/(P140-O140)),2))</f>
        <v/>
      </c>
      <c r="U140" s="38" t="str">
        <f aca="false">IF(T140="","",IF(T140&gt;=Settings!$B$20,"Win",IF(T140&lt;=-Settings!$B$20,"Loss","BE")))</f>
        <v/>
      </c>
      <c r="V140" s="45" t="str">
        <f aca="false">IF(B140="","",Settings!$B$6)</f>
        <v/>
      </c>
      <c r="W140" s="46" t="str">
        <f aca="false">IF(B140="","",(Settings!$B$5+SUM(X$4:X139))*V140)</f>
        <v/>
      </c>
      <c r="X140" s="46" t="str">
        <f aca="false">IF(T140="","",ROUND(T140*W140,2))</f>
        <v/>
      </c>
      <c r="Y140" s="46" t="str">
        <f aca="false">IF(T140="","",Settings!$B$5+SUM(X$5:X140))</f>
        <v/>
      </c>
      <c r="Z140" s="43" t="str">
        <f aca="false">IF(T140="","",SUM(T$5:T140))</f>
        <v/>
      </c>
      <c r="AA140" s="43" t="str">
        <f aca="false">IF(T140="","",MAX(0,MAX(Z$5:Z140)))</f>
        <v/>
      </c>
      <c r="AB140" s="43" t="str">
        <f aca="false">IF(T140="","",Z140-AA140)</f>
        <v/>
      </c>
      <c r="AC140" s="38" t="str">
        <f aca="false">IF(U140="","",IF(U140="Loss",N(AC139)+1,0))</f>
        <v/>
      </c>
      <c r="AD140" s="40"/>
      <c r="AE140" s="38" t="str">
        <f aca="false">IF(B140="","",IF(AND(M140="Yes",OR(AD140="None",AD140="")),"Yes","No"))</f>
        <v/>
      </c>
      <c r="AF140" s="40"/>
      <c r="AG140" s="40"/>
      <c r="AH140" s="47"/>
      <c r="AI140" s="47"/>
    </row>
    <row r="141" customFormat="false" ht="15" hidden="false" customHeight="false" outlineLevel="0" collapsed="false">
      <c r="A141" s="38" t="str">
        <f aca="false">IF(B141="","",ROW()-4)</f>
        <v/>
      </c>
      <c r="B141" s="39"/>
      <c r="C141" s="38" t="str">
        <f aca="false">IF(B141="","",INT((B141-Settings!$B$4)/7)+1)</f>
        <v/>
      </c>
      <c r="D141" s="40"/>
      <c r="E141" s="40"/>
      <c r="F141" s="40"/>
      <c r="G141" s="40"/>
      <c r="H141" s="40"/>
      <c r="I141" s="40"/>
      <c r="J141" s="40"/>
      <c r="K141" s="40"/>
      <c r="L141" s="40"/>
      <c r="M141" s="38" t="str">
        <f aca="false">IF(B141="","",IF(COUNTIF(H141:L141,"Y")=5,"Yes","No"))</f>
        <v/>
      </c>
      <c r="N141" s="41"/>
      <c r="O141" s="42"/>
      <c r="P141" s="42"/>
      <c r="Q141" s="43" t="str">
        <f aca="false">IF(OR(O141="",P141=""),"",IF(F141="Long",O141+Settings!$B$7*(O141-P141),O141-Settings!$B$7*(P141-O141)))</f>
        <v/>
      </c>
      <c r="R141" s="42"/>
      <c r="S141" s="40"/>
      <c r="T141" s="44" t="str">
        <f aca="false">IF(OR(R141="",O141="",P141="",O141=P141),"",ROUND(IF(F141="Long",(R141-O141)/(O141-P141),(O141-R141)/(P141-O141)),2))</f>
        <v/>
      </c>
      <c r="U141" s="38" t="str">
        <f aca="false">IF(T141="","",IF(T141&gt;=Settings!$B$20,"Win",IF(T141&lt;=-Settings!$B$20,"Loss","BE")))</f>
        <v/>
      </c>
      <c r="V141" s="45" t="str">
        <f aca="false">IF(B141="","",Settings!$B$6)</f>
        <v/>
      </c>
      <c r="W141" s="46" t="str">
        <f aca="false">IF(B141="","",(Settings!$B$5+SUM(X$4:X140))*V141)</f>
        <v/>
      </c>
      <c r="X141" s="46" t="str">
        <f aca="false">IF(T141="","",ROUND(T141*W141,2))</f>
        <v/>
      </c>
      <c r="Y141" s="46" t="str">
        <f aca="false">IF(T141="","",Settings!$B$5+SUM(X$5:X141))</f>
        <v/>
      </c>
      <c r="Z141" s="43" t="str">
        <f aca="false">IF(T141="","",SUM(T$5:T141))</f>
        <v/>
      </c>
      <c r="AA141" s="43" t="str">
        <f aca="false">IF(T141="","",MAX(0,MAX(Z$5:Z141)))</f>
        <v/>
      </c>
      <c r="AB141" s="43" t="str">
        <f aca="false">IF(T141="","",Z141-AA141)</f>
        <v/>
      </c>
      <c r="AC141" s="38" t="str">
        <f aca="false">IF(U141="","",IF(U141="Loss",N(AC140)+1,0))</f>
        <v/>
      </c>
      <c r="AD141" s="40"/>
      <c r="AE141" s="38" t="str">
        <f aca="false">IF(B141="","",IF(AND(M141="Yes",OR(AD141="None",AD141="")),"Yes","No"))</f>
        <v/>
      </c>
      <c r="AF141" s="40"/>
      <c r="AG141" s="40"/>
      <c r="AH141" s="47"/>
      <c r="AI141" s="47"/>
    </row>
    <row r="142" customFormat="false" ht="15" hidden="false" customHeight="false" outlineLevel="0" collapsed="false">
      <c r="A142" s="38" t="str">
        <f aca="false">IF(B142="","",ROW()-4)</f>
        <v/>
      </c>
      <c r="B142" s="39"/>
      <c r="C142" s="38" t="str">
        <f aca="false">IF(B142="","",INT((B142-Settings!$B$4)/7)+1)</f>
        <v/>
      </c>
      <c r="D142" s="40"/>
      <c r="E142" s="40"/>
      <c r="F142" s="40"/>
      <c r="G142" s="40"/>
      <c r="H142" s="40"/>
      <c r="I142" s="40"/>
      <c r="J142" s="40"/>
      <c r="K142" s="40"/>
      <c r="L142" s="40"/>
      <c r="M142" s="38" t="str">
        <f aca="false">IF(B142="","",IF(COUNTIF(H142:L142,"Y")=5,"Yes","No"))</f>
        <v/>
      </c>
      <c r="N142" s="41"/>
      <c r="O142" s="42"/>
      <c r="P142" s="42"/>
      <c r="Q142" s="43" t="str">
        <f aca="false">IF(OR(O142="",P142=""),"",IF(F142="Long",O142+Settings!$B$7*(O142-P142),O142-Settings!$B$7*(P142-O142)))</f>
        <v/>
      </c>
      <c r="R142" s="42"/>
      <c r="S142" s="40"/>
      <c r="T142" s="44" t="str">
        <f aca="false">IF(OR(R142="",O142="",P142="",O142=P142),"",ROUND(IF(F142="Long",(R142-O142)/(O142-P142),(O142-R142)/(P142-O142)),2))</f>
        <v/>
      </c>
      <c r="U142" s="38" t="str">
        <f aca="false">IF(T142="","",IF(T142&gt;=Settings!$B$20,"Win",IF(T142&lt;=-Settings!$B$20,"Loss","BE")))</f>
        <v/>
      </c>
      <c r="V142" s="45" t="str">
        <f aca="false">IF(B142="","",Settings!$B$6)</f>
        <v/>
      </c>
      <c r="W142" s="46" t="str">
        <f aca="false">IF(B142="","",(Settings!$B$5+SUM(X$4:X141))*V142)</f>
        <v/>
      </c>
      <c r="X142" s="46" t="str">
        <f aca="false">IF(T142="","",ROUND(T142*W142,2))</f>
        <v/>
      </c>
      <c r="Y142" s="46" t="str">
        <f aca="false">IF(T142="","",Settings!$B$5+SUM(X$5:X142))</f>
        <v/>
      </c>
      <c r="Z142" s="43" t="str">
        <f aca="false">IF(T142="","",SUM(T$5:T142))</f>
        <v/>
      </c>
      <c r="AA142" s="43" t="str">
        <f aca="false">IF(T142="","",MAX(0,MAX(Z$5:Z142)))</f>
        <v/>
      </c>
      <c r="AB142" s="43" t="str">
        <f aca="false">IF(T142="","",Z142-AA142)</f>
        <v/>
      </c>
      <c r="AC142" s="38" t="str">
        <f aca="false">IF(U142="","",IF(U142="Loss",N(AC141)+1,0))</f>
        <v/>
      </c>
      <c r="AD142" s="40"/>
      <c r="AE142" s="38" t="str">
        <f aca="false">IF(B142="","",IF(AND(M142="Yes",OR(AD142="None",AD142="")),"Yes","No"))</f>
        <v/>
      </c>
      <c r="AF142" s="40"/>
      <c r="AG142" s="40"/>
      <c r="AH142" s="47"/>
      <c r="AI142" s="47"/>
    </row>
    <row r="143" customFormat="false" ht="15" hidden="false" customHeight="false" outlineLevel="0" collapsed="false">
      <c r="A143" s="38" t="str">
        <f aca="false">IF(B143="","",ROW()-4)</f>
        <v/>
      </c>
      <c r="B143" s="39"/>
      <c r="C143" s="38" t="str">
        <f aca="false">IF(B143="","",INT((B143-Settings!$B$4)/7)+1)</f>
        <v/>
      </c>
      <c r="D143" s="40"/>
      <c r="E143" s="40"/>
      <c r="F143" s="40"/>
      <c r="G143" s="40"/>
      <c r="H143" s="40"/>
      <c r="I143" s="40"/>
      <c r="J143" s="40"/>
      <c r="K143" s="40"/>
      <c r="L143" s="40"/>
      <c r="M143" s="38" t="str">
        <f aca="false">IF(B143="","",IF(COUNTIF(H143:L143,"Y")=5,"Yes","No"))</f>
        <v/>
      </c>
      <c r="N143" s="41"/>
      <c r="O143" s="42"/>
      <c r="P143" s="42"/>
      <c r="Q143" s="43" t="str">
        <f aca="false">IF(OR(O143="",P143=""),"",IF(F143="Long",O143+Settings!$B$7*(O143-P143),O143-Settings!$B$7*(P143-O143)))</f>
        <v/>
      </c>
      <c r="R143" s="42"/>
      <c r="S143" s="40"/>
      <c r="T143" s="44" t="str">
        <f aca="false">IF(OR(R143="",O143="",P143="",O143=P143),"",ROUND(IF(F143="Long",(R143-O143)/(O143-P143),(O143-R143)/(P143-O143)),2))</f>
        <v/>
      </c>
      <c r="U143" s="38" t="str">
        <f aca="false">IF(T143="","",IF(T143&gt;=Settings!$B$20,"Win",IF(T143&lt;=-Settings!$B$20,"Loss","BE")))</f>
        <v/>
      </c>
      <c r="V143" s="45" t="str">
        <f aca="false">IF(B143="","",Settings!$B$6)</f>
        <v/>
      </c>
      <c r="W143" s="46" t="str">
        <f aca="false">IF(B143="","",(Settings!$B$5+SUM(X$4:X142))*V143)</f>
        <v/>
      </c>
      <c r="X143" s="46" t="str">
        <f aca="false">IF(T143="","",ROUND(T143*W143,2))</f>
        <v/>
      </c>
      <c r="Y143" s="46" t="str">
        <f aca="false">IF(T143="","",Settings!$B$5+SUM(X$5:X143))</f>
        <v/>
      </c>
      <c r="Z143" s="43" t="str">
        <f aca="false">IF(T143="","",SUM(T$5:T143))</f>
        <v/>
      </c>
      <c r="AA143" s="43" t="str">
        <f aca="false">IF(T143="","",MAX(0,MAX(Z$5:Z143)))</f>
        <v/>
      </c>
      <c r="AB143" s="43" t="str">
        <f aca="false">IF(T143="","",Z143-AA143)</f>
        <v/>
      </c>
      <c r="AC143" s="38" t="str">
        <f aca="false">IF(U143="","",IF(U143="Loss",N(AC142)+1,0))</f>
        <v/>
      </c>
      <c r="AD143" s="40"/>
      <c r="AE143" s="38" t="str">
        <f aca="false">IF(B143="","",IF(AND(M143="Yes",OR(AD143="None",AD143="")),"Yes","No"))</f>
        <v/>
      </c>
      <c r="AF143" s="40"/>
      <c r="AG143" s="40"/>
      <c r="AH143" s="47"/>
      <c r="AI143" s="47"/>
    </row>
    <row r="144" customFormat="false" ht="15" hidden="false" customHeight="false" outlineLevel="0" collapsed="false">
      <c r="A144" s="38" t="str">
        <f aca="false">IF(B144="","",ROW()-4)</f>
        <v/>
      </c>
      <c r="B144" s="39"/>
      <c r="C144" s="38" t="str">
        <f aca="false">IF(B144="","",INT((B144-Settings!$B$4)/7)+1)</f>
        <v/>
      </c>
      <c r="D144" s="40"/>
      <c r="E144" s="40"/>
      <c r="F144" s="40"/>
      <c r="G144" s="40"/>
      <c r="H144" s="40"/>
      <c r="I144" s="40"/>
      <c r="J144" s="40"/>
      <c r="K144" s="40"/>
      <c r="L144" s="40"/>
      <c r="M144" s="38" t="str">
        <f aca="false">IF(B144="","",IF(COUNTIF(H144:L144,"Y")=5,"Yes","No"))</f>
        <v/>
      </c>
      <c r="N144" s="41"/>
      <c r="O144" s="42"/>
      <c r="P144" s="42"/>
      <c r="Q144" s="43" t="str">
        <f aca="false">IF(OR(O144="",P144=""),"",IF(F144="Long",O144+Settings!$B$7*(O144-P144),O144-Settings!$B$7*(P144-O144)))</f>
        <v/>
      </c>
      <c r="R144" s="42"/>
      <c r="S144" s="40"/>
      <c r="T144" s="44" t="str">
        <f aca="false">IF(OR(R144="",O144="",P144="",O144=P144),"",ROUND(IF(F144="Long",(R144-O144)/(O144-P144),(O144-R144)/(P144-O144)),2))</f>
        <v/>
      </c>
      <c r="U144" s="38" t="str">
        <f aca="false">IF(T144="","",IF(T144&gt;=Settings!$B$20,"Win",IF(T144&lt;=-Settings!$B$20,"Loss","BE")))</f>
        <v/>
      </c>
      <c r="V144" s="45" t="str">
        <f aca="false">IF(B144="","",Settings!$B$6)</f>
        <v/>
      </c>
      <c r="W144" s="46" t="str">
        <f aca="false">IF(B144="","",(Settings!$B$5+SUM(X$4:X143))*V144)</f>
        <v/>
      </c>
      <c r="X144" s="46" t="str">
        <f aca="false">IF(T144="","",ROUND(T144*W144,2))</f>
        <v/>
      </c>
      <c r="Y144" s="46" t="str">
        <f aca="false">IF(T144="","",Settings!$B$5+SUM(X$5:X144))</f>
        <v/>
      </c>
      <c r="Z144" s="43" t="str">
        <f aca="false">IF(T144="","",SUM(T$5:T144))</f>
        <v/>
      </c>
      <c r="AA144" s="43" t="str">
        <f aca="false">IF(T144="","",MAX(0,MAX(Z$5:Z144)))</f>
        <v/>
      </c>
      <c r="AB144" s="43" t="str">
        <f aca="false">IF(T144="","",Z144-AA144)</f>
        <v/>
      </c>
      <c r="AC144" s="38" t="str">
        <f aca="false">IF(U144="","",IF(U144="Loss",N(AC143)+1,0))</f>
        <v/>
      </c>
      <c r="AD144" s="40"/>
      <c r="AE144" s="38" t="str">
        <f aca="false">IF(B144="","",IF(AND(M144="Yes",OR(AD144="None",AD144="")),"Yes","No"))</f>
        <v/>
      </c>
      <c r="AF144" s="40"/>
      <c r="AG144" s="40"/>
      <c r="AH144" s="47"/>
      <c r="AI144" s="47"/>
    </row>
    <row r="145" customFormat="false" ht="15" hidden="false" customHeight="false" outlineLevel="0" collapsed="false">
      <c r="A145" s="38" t="str">
        <f aca="false">IF(B145="","",ROW()-4)</f>
        <v/>
      </c>
      <c r="B145" s="39"/>
      <c r="C145" s="38" t="str">
        <f aca="false">IF(B145="","",INT((B145-Settings!$B$4)/7)+1)</f>
        <v/>
      </c>
      <c r="D145" s="40"/>
      <c r="E145" s="40"/>
      <c r="F145" s="40"/>
      <c r="G145" s="40"/>
      <c r="H145" s="40"/>
      <c r="I145" s="40"/>
      <c r="J145" s="40"/>
      <c r="K145" s="40"/>
      <c r="L145" s="40"/>
      <c r="M145" s="38" t="str">
        <f aca="false">IF(B145="","",IF(COUNTIF(H145:L145,"Y")=5,"Yes","No"))</f>
        <v/>
      </c>
      <c r="N145" s="41"/>
      <c r="O145" s="42"/>
      <c r="P145" s="42"/>
      <c r="Q145" s="43" t="str">
        <f aca="false">IF(OR(O145="",P145=""),"",IF(F145="Long",O145+Settings!$B$7*(O145-P145),O145-Settings!$B$7*(P145-O145)))</f>
        <v/>
      </c>
      <c r="R145" s="42"/>
      <c r="S145" s="40"/>
      <c r="T145" s="44" t="str">
        <f aca="false">IF(OR(R145="",O145="",P145="",O145=P145),"",ROUND(IF(F145="Long",(R145-O145)/(O145-P145),(O145-R145)/(P145-O145)),2))</f>
        <v/>
      </c>
      <c r="U145" s="38" t="str">
        <f aca="false">IF(T145="","",IF(T145&gt;=Settings!$B$20,"Win",IF(T145&lt;=-Settings!$B$20,"Loss","BE")))</f>
        <v/>
      </c>
      <c r="V145" s="45" t="str">
        <f aca="false">IF(B145="","",Settings!$B$6)</f>
        <v/>
      </c>
      <c r="W145" s="46" t="str">
        <f aca="false">IF(B145="","",(Settings!$B$5+SUM(X$4:X144))*V145)</f>
        <v/>
      </c>
      <c r="X145" s="46" t="str">
        <f aca="false">IF(T145="","",ROUND(T145*W145,2))</f>
        <v/>
      </c>
      <c r="Y145" s="46" t="str">
        <f aca="false">IF(T145="","",Settings!$B$5+SUM(X$5:X145))</f>
        <v/>
      </c>
      <c r="Z145" s="43" t="str">
        <f aca="false">IF(T145="","",SUM(T$5:T145))</f>
        <v/>
      </c>
      <c r="AA145" s="43" t="str">
        <f aca="false">IF(T145="","",MAX(0,MAX(Z$5:Z145)))</f>
        <v/>
      </c>
      <c r="AB145" s="43" t="str">
        <f aca="false">IF(T145="","",Z145-AA145)</f>
        <v/>
      </c>
      <c r="AC145" s="38" t="str">
        <f aca="false">IF(U145="","",IF(U145="Loss",N(AC144)+1,0))</f>
        <v/>
      </c>
      <c r="AD145" s="40"/>
      <c r="AE145" s="38" t="str">
        <f aca="false">IF(B145="","",IF(AND(M145="Yes",OR(AD145="None",AD145="")),"Yes","No"))</f>
        <v/>
      </c>
      <c r="AF145" s="40"/>
      <c r="AG145" s="40"/>
      <c r="AH145" s="47"/>
      <c r="AI145" s="47"/>
    </row>
    <row r="146" customFormat="false" ht="15" hidden="false" customHeight="false" outlineLevel="0" collapsed="false">
      <c r="A146" s="38" t="str">
        <f aca="false">IF(B146="","",ROW()-4)</f>
        <v/>
      </c>
      <c r="B146" s="39"/>
      <c r="C146" s="38" t="str">
        <f aca="false">IF(B146="","",INT((B146-Settings!$B$4)/7)+1)</f>
        <v/>
      </c>
      <c r="D146" s="40"/>
      <c r="E146" s="40"/>
      <c r="F146" s="40"/>
      <c r="G146" s="40"/>
      <c r="H146" s="40"/>
      <c r="I146" s="40"/>
      <c r="J146" s="40"/>
      <c r="K146" s="40"/>
      <c r="L146" s="40"/>
      <c r="M146" s="38" t="str">
        <f aca="false">IF(B146="","",IF(COUNTIF(H146:L146,"Y")=5,"Yes","No"))</f>
        <v/>
      </c>
      <c r="N146" s="41"/>
      <c r="O146" s="42"/>
      <c r="P146" s="42"/>
      <c r="Q146" s="43" t="str">
        <f aca="false">IF(OR(O146="",P146=""),"",IF(F146="Long",O146+Settings!$B$7*(O146-P146),O146-Settings!$B$7*(P146-O146)))</f>
        <v/>
      </c>
      <c r="R146" s="42"/>
      <c r="S146" s="40"/>
      <c r="T146" s="44" t="str">
        <f aca="false">IF(OR(R146="",O146="",P146="",O146=P146),"",ROUND(IF(F146="Long",(R146-O146)/(O146-P146),(O146-R146)/(P146-O146)),2))</f>
        <v/>
      </c>
      <c r="U146" s="38" t="str">
        <f aca="false">IF(T146="","",IF(T146&gt;=Settings!$B$20,"Win",IF(T146&lt;=-Settings!$B$20,"Loss","BE")))</f>
        <v/>
      </c>
      <c r="V146" s="45" t="str">
        <f aca="false">IF(B146="","",Settings!$B$6)</f>
        <v/>
      </c>
      <c r="W146" s="46" t="str">
        <f aca="false">IF(B146="","",(Settings!$B$5+SUM(X$4:X145))*V146)</f>
        <v/>
      </c>
      <c r="X146" s="46" t="str">
        <f aca="false">IF(T146="","",ROUND(T146*W146,2))</f>
        <v/>
      </c>
      <c r="Y146" s="46" t="str">
        <f aca="false">IF(T146="","",Settings!$B$5+SUM(X$5:X146))</f>
        <v/>
      </c>
      <c r="Z146" s="43" t="str">
        <f aca="false">IF(T146="","",SUM(T$5:T146))</f>
        <v/>
      </c>
      <c r="AA146" s="43" t="str">
        <f aca="false">IF(T146="","",MAX(0,MAX(Z$5:Z146)))</f>
        <v/>
      </c>
      <c r="AB146" s="43" t="str">
        <f aca="false">IF(T146="","",Z146-AA146)</f>
        <v/>
      </c>
      <c r="AC146" s="38" t="str">
        <f aca="false">IF(U146="","",IF(U146="Loss",N(AC145)+1,0))</f>
        <v/>
      </c>
      <c r="AD146" s="40"/>
      <c r="AE146" s="38" t="str">
        <f aca="false">IF(B146="","",IF(AND(M146="Yes",OR(AD146="None",AD146="")),"Yes","No"))</f>
        <v/>
      </c>
      <c r="AF146" s="40"/>
      <c r="AG146" s="40"/>
      <c r="AH146" s="47"/>
      <c r="AI146" s="47"/>
    </row>
    <row r="147" customFormat="false" ht="15" hidden="false" customHeight="false" outlineLevel="0" collapsed="false">
      <c r="A147" s="38" t="str">
        <f aca="false">IF(B147="","",ROW()-4)</f>
        <v/>
      </c>
      <c r="B147" s="39"/>
      <c r="C147" s="38" t="str">
        <f aca="false">IF(B147="","",INT((B147-Settings!$B$4)/7)+1)</f>
        <v/>
      </c>
      <c r="D147" s="40"/>
      <c r="E147" s="40"/>
      <c r="F147" s="40"/>
      <c r="G147" s="40"/>
      <c r="H147" s="40"/>
      <c r="I147" s="40"/>
      <c r="J147" s="40"/>
      <c r="K147" s="40"/>
      <c r="L147" s="40"/>
      <c r="M147" s="38" t="str">
        <f aca="false">IF(B147="","",IF(COUNTIF(H147:L147,"Y")=5,"Yes","No"))</f>
        <v/>
      </c>
      <c r="N147" s="41"/>
      <c r="O147" s="42"/>
      <c r="P147" s="42"/>
      <c r="Q147" s="43" t="str">
        <f aca="false">IF(OR(O147="",P147=""),"",IF(F147="Long",O147+Settings!$B$7*(O147-P147),O147-Settings!$B$7*(P147-O147)))</f>
        <v/>
      </c>
      <c r="R147" s="42"/>
      <c r="S147" s="40"/>
      <c r="T147" s="44" t="str">
        <f aca="false">IF(OR(R147="",O147="",P147="",O147=P147),"",ROUND(IF(F147="Long",(R147-O147)/(O147-P147),(O147-R147)/(P147-O147)),2))</f>
        <v/>
      </c>
      <c r="U147" s="38" t="str">
        <f aca="false">IF(T147="","",IF(T147&gt;=Settings!$B$20,"Win",IF(T147&lt;=-Settings!$B$20,"Loss","BE")))</f>
        <v/>
      </c>
      <c r="V147" s="45" t="str">
        <f aca="false">IF(B147="","",Settings!$B$6)</f>
        <v/>
      </c>
      <c r="W147" s="46" t="str">
        <f aca="false">IF(B147="","",(Settings!$B$5+SUM(X$4:X146))*V147)</f>
        <v/>
      </c>
      <c r="X147" s="46" t="str">
        <f aca="false">IF(T147="","",ROUND(T147*W147,2))</f>
        <v/>
      </c>
      <c r="Y147" s="46" t="str">
        <f aca="false">IF(T147="","",Settings!$B$5+SUM(X$5:X147))</f>
        <v/>
      </c>
      <c r="Z147" s="43" t="str">
        <f aca="false">IF(T147="","",SUM(T$5:T147))</f>
        <v/>
      </c>
      <c r="AA147" s="43" t="str">
        <f aca="false">IF(T147="","",MAX(0,MAX(Z$5:Z147)))</f>
        <v/>
      </c>
      <c r="AB147" s="43" t="str">
        <f aca="false">IF(T147="","",Z147-AA147)</f>
        <v/>
      </c>
      <c r="AC147" s="38" t="str">
        <f aca="false">IF(U147="","",IF(U147="Loss",N(AC146)+1,0))</f>
        <v/>
      </c>
      <c r="AD147" s="40"/>
      <c r="AE147" s="38" t="str">
        <f aca="false">IF(B147="","",IF(AND(M147="Yes",OR(AD147="None",AD147="")),"Yes","No"))</f>
        <v/>
      </c>
      <c r="AF147" s="40"/>
      <c r="AG147" s="40"/>
      <c r="AH147" s="47"/>
      <c r="AI147" s="47"/>
    </row>
    <row r="148" customFormat="false" ht="15" hidden="false" customHeight="false" outlineLevel="0" collapsed="false">
      <c r="A148" s="38" t="str">
        <f aca="false">IF(B148="","",ROW()-4)</f>
        <v/>
      </c>
      <c r="B148" s="39"/>
      <c r="C148" s="38" t="str">
        <f aca="false">IF(B148="","",INT((B148-Settings!$B$4)/7)+1)</f>
        <v/>
      </c>
      <c r="D148" s="40"/>
      <c r="E148" s="40"/>
      <c r="F148" s="40"/>
      <c r="G148" s="40"/>
      <c r="H148" s="40"/>
      <c r="I148" s="40"/>
      <c r="J148" s="40"/>
      <c r="K148" s="40"/>
      <c r="L148" s="40"/>
      <c r="M148" s="38" t="str">
        <f aca="false">IF(B148="","",IF(COUNTIF(H148:L148,"Y")=5,"Yes","No"))</f>
        <v/>
      </c>
      <c r="N148" s="41"/>
      <c r="O148" s="42"/>
      <c r="P148" s="42"/>
      <c r="Q148" s="43" t="str">
        <f aca="false">IF(OR(O148="",P148=""),"",IF(F148="Long",O148+Settings!$B$7*(O148-P148),O148-Settings!$B$7*(P148-O148)))</f>
        <v/>
      </c>
      <c r="R148" s="42"/>
      <c r="S148" s="40"/>
      <c r="T148" s="44" t="str">
        <f aca="false">IF(OR(R148="",O148="",P148="",O148=P148),"",ROUND(IF(F148="Long",(R148-O148)/(O148-P148),(O148-R148)/(P148-O148)),2))</f>
        <v/>
      </c>
      <c r="U148" s="38" t="str">
        <f aca="false">IF(T148="","",IF(T148&gt;=Settings!$B$20,"Win",IF(T148&lt;=-Settings!$B$20,"Loss","BE")))</f>
        <v/>
      </c>
      <c r="V148" s="45" t="str">
        <f aca="false">IF(B148="","",Settings!$B$6)</f>
        <v/>
      </c>
      <c r="W148" s="46" t="str">
        <f aca="false">IF(B148="","",(Settings!$B$5+SUM(X$4:X147))*V148)</f>
        <v/>
      </c>
      <c r="X148" s="46" t="str">
        <f aca="false">IF(T148="","",ROUND(T148*W148,2))</f>
        <v/>
      </c>
      <c r="Y148" s="46" t="str">
        <f aca="false">IF(T148="","",Settings!$B$5+SUM(X$5:X148))</f>
        <v/>
      </c>
      <c r="Z148" s="43" t="str">
        <f aca="false">IF(T148="","",SUM(T$5:T148))</f>
        <v/>
      </c>
      <c r="AA148" s="43" t="str">
        <f aca="false">IF(T148="","",MAX(0,MAX(Z$5:Z148)))</f>
        <v/>
      </c>
      <c r="AB148" s="43" t="str">
        <f aca="false">IF(T148="","",Z148-AA148)</f>
        <v/>
      </c>
      <c r="AC148" s="38" t="str">
        <f aca="false">IF(U148="","",IF(U148="Loss",N(AC147)+1,0))</f>
        <v/>
      </c>
      <c r="AD148" s="40"/>
      <c r="AE148" s="38" t="str">
        <f aca="false">IF(B148="","",IF(AND(M148="Yes",OR(AD148="None",AD148="")),"Yes","No"))</f>
        <v/>
      </c>
      <c r="AF148" s="40"/>
      <c r="AG148" s="40"/>
      <c r="AH148" s="47"/>
      <c r="AI148" s="47"/>
    </row>
    <row r="149" customFormat="false" ht="15" hidden="false" customHeight="false" outlineLevel="0" collapsed="false">
      <c r="A149" s="38" t="str">
        <f aca="false">IF(B149="","",ROW()-4)</f>
        <v/>
      </c>
      <c r="B149" s="39"/>
      <c r="C149" s="38" t="str">
        <f aca="false">IF(B149="","",INT((B149-Settings!$B$4)/7)+1)</f>
        <v/>
      </c>
      <c r="D149" s="40"/>
      <c r="E149" s="40"/>
      <c r="F149" s="40"/>
      <c r="G149" s="40"/>
      <c r="H149" s="40"/>
      <c r="I149" s="40"/>
      <c r="J149" s="40"/>
      <c r="K149" s="40"/>
      <c r="L149" s="40"/>
      <c r="M149" s="38" t="str">
        <f aca="false">IF(B149="","",IF(COUNTIF(H149:L149,"Y")=5,"Yes","No"))</f>
        <v/>
      </c>
      <c r="N149" s="41"/>
      <c r="O149" s="42"/>
      <c r="P149" s="42"/>
      <c r="Q149" s="43" t="str">
        <f aca="false">IF(OR(O149="",P149=""),"",IF(F149="Long",O149+Settings!$B$7*(O149-P149),O149-Settings!$B$7*(P149-O149)))</f>
        <v/>
      </c>
      <c r="R149" s="42"/>
      <c r="S149" s="40"/>
      <c r="T149" s="44" t="str">
        <f aca="false">IF(OR(R149="",O149="",P149="",O149=P149),"",ROUND(IF(F149="Long",(R149-O149)/(O149-P149),(O149-R149)/(P149-O149)),2))</f>
        <v/>
      </c>
      <c r="U149" s="38" t="str">
        <f aca="false">IF(T149="","",IF(T149&gt;=Settings!$B$20,"Win",IF(T149&lt;=-Settings!$B$20,"Loss","BE")))</f>
        <v/>
      </c>
      <c r="V149" s="45" t="str">
        <f aca="false">IF(B149="","",Settings!$B$6)</f>
        <v/>
      </c>
      <c r="W149" s="46" t="str">
        <f aca="false">IF(B149="","",(Settings!$B$5+SUM(X$4:X148))*V149)</f>
        <v/>
      </c>
      <c r="X149" s="46" t="str">
        <f aca="false">IF(T149="","",ROUND(T149*W149,2))</f>
        <v/>
      </c>
      <c r="Y149" s="46" t="str">
        <f aca="false">IF(T149="","",Settings!$B$5+SUM(X$5:X149))</f>
        <v/>
      </c>
      <c r="Z149" s="43" t="str">
        <f aca="false">IF(T149="","",SUM(T$5:T149))</f>
        <v/>
      </c>
      <c r="AA149" s="43" t="str">
        <f aca="false">IF(T149="","",MAX(0,MAX(Z$5:Z149)))</f>
        <v/>
      </c>
      <c r="AB149" s="43" t="str">
        <f aca="false">IF(T149="","",Z149-AA149)</f>
        <v/>
      </c>
      <c r="AC149" s="38" t="str">
        <f aca="false">IF(U149="","",IF(U149="Loss",N(AC148)+1,0))</f>
        <v/>
      </c>
      <c r="AD149" s="40"/>
      <c r="AE149" s="38" t="str">
        <f aca="false">IF(B149="","",IF(AND(M149="Yes",OR(AD149="None",AD149="")),"Yes","No"))</f>
        <v/>
      </c>
      <c r="AF149" s="40"/>
      <c r="AG149" s="40"/>
      <c r="AH149" s="47"/>
      <c r="AI149" s="47"/>
    </row>
    <row r="150" customFormat="false" ht="15" hidden="false" customHeight="false" outlineLevel="0" collapsed="false">
      <c r="A150" s="38" t="str">
        <f aca="false">IF(B150="","",ROW()-4)</f>
        <v/>
      </c>
      <c r="B150" s="39"/>
      <c r="C150" s="38" t="str">
        <f aca="false">IF(B150="","",INT((B150-Settings!$B$4)/7)+1)</f>
        <v/>
      </c>
      <c r="D150" s="40"/>
      <c r="E150" s="40"/>
      <c r="F150" s="40"/>
      <c r="G150" s="40"/>
      <c r="H150" s="40"/>
      <c r="I150" s="40"/>
      <c r="J150" s="40"/>
      <c r="K150" s="40"/>
      <c r="L150" s="40"/>
      <c r="M150" s="38" t="str">
        <f aca="false">IF(B150="","",IF(COUNTIF(H150:L150,"Y")=5,"Yes","No"))</f>
        <v/>
      </c>
      <c r="N150" s="41"/>
      <c r="O150" s="42"/>
      <c r="P150" s="42"/>
      <c r="Q150" s="43" t="str">
        <f aca="false">IF(OR(O150="",P150=""),"",IF(F150="Long",O150+Settings!$B$7*(O150-P150),O150-Settings!$B$7*(P150-O150)))</f>
        <v/>
      </c>
      <c r="R150" s="42"/>
      <c r="S150" s="40"/>
      <c r="T150" s="44" t="str">
        <f aca="false">IF(OR(R150="",O150="",P150="",O150=P150),"",ROUND(IF(F150="Long",(R150-O150)/(O150-P150),(O150-R150)/(P150-O150)),2))</f>
        <v/>
      </c>
      <c r="U150" s="38" t="str">
        <f aca="false">IF(T150="","",IF(T150&gt;=Settings!$B$20,"Win",IF(T150&lt;=-Settings!$B$20,"Loss","BE")))</f>
        <v/>
      </c>
      <c r="V150" s="45" t="str">
        <f aca="false">IF(B150="","",Settings!$B$6)</f>
        <v/>
      </c>
      <c r="W150" s="46" t="str">
        <f aca="false">IF(B150="","",(Settings!$B$5+SUM(X$4:X149))*V150)</f>
        <v/>
      </c>
      <c r="X150" s="46" t="str">
        <f aca="false">IF(T150="","",ROUND(T150*W150,2))</f>
        <v/>
      </c>
      <c r="Y150" s="46" t="str">
        <f aca="false">IF(T150="","",Settings!$B$5+SUM(X$5:X150))</f>
        <v/>
      </c>
      <c r="Z150" s="43" t="str">
        <f aca="false">IF(T150="","",SUM(T$5:T150))</f>
        <v/>
      </c>
      <c r="AA150" s="43" t="str">
        <f aca="false">IF(T150="","",MAX(0,MAX(Z$5:Z150)))</f>
        <v/>
      </c>
      <c r="AB150" s="43" t="str">
        <f aca="false">IF(T150="","",Z150-AA150)</f>
        <v/>
      </c>
      <c r="AC150" s="38" t="str">
        <f aca="false">IF(U150="","",IF(U150="Loss",N(AC149)+1,0))</f>
        <v/>
      </c>
      <c r="AD150" s="40"/>
      <c r="AE150" s="38" t="str">
        <f aca="false">IF(B150="","",IF(AND(M150="Yes",OR(AD150="None",AD150="")),"Yes","No"))</f>
        <v/>
      </c>
      <c r="AF150" s="40"/>
      <c r="AG150" s="40"/>
      <c r="AH150" s="47"/>
      <c r="AI150" s="47"/>
    </row>
    <row r="151" customFormat="false" ht="15" hidden="false" customHeight="false" outlineLevel="0" collapsed="false">
      <c r="A151" s="38" t="str">
        <f aca="false">IF(B151="","",ROW()-4)</f>
        <v/>
      </c>
      <c r="B151" s="39"/>
      <c r="C151" s="38" t="str">
        <f aca="false">IF(B151="","",INT((B151-Settings!$B$4)/7)+1)</f>
        <v/>
      </c>
      <c r="D151" s="40"/>
      <c r="E151" s="40"/>
      <c r="F151" s="40"/>
      <c r="G151" s="40"/>
      <c r="H151" s="40"/>
      <c r="I151" s="40"/>
      <c r="J151" s="40"/>
      <c r="K151" s="40"/>
      <c r="L151" s="40"/>
      <c r="M151" s="38" t="str">
        <f aca="false">IF(B151="","",IF(COUNTIF(H151:L151,"Y")=5,"Yes","No"))</f>
        <v/>
      </c>
      <c r="N151" s="41"/>
      <c r="O151" s="42"/>
      <c r="P151" s="42"/>
      <c r="Q151" s="43" t="str">
        <f aca="false">IF(OR(O151="",P151=""),"",IF(F151="Long",O151+Settings!$B$7*(O151-P151),O151-Settings!$B$7*(P151-O151)))</f>
        <v/>
      </c>
      <c r="R151" s="42"/>
      <c r="S151" s="40"/>
      <c r="T151" s="44" t="str">
        <f aca="false">IF(OR(R151="",O151="",P151="",O151=P151),"",ROUND(IF(F151="Long",(R151-O151)/(O151-P151),(O151-R151)/(P151-O151)),2))</f>
        <v/>
      </c>
      <c r="U151" s="38" t="str">
        <f aca="false">IF(T151="","",IF(T151&gt;=Settings!$B$20,"Win",IF(T151&lt;=-Settings!$B$20,"Loss","BE")))</f>
        <v/>
      </c>
      <c r="V151" s="45" t="str">
        <f aca="false">IF(B151="","",Settings!$B$6)</f>
        <v/>
      </c>
      <c r="W151" s="46" t="str">
        <f aca="false">IF(B151="","",(Settings!$B$5+SUM(X$4:X150))*V151)</f>
        <v/>
      </c>
      <c r="X151" s="46" t="str">
        <f aca="false">IF(T151="","",ROUND(T151*W151,2))</f>
        <v/>
      </c>
      <c r="Y151" s="46" t="str">
        <f aca="false">IF(T151="","",Settings!$B$5+SUM(X$5:X151))</f>
        <v/>
      </c>
      <c r="Z151" s="43" t="str">
        <f aca="false">IF(T151="","",SUM(T$5:T151))</f>
        <v/>
      </c>
      <c r="AA151" s="43" t="str">
        <f aca="false">IF(T151="","",MAX(0,MAX(Z$5:Z151)))</f>
        <v/>
      </c>
      <c r="AB151" s="43" t="str">
        <f aca="false">IF(T151="","",Z151-AA151)</f>
        <v/>
      </c>
      <c r="AC151" s="38" t="str">
        <f aca="false">IF(U151="","",IF(U151="Loss",N(AC150)+1,0))</f>
        <v/>
      </c>
      <c r="AD151" s="40"/>
      <c r="AE151" s="38" t="str">
        <f aca="false">IF(B151="","",IF(AND(M151="Yes",OR(AD151="None",AD151="")),"Yes","No"))</f>
        <v/>
      </c>
      <c r="AF151" s="40"/>
      <c r="AG151" s="40"/>
      <c r="AH151" s="47"/>
      <c r="AI151" s="47"/>
    </row>
    <row r="152" customFormat="false" ht="15" hidden="false" customHeight="false" outlineLevel="0" collapsed="false">
      <c r="A152" s="38" t="str">
        <f aca="false">IF(B152="","",ROW()-4)</f>
        <v/>
      </c>
      <c r="B152" s="39"/>
      <c r="C152" s="38" t="str">
        <f aca="false">IF(B152="","",INT((B152-Settings!$B$4)/7)+1)</f>
        <v/>
      </c>
      <c r="D152" s="40"/>
      <c r="E152" s="40"/>
      <c r="F152" s="40"/>
      <c r="G152" s="40"/>
      <c r="H152" s="40"/>
      <c r="I152" s="40"/>
      <c r="J152" s="40"/>
      <c r="K152" s="40"/>
      <c r="L152" s="40"/>
      <c r="M152" s="38" t="str">
        <f aca="false">IF(B152="","",IF(COUNTIF(H152:L152,"Y")=5,"Yes","No"))</f>
        <v/>
      </c>
      <c r="N152" s="41"/>
      <c r="O152" s="42"/>
      <c r="P152" s="42"/>
      <c r="Q152" s="43" t="str">
        <f aca="false">IF(OR(O152="",P152=""),"",IF(F152="Long",O152+Settings!$B$7*(O152-P152),O152-Settings!$B$7*(P152-O152)))</f>
        <v/>
      </c>
      <c r="R152" s="42"/>
      <c r="S152" s="40"/>
      <c r="T152" s="44" t="str">
        <f aca="false">IF(OR(R152="",O152="",P152="",O152=P152),"",ROUND(IF(F152="Long",(R152-O152)/(O152-P152),(O152-R152)/(P152-O152)),2))</f>
        <v/>
      </c>
      <c r="U152" s="38" t="str">
        <f aca="false">IF(T152="","",IF(T152&gt;=Settings!$B$20,"Win",IF(T152&lt;=-Settings!$B$20,"Loss","BE")))</f>
        <v/>
      </c>
      <c r="V152" s="45" t="str">
        <f aca="false">IF(B152="","",Settings!$B$6)</f>
        <v/>
      </c>
      <c r="W152" s="46" t="str">
        <f aca="false">IF(B152="","",(Settings!$B$5+SUM(X$4:X151))*V152)</f>
        <v/>
      </c>
      <c r="X152" s="46" t="str">
        <f aca="false">IF(T152="","",ROUND(T152*W152,2))</f>
        <v/>
      </c>
      <c r="Y152" s="46" t="str">
        <f aca="false">IF(T152="","",Settings!$B$5+SUM(X$5:X152))</f>
        <v/>
      </c>
      <c r="Z152" s="43" t="str">
        <f aca="false">IF(T152="","",SUM(T$5:T152))</f>
        <v/>
      </c>
      <c r="AA152" s="43" t="str">
        <f aca="false">IF(T152="","",MAX(0,MAX(Z$5:Z152)))</f>
        <v/>
      </c>
      <c r="AB152" s="43" t="str">
        <f aca="false">IF(T152="","",Z152-AA152)</f>
        <v/>
      </c>
      <c r="AC152" s="38" t="str">
        <f aca="false">IF(U152="","",IF(U152="Loss",N(AC151)+1,0))</f>
        <v/>
      </c>
      <c r="AD152" s="40"/>
      <c r="AE152" s="38" t="str">
        <f aca="false">IF(B152="","",IF(AND(M152="Yes",OR(AD152="None",AD152="")),"Yes","No"))</f>
        <v/>
      </c>
      <c r="AF152" s="40"/>
      <c r="AG152" s="40"/>
      <c r="AH152" s="47"/>
      <c r="AI152" s="47"/>
    </row>
    <row r="153" customFormat="false" ht="15" hidden="false" customHeight="false" outlineLevel="0" collapsed="false">
      <c r="A153" s="38" t="str">
        <f aca="false">IF(B153="","",ROW()-4)</f>
        <v/>
      </c>
      <c r="B153" s="39"/>
      <c r="C153" s="38" t="str">
        <f aca="false">IF(B153="","",INT((B153-Settings!$B$4)/7)+1)</f>
        <v/>
      </c>
      <c r="D153" s="40"/>
      <c r="E153" s="40"/>
      <c r="F153" s="40"/>
      <c r="G153" s="40"/>
      <c r="H153" s="40"/>
      <c r="I153" s="40"/>
      <c r="J153" s="40"/>
      <c r="K153" s="40"/>
      <c r="L153" s="40"/>
      <c r="M153" s="38" t="str">
        <f aca="false">IF(B153="","",IF(COUNTIF(H153:L153,"Y")=5,"Yes","No"))</f>
        <v/>
      </c>
      <c r="N153" s="41"/>
      <c r="O153" s="42"/>
      <c r="P153" s="42"/>
      <c r="Q153" s="43" t="str">
        <f aca="false">IF(OR(O153="",P153=""),"",IF(F153="Long",O153+Settings!$B$7*(O153-P153),O153-Settings!$B$7*(P153-O153)))</f>
        <v/>
      </c>
      <c r="R153" s="42"/>
      <c r="S153" s="40"/>
      <c r="T153" s="44" t="str">
        <f aca="false">IF(OR(R153="",O153="",P153="",O153=P153),"",ROUND(IF(F153="Long",(R153-O153)/(O153-P153),(O153-R153)/(P153-O153)),2))</f>
        <v/>
      </c>
      <c r="U153" s="38" t="str">
        <f aca="false">IF(T153="","",IF(T153&gt;=Settings!$B$20,"Win",IF(T153&lt;=-Settings!$B$20,"Loss","BE")))</f>
        <v/>
      </c>
      <c r="V153" s="45" t="str">
        <f aca="false">IF(B153="","",Settings!$B$6)</f>
        <v/>
      </c>
      <c r="W153" s="46" t="str">
        <f aca="false">IF(B153="","",(Settings!$B$5+SUM(X$4:X152))*V153)</f>
        <v/>
      </c>
      <c r="X153" s="46" t="str">
        <f aca="false">IF(T153="","",ROUND(T153*W153,2))</f>
        <v/>
      </c>
      <c r="Y153" s="46" t="str">
        <f aca="false">IF(T153="","",Settings!$B$5+SUM(X$5:X153))</f>
        <v/>
      </c>
      <c r="Z153" s="43" t="str">
        <f aca="false">IF(T153="","",SUM(T$5:T153))</f>
        <v/>
      </c>
      <c r="AA153" s="43" t="str">
        <f aca="false">IF(T153="","",MAX(0,MAX(Z$5:Z153)))</f>
        <v/>
      </c>
      <c r="AB153" s="43" t="str">
        <f aca="false">IF(T153="","",Z153-AA153)</f>
        <v/>
      </c>
      <c r="AC153" s="38" t="str">
        <f aca="false">IF(U153="","",IF(U153="Loss",N(AC152)+1,0))</f>
        <v/>
      </c>
      <c r="AD153" s="40"/>
      <c r="AE153" s="38" t="str">
        <f aca="false">IF(B153="","",IF(AND(M153="Yes",OR(AD153="None",AD153="")),"Yes","No"))</f>
        <v/>
      </c>
      <c r="AF153" s="40"/>
      <c r="AG153" s="40"/>
      <c r="AH153" s="47"/>
      <c r="AI153" s="47"/>
    </row>
    <row r="154" customFormat="false" ht="15" hidden="false" customHeight="false" outlineLevel="0" collapsed="false">
      <c r="A154" s="38" t="str">
        <f aca="false">IF(B154="","",ROW()-4)</f>
        <v/>
      </c>
      <c r="B154" s="39"/>
      <c r="C154" s="38" t="str">
        <f aca="false">IF(B154="","",INT((B154-Settings!$B$4)/7)+1)</f>
        <v/>
      </c>
      <c r="D154" s="40"/>
      <c r="E154" s="40"/>
      <c r="F154" s="40"/>
      <c r="G154" s="40"/>
      <c r="H154" s="40"/>
      <c r="I154" s="40"/>
      <c r="J154" s="40"/>
      <c r="K154" s="40"/>
      <c r="L154" s="40"/>
      <c r="M154" s="38" t="str">
        <f aca="false">IF(B154="","",IF(COUNTIF(H154:L154,"Y")=5,"Yes","No"))</f>
        <v/>
      </c>
      <c r="N154" s="41"/>
      <c r="O154" s="42"/>
      <c r="P154" s="42"/>
      <c r="Q154" s="43" t="str">
        <f aca="false">IF(OR(O154="",P154=""),"",IF(F154="Long",O154+Settings!$B$7*(O154-P154),O154-Settings!$B$7*(P154-O154)))</f>
        <v/>
      </c>
      <c r="R154" s="42"/>
      <c r="S154" s="40"/>
      <c r="T154" s="44" t="str">
        <f aca="false">IF(OR(R154="",O154="",P154="",O154=P154),"",ROUND(IF(F154="Long",(R154-O154)/(O154-P154),(O154-R154)/(P154-O154)),2))</f>
        <v/>
      </c>
      <c r="U154" s="38" t="str">
        <f aca="false">IF(T154="","",IF(T154&gt;=Settings!$B$20,"Win",IF(T154&lt;=-Settings!$B$20,"Loss","BE")))</f>
        <v/>
      </c>
      <c r="V154" s="45" t="str">
        <f aca="false">IF(B154="","",Settings!$B$6)</f>
        <v/>
      </c>
      <c r="W154" s="46" t="str">
        <f aca="false">IF(B154="","",(Settings!$B$5+SUM(X$4:X153))*V154)</f>
        <v/>
      </c>
      <c r="X154" s="46" t="str">
        <f aca="false">IF(T154="","",ROUND(T154*W154,2))</f>
        <v/>
      </c>
      <c r="Y154" s="46" t="str">
        <f aca="false">IF(T154="","",Settings!$B$5+SUM(X$5:X154))</f>
        <v/>
      </c>
      <c r="Z154" s="43" t="str">
        <f aca="false">IF(T154="","",SUM(T$5:T154))</f>
        <v/>
      </c>
      <c r="AA154" s="43" t="str">
        <f aca="false">IF(T154="","",MAX(0,MAX(Z$5:Z154)))</f>
        <v/>
      </c>
      <c r="AB154" s="43" t="str">
        <f aca="false">IF(T154="","",Z154-AA154)</f>
        <v/>
      </c>
      <c r="AC154" s="38" t="str">
        <f aca="false">IF(U154="","",IF(U154="Loss",N(AC153)+1,0))</f>
        <v/>
      </c>
      <c r="AD154" s="40"/>
      <c r="AE154" s="38" t="str">
        <f aca="false">IF(B154="","",IF(AND(M154="Yes",OR(AD154="None",AD154="")),"Yes","No"))</f>
        <v/>
      </c>
      <c r="AF154" s="40"/>
      <c r="AG154" s="40"/>
      <c r="AH154" s="47"/>
      <c r="AI154" s="47"/>
    </row>
    <row r="155" customFormat="false" ht="15" hidden="false" customHeight="false" outlineLevel="0" collapsed="false">
      <c r="A155" s="38" t="str">
        <f aca="false">IF(B155="","",ROW()-4)</f>
        <v/>
      </c>
      <c r="B155" s="39"/>
      <c r="C155" s="38" t="str">
        <f aca="false">IF(B155="","",INT((B155-Settings!$B$4)/7)+1)</f>
        <v/>
      </c>
      <c r="D155" s="40"/>
      <c r="E155" s="40"/>
      <c r="F155" s="40"/>
      <c r="G155" s="40"/>
      <c r="H155" s="40"/>
      <c r="I155" s="40"/>
      <c r="J155" s="40"/>
      <c r="K155" s="40"/>
      <c r="L155" s="40"/>
      <c r="M155" s="38" t="str">
        <f aca="false">IF(B155="","",IF(COUNTIF(H155:L155,"Y")=5,"Yes","No"))</f>
        <v/>
      </c>
      <c r="N155" s="41"/>
      <c r="O155" s="42"/>
      <c r="P155" s="42"/>
      <c r="Q155" s="43" t="str">
        <f aca="false">IF(OR(O155="",P155=""),"",IF(F155="Long",O155+Settings!$B$7*(O155-P155),O155-Settings!$B$7*(P155-O155)))</f>
        <v/>
      </c>
      <c r="R155" s="42"/>
      <c r="S155" s="40"/>
      <c r="T155" s="44" t="str">
        <f aca="false">IF(OR(R155="",O155="",P155="",O155=P155),"",ROUND(IF(F155="Long",(R155-O155)/(O155-P155),(O155-R155)/(P155-O155)),2))</f>
        <v/>
      </c>
      <c r="U155" s="38" t="str">
        <f aca="false">IF(T155="","",IF(T155&gt;=Settings!$B$20,"Win",IF(T155&lt;=-Settings!$B$20,"Loss","BE")))</f>
        <v/>
      </c>
      <c r="V155" s="45" t="str">
        <f aca="false">IF(B155="","",Settings!$B$6)</f>
        <v/>
      </c>
      <c r="W155" s="46" t="str">
        <f aca="false">IF(B155="","",(Settings!$B$5+SUM(X$4:X154))*V155)</f>
        <v/>
      </c>
      <c r="X155" s="46" t="str">
        <f aca="false">IF(T155="","",ROUND(T155*W155,2))</f>
        <v/>
      </c>
      <c r="Y155" s="46" t="str">
        <f aca="false">IF(T155="","",Settings!$B$5+SUM(X$5:X155))</f>
        <v/>
      </c>
      <c r="Z155" s="43" t="str">
        <f aca="false">IF(T155="","",SUM(T$5:T155))</f>
        <v/>
      </c>
      <c r="AA155" s="43" t="str">
        <f aca="false">IF(T155="","",MAX(0,MAX(Z$5:Z155)))</f>
        <v/>
      </c>
      <c r="AB155" s="43" t="str">
        <f aca="false">IF(T155="","",Z155-AA155)</f>
        <v/>
      </c>
      <c r="AC155" s="38" t="str">
        <f aca="false">IF(U155="","",IF(U155="Loss",N(AC154)+1,0))</f>
        <v/>
      </c>
      <c r="AD155" s="40"/>
      <c r="AE155" s="38" t="str">
        <f aca="false">IF(B155="","",IF(AND(M155="Yes",OR(AD155="None",AD155="")),"Yes","No"))</f>
        <v/>
      </c>
      <c r="AF155" s="40"/>
      <c r="AG155" s="40"/>
      <c r="AH155" s="47"/>
      <c r="AI155" s="47"/>
    </row>
    <row r="156" customFormat="false" ht="15" hidden="false" customHeight="false" outlineLevel="0" collapsed="false">
      <c r="A156" s="38" t="str">
        <f aca="false">IF(B156="","",ROW()-4)</f>
        <v/>
      </c>
      <c r="B156" s="39"/>
      <c r="C156" s="38" t="str">
        <f aca="false">IF(B156="","",INT((B156-Settings!$B$4)/7)+1)</f>
        <v/>
      </c>
      <c r="D156" s="40"/>
      <c r="E156" s="40"/>
      <c r="F156" s="40"/>
      <c r="G156" s="40"/>
      <c r="H156" s="40"/>
      <c r="I156" s="40"/>
      <c r="J156" s="40"/>
      <c r="K156" s="40"/>
      <c r="L156" s="40"/>
      <c r="M156" s="38" t="str">
        <f aca="false">IF(B156="","",IF(COUNTIF(H156:L156,"Y")=5,"Yes","No"))</f>
        <v/>
      </c>
      <c r="N156" s="41"/>
      <c r="O156" s="42"/>
      <c r="P156" s="42"/>
      <c r="Q156" s="43" t="str">
        <f aca="false">IF(OR(O156="",P156=""),"",IF(F156="Long",O156+Settings!$B$7*(O156-P156),O156-Settings!$B$7*(P156-O156)))</f>
        <v/>
      </c>
      <c r="R156" s="42"/>
      <c r="S156" s="40"/>
      <c r="T156" s="44" t="str">
        <f aca="false">IF(OR(R156="",O156="",P156="",O156=P156),"",ROUND(IF(F156="Long",(R156-O156)/(O156-P156),(O156-R156)/(P156-O156)),2))</f>
        <v/>
      </c>
      <c r="U156" s="38" t="str">
        <f aca="false">IF(T156="","",IF(T156&gt;=Settings!$B$20,"Win",IF(T156&lt;=-Settings!$B$20,"Loss","BE")))</f>
        <v/>
      </c>
      <c r="V156" s="45" t="str">
        <f aca="false">IF(B156="","",Settings!$B$6)</f>
        <v/>
      </c>
      <c r="W156" s="46" t="str">
        <f aca="false">IF(B156="","",(Settings!$B$5+SUM(X$4:X155))*V156)</f>
        <v/>
      </c>
      <c r="X156" s="46" t="str">
        <f aca="false">IF(T156="","",ROUND(T156*W156,2))</f>
        <v/>
      </c>
      <c r="Y156" s="46" t="str">
        <f aca="false">IF(T156="","",Settings!$B$5+SUM(X$5:X156))</f>
        <v/>
      </c>
      <c r="Z156" s="43" t="str">
        <f aca="false">IF(T156="","",SUM(T$5:T156))</f>
        <v/>
      </c>
      <c r="AA156" s="43" t="str">
        <f aca="false">IF(T156="","",MAX(0,MAX(Z$5:Z156)))</f>
        <v/>
      </c>
      <c r="AB156" s="43" t="str">
        <f aca="false">IF(T156="","",Z156-AA156)</f>
        <v/>
      </c>
      <c r="AC156" s="38" t="str">
        <f aca="false">IF(U156="","",IF(U156="Loss",N(AC155)+1,0))</f>
        <v/>
      </c>
      <c r="AD156" s="40"/>
      <c r="AE156" s="38" t="str">
        <f aca="false">IF(B156="","",IF(AND(M156="Yes",OR(AD156="None",AD156="")),"Yes","No"))</f>
        <v/>
      </c>
      <c r="AF156" s="40"/>
      <c r="AG156" s="40"/>
      <c r="AH156" s="47"/>
      <c r="AI156" s="47"/>
    </row>
    <row r="157" customFormat="false" ht="15" hidden="false" customHeight="false" outlineLevel="0" collapsed="false">
      <c r="A157" s="38" t="str">
        <f aca="false">IF(B157="","",ROW()-4)</f>
        <v/>
      </c>
      <c r="B157" s="39"/>
      <c r="C157" s="38" t="str">
        <f aca="false">IF(B157="","",INT((B157-Settings!$B$4)/7)+1)</f>
        <v/>
      </c>
      <c r="D157" s="40"/>
      <c r="E157" s="40"/>
      <c r="F157" s="40"/>
      <c r="G157" s="40"/>
      <c r="H157" s="40"/>
      <c r="I157" s="40"/>
      <c r="J157" s="40"/>
      <c r="K157" s="40"/>
      <c r="L157" s="40"/>
      <c r="M157" s="38" t="str">
        <f aca="false">IF(B157="","",IF(COUNTIF(H157:L157,"Y")=5,"Yes","No"))</f>
        <v/>
      </c>
      <c r="N157" s="41"/>
      <c r="O157" s="42"/>
      <c r="P157" s="42"/>
      <c r="Q157" s="43" t="str">
        <f aca="false">IF(OR(O157="",P157=""),"",IF(F157="Long",O157+Settings!$B$7*(O157-P157),O157-Settings!$B$7*(P157-O157)))</f>
        <v/>
      </c>
      <c r="R157" s="42"/>
      <c r="S157" s="40"/>
      <c r="T157" s="44" t="str">
        <f aca="false">IF(OR(R157="",O157="",P157="",O157=P157),"",ROUND(IF(F157="Long",(R157-O157)/(O157-P157),(O157-R157)/(P157-O157)),2))</f>
        <v/>
      </c>
      <c r="U157" s="38" t="str">
        <f aca="false">IF(T157="","",IF(T157&gt;=Settings!$B$20,"Win",IF(T157&lt;=-Settings!$B$20,"Loss","BE")))</f>
        <v/>
      </c>
      <c r="V157" s="45" t="str">
        <f aca="false">IF(B157="","",Settings!$B$6)</f>
        <v/>
      </c>
      <c r="W157" s="46" t="str">
        <f aca="false">IF(B157="","",(Settings!$B$5+SUM(X$4:X156))*V157)</f>
        <v/>
      </c>
      <c r="X157" s="46" t="str">
        <f aca="false">IF(T157="","",ROUND(T157*W157,2))</f>
        <v/>
      </c>
      <c r="Y157" s="46" t="str">
        <f aca="false">IF(T157="","",Settings!$B$5+SUM(X$5:X157))</f>
        <v/>
      </c>
      <c r="Z157" s="43" t="str">
        <f aca="false">IF(T157="","",SUM(T$5:T157))</f>
        <v/>
      </c>
      <c r="AA157" s="43" t="str">
        <f aca="false">IF(T157="","",MAX(0,MAX(Z$5:Z157)))</f>
        <v/>
      </c>
      <c r="AB157" s="43" t="str">
        <f aca="false">IF(T157="","",Z157-AA157)</f>
        <v/>
      </c>
      <c r="AC157" s="38" t="str">
        <f aca="false">IF(U157="","",IF(U157="Loss",N(AC156)+1,0))</f>
        <v/>
      </c>
      <c r="AD157" s="40"/>
      <c r="AE157" s="38" t="str">
        <f aca="false">IF(B157="","",IF(AND(M157="Yes",OR(AD157="None",AD157="")),"Yes","No"))</f>
        <v/>
      </c>
      <c r="AF157" s="40"/>
      <c r="AG157" s="40"/>
      <c r="AH157" s="47"/>
      <c r="AI157" s="47"/>
    </row>
    <row r="158" customFormat="false" ht="15" hidden="false" customHeight="false" outlineLevel="0" collapsed="false">
      <c r="A158" s="38" t="str">
        <f aca="false">IF(B158="","",ROW()-4)</f>
        <v/>
      </c>
      <c r="B158" s="39"/>
      <c r="C158" s="38" t="str">
        <f aca="false">IF(B158="","",INT((B158-Settings!$B$4)/7)+1)</f>
        <v/>
      </c>
      <c r="D158" s="40"/>
      <c r="E158" s="40"/>
      <c r="F158" s="40"/>
      <c r="G158" s="40"/>
      <c r="H158" s="40"/>
      <c r="I158" s="40"/>
      <c r="J158" s="40"/>
      <c r="K158" s="40"/>
      <c r="L158" s="40"/>
      <c r="M158" s="38" t="str">
        <f aca="false">IF(B158="","",IF(COUNTIF(H158:L158,"Y")=5,"Yes","No"))</f>
        <v/>
      </c>
      <c r="N158" s="41"/>
      <c r="O158" s="42"/>
      <c r="P158" s="42"/>
      <c r="Q158" s="43" t="str">
        <f aca="false">IF(OR(O158="",P158=""),"",IF(F158="Long",O158+Settings!$B$7*(O158-P158),O158-Settings!$B$7*(P158-O158)))</f>
        <v/>
      </c>
      <c r="R158" s="42"/>
      <c r="S158" s="40"/>
      <c r="T158" s="44" t="str">
        <f aca="false">IF(OR(R158="",O158="",P158="",O158=P158),"",ROUND(IF(F158="Long",(R158-O158)/(O158-P158),(O158-R158)/(P158-O158)),2))</f>
        <v/>
      </c>
      <c r="U158" s="38" t="str">
        <f aca="false">IF(T158="","",IF(T158&gt;=Settings!$B$20,"Win",IF(T158&lt;=-Settings!$B$20,"Loss","BE")))</f>
        <v/>
      </c>
      <c r="V158" s="45" t="str">
        <f aca="false">IF(B158="","",Settings!$B$6)</f>
        <v/>
      </c>
      <c r="W158" s="46" t="str">
        <f aca="false">IF(B158="","",(Settings!$B$5+SUM(X$4:X157))*V158)</f>
        <v/>
      </c>
      <c r="X158" s="46" t="str">
        <f aca="false">IF(T158="","",ROUND(T158*W158,2))</f>
        <v/>
      </c>
      <c r="Y158" s="46" t="str">
        <f aca="false">IF(T158="","",Settings!$B$5+SUM(X$5:X158))</f>
        <v/>
      </c>
      <c r="Z158" s="43" t="str">
        <f aca="false">IF(T158="","",SUM(T$5:T158))</f>
        <v/>
      </c>
      <c r="AA158" s="43" t="str">
        <f aca="false">IF(T158="","",MAX(0,MAX(Z$5:Z158)))</f>
        <v/>
      </c>
      <c r="AB158" s="43" t="str">
        <f aca="false">IF(T158="","",Z158-AA158)</f>
        <v/>
      </c>
      <c r="AC158" s="38" t="str">
        <f aca="false">IF(U158="","",IF(U158="Loss",N(AC157)+1,0))</f>
        <v/>
      </c>
      <c r="AD158" s="40"/>
      <c r="AE158" s="38" t="str">
        <f aca="false">IF(B158="","",IF(AND(M158="Yes",OR(AD158="None",AD158="")),"Yes","No"))</f>
        <v/>
      </c>
      <c r="AF158" s="40"/>
      <c r="AG158" s="40"/>
      <c r="AH158" s="47"/>
      <c r="AI158" s="47"/>
    </row>
    <row r="159" customFormat="false" ht="15" hidden="false" customHeight="false" outlineLevel="0" collapsed="false">
      <c r="A159" s="38" t="str">
        <f aca="false">IF(B159="","",ROW()-4)</f>
        <v/>
      </c>
      <c r="B159" s="39"/>
      <c r="C159" s="38" t="str">
        <f aca="false">IF(B159="","",INT((B159-Settings!$B$4)/7)+1)</f>
        <v/>
      </c>
      <c r="D159" s="40"/>
      <c r="E159" s="40"/>
      <c r="F159" s="40"/>
      <c r="G159" s="40"/>
      <c r="H159" s="40"/>
      <c r="I159" s="40"/>
      <c r="J159" s="40"/>
      <c r="K159" s="40"/>
      <c r="L159" s="40"/>
      <c r="M159" s="38" t="str">
        <f aca="false">IF(B159="","",IF(COUNTIF(H159:L159,"Y")=5,"Yes","No"))</f>
        <v/>
      </c>
      <c r="N159" s="41"/>
      <c r="O159" s="42"/>
      <c r="P159" s="42"/>
      <c r="Q159" s="43" t="str">
        <f aca="false">IF(OR(O159="",P159=""),"",IF(F159="Long",O159+Settings!$B$7*(O159-P159),O159-Settings!$B$7*(P159-O159)))</f>
        <v/>
      </c>
      <c r="R159" s="42"/>
      <c r="S159" s="40"/>
      <c r="T159" s="44" t="str">
        <f aca="false">IF(OR(R159="",O159="",P159="",O159=P159),"",ROUND(IF(F159="Long",(R159-O159)/(O159-P159),(O159-R159)/(P159-O159)),2))</f>
        <v/>
      </c>
      <c r="U159" s="38" t="str">
        <f aca="false">IF(T159="","",IF(T159&gt;=Settings!$B$20,"Win",IF(T159&lt;=-Settings!$B$20,"Loss","BE")))</f>
        <v/>
      </c>
      <c r="V159" s="45" t="str">
        <f aca="false">IF(B159="","",Settings!$B$6)</f>
        <v/>
      </c>
      <c r="W159" s="46" t="str">
        <f aca="false">IF(B159="","",(Settings!$B$5+SUM(X$4:X158))*V159)</f>
        <v/>
      </c>
      <c r="X159" s="46" t="str">
        <f aca="false">IF(T159="","",ROUND(T159*W159,2))</f>
        <v/>
      </c>
      <c r="Y159" s="46" t="str">
        <f aca="false">IF(T159="","",Settings!$B$5+SUM(X$5:X159))</f>
        <v/>
      </c>
      <c r="Z159" s="43" t="str">
        <f aca="false">IF(T159="","",SUM(T$5:T159))</f>
        <v/>
      </c>
      <c r="AA159" s="43" t="str">
        <f aca="false">IF(T159="","",MAX(0,MAX(Z$5:Z159)))</f>
        <v/>
      </c>
      <c r="AB159" s="43" t="str">
        <f aca="false">IF(T159="","",Z159-AA159)</f>
        <v/>
      </c>
      <c r="AC159" s="38" t="str">
        <f aca="false">IF(U159="","",IF(U159="Loss",N(AC158)+1,0))</f>
        <v/>
      </c>
      <c r="AD159" s="40"/>
      <c r="AE159" s="38" t="str">
        <f aca="false">IF(B159="","",IF(AND(M159="Yes",OR(AD159="None",AD159="")),"Yes","No"))</f>
        <v/>
      </c>
      <c r="AF159" s="40"/>
      <c r="AG159" s="40"/>
      <c r="AH159" s="47"/>
      <c r="AI159" s="47"/>
    </row>
    <row r="160" customFormat="false" ht="15" hidden="false" customHeight="false" outlineLevel="0" collapsed="false">
      <c r="A160" s="38" t="str">
        <f aca="false">IF(B160="","",ROW()-4)</f>
        <v/>
      </c>
      <c r="B160" s="39"/>
      <c r="C160" s="38" t="str">
        <f aca="false">IF(B160="","",INT((B160-Settings!$B$4)/7)+1)</f>
        <v/>
      </c>
      <c r="D160" s="40"/>
      <c r="E160" s="40"/>
      <c r="F160" s="40"/>
      <c r="G160" s="40"/>
      <c r="H160" s="40"/>
      <c r="I160" s="40"/>
      <c r="J160" s="40"/>
      <c r="K160" s="40"/>
      <c r="L160" s="40"/>
      <c r="M160" s="38" t="str">
        <f aca="false">IF(B160="","",IF(COUNTIF(H160:L160,"Y")=5,"Yes","No"))</f>
        <v/>
      </c>
      <c r="N160" s="41"/>
      <c r="O160" s="42"/>
      <c r="P160" s="42"/>
      <c r="Q160" s="43" t="str">
        <f aca="false">IF(OR(O160="",P160=""),"",IF(F160="Long",O160+Settings!$B$7*(O160-P160),O160-Settings!$B$7*(P160-O160)))</f>
        <v/>
      </c>
      <c r="R160" s="42"/>
      <c r="S160" s="40"/>
      <c r="T160" s="44" t="str">
        <f aca="false">IF(OR(R160="",O160="",P160="",O160=P160),"",ROUND(IF(F160="Long",(R160-O160)/(O160-P160),(O160-R160)/(P160-O160)),2))</f>
        <v/>
      </c>
      <c r="U160" s="38" t="str">
        <f aca="false">IF(T160="","",IF(T160&gt;=Settings!$B$20,"Win",IF(T160&lt;=-Settings!$B$20,"Loss","BE")))</f>
        <v/>
      </c>
      <c r="V160" s="45" t="str">
        <f aca="false">IF(B160="","",Settings!$B$6)</f>
        <v/>
      </c>
      <c r="W160" s="46" t="str">
        <f aca="false">IF(B160="","",(Settings!$B$5+SUM(X$4:X159))*V160)</f>
        <v/>
      </c>
      <c r="X160" s="46" t="str">
        <f aca="false">IF(T160="","",ROUND(T160*W160,2))</f>
        <v/>
      </c>
      <c r="Y160" s="46" t="str">
        <f aca="false">IF(T160="","",Settings!$B$5+SUM(X$5:X160))</f>
        <v/>
      </c>
      <c r="Z160" s="43" t="str">
        <f aca="false">IF(T160="","",SUM(T$5:T160))</f>
        <v/>
      </c>
      <c r="AA160" s="43" t="str">
        <f aca="false">IF(T160="","",MAX(0,MAX(Z$5:Z160)))</f>
        <v/>
      </c>
      <c r="AB160" s="43" t="str">
        <f aca="false">IF(T160="","",Z160-AA160)</f>
        <v/>
      </c>
      <c r="AC160" s="38" t="str">
        <f aca="false">IF(U160="","",IF(U160="Loss",N(AC159)+1,0))</f>
        <v/>
      </c>
      <c r="AD160" s="40"/>
      <c r="AE160" s="38" t="str">
        <f aca="false">IF(B160="","",IF(AND(M160="Yes",OR(AD160="None",AD160="")),"Yes","No"))</f>
        <v/>
      </c>
      <c r="AF160" s="40"/>
      <c r="AG160" s="40"/>
      <c r="AH160" s="47"/>
      <c r="AI160" s="47"/>
    </row>
    <row r="161" customFormat="false" ht="15" hidden="false" customHeight="false" outlineLevel="0" collapsed="false">
      <c r="A161" s="38" t="str">
        <f aca="false">IF(B161="","",ROW()-4)</f>
        <v/>
      </c>
      <c r="B161" s="39"/>
      <c r="C161" s="38" t="str">
        <f aca="false">IF(B161="","",INT((B161-Settings!$B$4)/7)+1)</f>
        <v/>
      </c>
      <c r="D161" s="40"/>
      <c r="E161" s="40"/>
      <c r="F161" s="40"/>
      <c r="G161" s="40"/>
      <c r="H161" s="40"/>
      <c r="I161" s="40"/>
      <c r="J161" s="40"/>
      <c r="K161" s="40"/>
      <c r="L161" s="40"/>
      <c r="M161" s="38" t="str">
        <f aca="false">IF(B161="","",IF(COUNTIF(H161:L161,"Y")=5,"Yes","No"))</f>
        <v/>
      </c>
      <c r="N161" s="41"/>
      <c r="O161" s="42"/>
      <c r="P161" s="42"/>
      <c r="Q161" s="43" t="str">
        <f aca="false">IF(OR(O161="",P161=""),"",IF(F161="Long",O161+Settings!$B$7*(O161-P161),O161-Settings!$B$7*(P161-O161)))</f>
        <v/>
      </c>
      <c r="R161" s="42"/>
      <c r="S161" s="40"/>
      <c r="T161" s="44" t="str">
        <f aca="false">IF(OR(R161="",O161="",P161="",O161=P161),"",ROUND(IF(F161="Long",(R161-O161)/(O161-P161),(O161-R161)/(P161-O161)),2))</f>
        <v/>
      </c>
      <c r="U161" s="38" t="str">
        <f aca="false">IF(T161="","",IF(T161&gt;=Settings!$B$20,"Win",IF(T161&lt;=-Settings!$B$20,"Loss","BE")))</f>
        <v/>
      </c>
      <c r="V161" s="45" t="str">
        <f aca="false">IF(B161="","",Settings!$B$6)</f>
        <v/>
      </c>
      <c r="W161" s="46" t="str">
        <f aca="false">IF(B161="","",(Settings!$B$5+SUM(X$4:X160))*V161)</f>
        <v/>
      </c>
      <c r="X161" s="46" t="str">
        <f aca="false">IF(T161="","",ROUND(T161*W161,2))</f>
        <v/>
      </c>
      <c r="Y161" s="46" t="str">
        <f aca="false">IF(T161="","",Settings!$B$5+SUM(X$5:X161))</f>
        <v/>
      </c>
      <c r="Z161" s="43" t="str">
        <f aca="false">IF(T161="","",SUM(T$5:T161))</f>
        <v/>
      </c>
      <c r="AA161" s="43" t="str">
        <f aca="false">IF(T161="","",MAX(0,MAX(Z$5:Z161)))</f>
        <v/>
      </c>
      <c r="AB161" s="43" t="str">
        <f aca="false">IF(T161="","",Z161-AA161)</f>
        <v/>
      </c>
      <c r="AC161" s="38" t="str">
        <f aca="false">IF(U161="","",IF(U161="Loss",N(AC160)+1,0))</f>
        <v/>
      </c>
      <c r="AD161" s="40"/>
      <c r="AE161" s="38" t="str">
        <f aca="false">IF(B161="","",IF(AND(M161="Yes",OR(AD161="None",AD161="")),"Yes","No"))</f>
        <v/>
      </c>
      <c r="AF161" s="40"/>
      <c r="AG161" s="40"/>
      <c r="AH161" s="47"/>
      <c r="AI161" s="47"/>
    </row>
    <row r="162" customFormat="false" ht="15" hidden="false" customHeight="false" outlineLevel="0" collapsed="false">
      <c r="A162" s="38" t="str">
        <f aca="false">IF(B162="","",ROW()-4)</f>
        <v/>
      </c>
      <c r="B162" s="39"/>
      <c r="C162" s="38" t="str">
        <f aca="false">IF(B162="","",INT((B162-Settings!$B$4)/7)+1)</f>
        <v/>
      </c>
      <c r="D162" s="40"/>
      <c r="E162" s="40"/>
      <c r="F162" s="40"/>
      <c r="G162" s="40"/>
      <c r="H162" s="40"/>
      <c r="I162" s="40"/>
      <c r="J162" s="40"/>
      <c r="K162" s="40"/>
      <c r="L162" s="40"/>
      <c r="M162" s="38" t="str">
        <f aca="false">IF(B162="","",IF(COUNTIF(H162:L162,"Y")=5,"Yes","No"))</f>
        <v/>
      </c>
      <c r="N162" s="41"/>
      <c r="O162" s="42"/>
      <c r="P162" s="42"/>
      <c r="Q162" s="43" t="str">
        <f aca="false">IF(OR(O162="",P162=""),"",IF(F162="Long",O162+Settings!$B$7*(O162-P162),O162-Settings!$B$7*(P162-O162)))</f>
        <v/>
      </c>
      <c r="R162" s="42"/>
      <c r="S162" s="40"/>
      <c r="T162" s="44" t="str">
        <f aca="false">IF(OR(R162="",O162="",P162="",O162=P162),"",ROUND(IF(F162="Long",(R162-O162)/(O162-P162),(O162-R162)/(P162-O162)),2))</f>
        <v/>
      </c>
      <c r="U162" s="38" t="str">
        <f aca="false">IF(T162="","",IF(T162&gt;=Settings!$B$20,"Win",IF(T162&lt;=-Settings!$B$20,"Loss","BE")))</f>
        <v/>
      </c>
      <c r="V162" s="45" t="str">
        <f aca="false">IF(B162="","",Settings!$B$6)</f>
        <v/>
      </c>
      <c r="W162" s="46" t="str">
        <f aca="false">IF(B162="","",(Settings!$B$5+SUM(X$4:X161))*V162)</f>
        <v/>
      </c>
      <c r="X162" s="46" t="str">
        <f aca="false">IF(T162="","",ROUND(T162*W162,2))</f>
        <v/>
      </c>
      <c r="Y162" s="46" t="str">
        <f aca="false">IF(T162="","",Settings!$B$5+SUM(X$5:X162))</f>
        <v/>
      </c>
      <c r="Z162" s="43" t="str">
        <f aca="false">IF(T162="","",SUM(T$5:T162))</f>
        <v/>
      </c>
      <c r="AA162" s="43" t="str">
        <f aca="false">IF(T162="","",MAX(0,MAX(Z$5:Z162)))</f>
        <v/>
      </c>
      <c r="AB162" s="43" t="str">
        <f aca="false">IF(T162="","",Z162-AA162)</f>
        <v/>
      </c>
      <c r="AC162" s="38" t="str">
        <f aca="false">IF(U162="","",IF(U162="Loss",N(AC161)+1,0))</f>
        <v/>
      </c>
      <c r="AD162" s="40"/>
      <c r="AE162" s="38" t="str">
        <f aca="false">IF(B162="","",IF(AND(M162="Yes",OR(AD162="None",AD162="")),"Yes","No"))</f>
        <v/>
      </c>
      <c r="AF162" s="40"/>
      <c r="AG162" s="40"/>
      <c r="AH162" s="47"/>
      <c r="AI162" s="47"/>
    </row>
    <row r="163" customFormat="false" ht="15" hidden="false" customHeight="false" outlineLevel="0" collapsed="false">
      <c r="A163" s="38" t="str">
        <f aca="false">IF(B163="","",ROW()-4)</f>
        <v/>
      </c>
      <c r="B163" s="39"/>
      <c r="C163" s="38" t="str">
        <f aca="false">IF(B163="","",INT((B163-Settings!$B$4)/7)+1)</f>
        <v/>
      </c>
      <c r="D163" s="40"/>
      <c r="E163" s="40"/>
      <c r="F163" s="40"/>
      <c r="G163" s="40"/>
      <c r="H163" s="40"/>
      <c r="I163" s="40"/>
      <c r="J163" s="40"/>
      <c r="K163" s="40"/>
      <c r="L163" s="40"/>
      <c r="M163" s="38" t="str">
        <f aca="false">IF(B163="","",IF(COUNTIF(H163:L163,"Y")=5,"Yes","No"))</f>
        <v/>
      </c>
      <c r="N163" s="41"/>
      <c r="O163" s="42"/>
      <c r="P163" s="42"/>
      <c r="Q163" s="43" t="str">
        <f aca="false">IF(OR(O163="",P163=""),"",IF(F163="Long",O163+Settings!$B$7*(O163-P163),O163-Settings!$B$7*(P163-O163)))</f>
        <v/>
      </c>
      <c r="R163" s="42"/>
      <c r="S163" s="40"/>
      <c r="T163" s="44" t="str">
        <f aca="false">IF(OR(R163="",O163="",P163="",O163=P163),"",ROUND(IF(F163="Long",(R163-O163)/(O163-P163),(O163-R163)/(P163-O163)),2))</f>
        <v/>
      </c>
      <c r="U163" s="38" t="str">
        <f aca="false">IF(T163="","",IF(T163&gt;=Settings!$B$20,"Win",IF(T163&lt;=-Settings!$B$20,"Loss","BE")))</f>
        <v/>
      </c>
      <c r="V163" s="45" t="str">
        <f aca="false">IF(B163="","",Settings!$B$6)</f>
        <v/>
      </c>
      <c r="W163" s="46" t="str">
        <f aca="false">IF(B163="","",(Settings!$B$5+SUM(X$4:X162))*V163)</f>
        <v/>
      </c>
      <c r="X163" s="46" t="str">
        <f aca="false">IF(T163="","",ROUND(T163*W163,2))</f>
        <v/>
      </c>
      <c r="Y163" s="46" t="str">
        <f aca="false">IF(T163="","",Settings!$B$5+SUM(X$5:X163))</f>
        <v/>
      </c>
      <c r="Z163" s="43" t="str">
        <f aca="false">IF(T163="","",SUM(T$5:T163))</f>
        <v/>
      </c>
      <c r="AA163" s="43" t="str">
        <f aca="false">IF(T163="","",MAX(0,MAX(Z$5:Z163)))</f>
        <v/>
      </c>
      <c r="AB163" s="43" t="str">
        <f aca="false">IF(T163="","",Z163-AA163)</f>
        <v/>
      </c>
      <c r="AC163" s="38" t="str">
        <f aca="false">IF(U163="","",IF(U163="Loss",N(AC162)+1,0))</f>
        <v/>
      </c>
      <c r="AD163" s="40"/>
      <c r="AE163" s="38" t="str">
        <f aca="false">IF(B163="","",IF(AND(M163="Yes",OR(AD163="None",AD163="")),"Yes","No"))</f>
        <v/>
      </c>
      <c r="AF163" s="40"/>
      <c r="AG163" s="40"/>
      <c r="AH163" s="47"/>
      <c r="AI163" s="47"/>
    </row>
    <row r="164" customFormat="false" ht="15" hidden="false" customHeight="false" outlineLevel="0" collapsed="false">
      <c r="A164" s="38" t="str">
        <f aca="false">IF(B164="","",ROW()-4)</f>
        <v/>
      </c>
      <c r="B164" s="39"/>
      <c r="C164" s="38" t="str">
        <f aca="false">IF(B164="","",INT((B164-Settings!$B$4)/7)+1)</f>
        <v/>
      </c>
      <c r="D164" s="40"/>
      <c r="E164" s="40"/>
      <c r="F164" s="40"/>
      <c r="G164" s="40"/>
      <c r="H164" s="40"/>
      <c r="I164" s="40"/>
      <c r="J164" s="40"/>
      <c r="K164" s="40"/>
      <c r="L164" s="40"/>
      <c r="M164" s="38" t="str">
        <f aca="false">IF(B164="","",IF(COUNTIF(H164:L164,"Y")=5,"Yes","No"))</f>
        <v/>
      </c>
      <c r="N164" s="41"/>
      <c r="O164" s="42"/>
      <c r="P164" s="42"/>
      <c r="Q164" s="43" t="str">
        <f aca="false">IF(OR(O164="",P164=""),"",IF(F164="Long",O164+Settings!$B$7*(O164-P164),O164-Settings!$B$7*(P164-O164)))</f>
        <v/>
      </c>
      <c r="R164" s="42"/>
      <c r="S164" s="40"/>
      <c r="T164" s="44" t="str">
        <f aca="false">IF(OR(R164="",O164="",P164="",O164=P164),"",ROUND(IF(F164="Long",(R164-O164)/(O164-P164),(O164-R164)/(P164-O164)),2))</f>
        <v/>
      </c>
      <c r="U164" s="38" t="str">
        <f aca="false">IF(T164="","",IF(T164&gt;=Settings!$B$20,"Win",IF(T164&lt;=-Settings!$B$20,"Loss","BE")))</f>
        <v/>
      </c>
      <c r="V164" s="45" t="str">
        <f aca="false">IF(B164="","",Settings!$B$6)</f>
        <v/>
      </c>
      <c r="W164" s="46" t="str">
        <f aca="false">IF(B164="","",(Settings!$B$5+SUM(X$4:X163))*V164)</f>
        <v/>
      </c>
      <c r="X164" s="46" t="str">
        <f aca="false">IF(T164="","",ROUND(T164*W164,2))</f>
        <v/>
      </c>
      <c r="Y164" s="46" t="str">
        <f aca="false">IF(T164="","",Settings!$B$5+SUM(X$5:X164))</f>
        <v/>
      </c>
      <c r="Z164" s="43" t="str">
        <f aca="false">IF(T164="","",SUM(T$5:T164))</f>
        <v/>
      </c>
      <c r="AA164" s="43" t="str">
        <f aca="false">IF(T164="","",MAX(0,MAX(Z$5:Z164)))</f>
        <v/>
      </c>
      <c r="AB164" s="43" t="str">
        <f aca="false">IF(T164="","",Z164-AA164)</f>
        <v/>
      </c>
      <c r="AC164" s="38" t="str">
        <f aca="false">IF(U164="","",IF(U164="Loss",N(AC163)+1,0))</f>
        <v/>
      </c>
      <c r="AD164" s="40"/>
      <c r="AE164" s="38" t="str">
        <f aca="false">IF(B164="","",IF(AND(M164="Yes",OR(AD164="None",AD164="")),"Yes","No"))</f>
        <v/>
      </c>
      <c r="AF164" s="40"/>
      <c r="AG164" s="40"/>
      <c r="AH164" s="47"/>
      <c r="AI164" s="47"/>
    </row>
    <row r="165" customFormat="false" ht="15" hidden="false" customHeight="false" outlineLevel="0" collapsed="false">
      <c r="A165" s="38" t="str">
        <f aca="false">IF(B165="","",ROW()-4)</f>
        <v/>
      </c>
      <c r="B165" s="39"/>
      <c r="C165" s="38" t="str">
        <f aca="false">IF(B165="","",INT((B165-Settings!$B$4)/7)+1)</f>
        <v/>
      </c>
      <c r="D165" s="40"/>
      <c r="E165" s="40"/>
      <c r="F165" s="40"/>
      <c r="G165" s="40"/>
      <c r="H165" s="40"/>
      <c r="I165" s="40"/>
      <c r="J165" s="40"/>
      <c r="K165" s="40"/>
      <c r="L165" s="40"/>
      <c r="M165" s="38" t="str">
        <f aca="false">IF(B165="","",IF(COUNTIF(H165:L165,"Y")=5,"Yes","No"))</f>
        <v/>
      </c>
      <c r="N165" s="41"/>
      <c r="O165" s="42"/>
      <c r="P165" s="42"/>
      <c r="Q165" s="43" t="str">
        <f aca="false">IF(OR(O165="",P165=""),"",IF(F165="Long",O165+Settings!$B$7*(O165-P165),O165-Settings!$B$7*(P165-O165)))</f>
        <v/>
      </c>
      <c r="R165" s="42"/>
      <c r="S165" s="40"/>
      <c r="T165" s="44" t="str">
        <f aca="false">IF(OR(R165="",O165="",P165="",O165=P165),"",ROUND(IF(F165="Long",(R165-O165)/(O165-P165),(O165-R165)/(P165-O165)),2))</f>
        <v/>
      </c>
      <c r="U165" s="38" t="str">
        <f aca="false">IF(T165="","",IF(T165&gt;=Settings!$B$20,"Win",IF(T165&lt;=-Settings!$B$20,"Loss","BE")))</f>
        <v/>
      </c>
      <c r="V165" s="45" t="str">
        <f aca="false">IF(B165="","",Settings!$B$6)</f>
        <v/>
      </c>
      <c r="W165" s="46" t="str">
        <f aca="false">IF(B165="","",(Settings!$B$5+SUM(X$4:X164))*V165)</f>
        <v/>
      </c>
      <c r="X165" s="46" t="str">
        <f aca="false">IF(T165="","",ROUND(T165*W165,2))</f>
        <v/>
      </c>
      <c r="Y165" s="46" t="str">
        <f aca="false">IF(T165="","",Settings!$B$5+SUM(X$5:X165))</f>
        <v/>
      </c>
      <c r="Z165" s="43" t="str">
        <f aca="false">IF(T165="","",SUM(T$5:T165))</f>
        <v/>
      </c>
      <c r="AA165" s="43" t="str">
        <f aca="false">IF(T165="","",MAX(0,MAX(Z$5:Z165)))</f>
        <v/>
      </c>
      <c r="AB165" s="43" t="str">
        <f aca="false">IF(T165="","",Z165-AA165)</f>
        <v/>
      </c>
      <c r="AC165" s="38" t="str">
        <f aca="false">IF(U165="","",IF(U165="Loss",N(AC164)+1,0))</f>
        <v/>
      </c>
      <c r="AD165" s="40"/>
      <c r="AE165" s="38" t="str">
        <f aca="false">IF(B165="","",IF(AND(M165="Yes",OR(AD165="None",AD165="")),"Yes","No"))</f>
        <v/>
      </c>
      <c r="AF165" s="40"/>
      <c r="AG165" s="40"/>
      <c r="AH165" s="47"/>
      <c r="AI165" s="47"/>
    </row>
    <row r="166" customFormat="false" ht="15" hidden="false" customHeight="false" outlineLevel="0" collapsed="false">
      <c r="A166" s="38" t="str">
        <f aca="false">IF(B166="","",ROW()-4)</f>
        <v/>
      </c>
      <c r="B166" s="39"/>
      <c r="C166" s="38" t="str">
        <f aca="false">IF(B166="","",INT((B166-Settings!$B$4)/7)+1)</f>
        <v/>
      </c>
      <c r="D166" s="40"/>
      <c r="E166" s="40"/>
      <c r="F166" s="40"/>
      <c r="G166" s="40"/>
      <c r="H166" s="40"/>
      <c r="I166" s="40"/>
      <c r="J166" s="40"/>
      <c r="K166" s="40"/>
      <c r="L166" s="40"/>
      <c r="M166" s="38" t="str">
        <f aca="false">IF(B166="","",IF(COUNTIF(H166:L166,"Y")=5,"Yes","No"))</f>
        <v/>
      </c>
      <c r="N166" s="41"/>
      <c r="O166" s="42"/>
      <c r="P166" s="42"/>
      <c r="Q166" s="43" t="str">
        <f aca="false">IF(OR(O166="",P166=""),"",IF(F166="Long",O166+Settings!$B$7*(O166-P166),O166-Settings!$B$7*(P166-O166)))</f>
        <v/>
      </c>
      <c r="R166" s="42"/>
      <c r="S166" s="40"/>
      <c r="T166" s="44" t="str">
        <f aca="false">IF(OR(R166="",O166="",P166="",O166=P166),"",ROUND(IF(F166="Long",(R166-O166)/(O166-P166),(O166-R166)/(P166-O166)),2))</f>
        <v/>
      </c>
      <c r="U166" s="38" t="str">
        <f aca="false">IF(T166="","",IF(T166&gt;=Settings!$B$20,"Win",IF(T166&lt;=-Settings!$B$20,"Loss","BE")))</f>
        <v/>
      </c>
      <c r="V166" s="45" t="str">
        <f aca="false">IF(B166="","",Settings!$B$6)</f>
        <v/>
      </c>
      <c r="W166" s="46" t="str">
        <f aca="false">IF(B166="","",(Settings!$B$5+SUM(X$4:X165))*V166)</f>
        <v/>
      </c>
      <c r="X166" s="46" t="str">
        <f aca="false">IF(T166="","",ROUND(T166*W166,2))</f>
        <v/>
      </c>
      <c r="Y166" s="46" t="str">
        <f aca="false">IF(T166="","",Settings!$B$5+SUM(X$5:X166))</f>
        <v/>
      </c>
      <c r="Z166" s="43" t="str">
        <f aca="false">IF(T166="","",SUM(T$5:T166))</f>
        <v/>
      </c>
      <c r="AA166" s="43" t="str">
        <f aca="false">IF(T166="","",MAX(0,MAX(Z$5:Z166)))</f>
        <v/>
      </c>
      <c r="AB166" s="43" t="str">
        <f aca="false">IF(T166="","",Z166-AA166)</f>
        <v/>
      </c>
      <c r="AC166" s="38" t="str">
        <f aca="false">IF(U166="","",IF(U166="Loss",N(AC165)+1,0))</f>
        <v/>
      </c>
      <c r="AD166" s="40"/>
      <c r="AE166" s="38" t="str">
        <f aca="false">IF(B166="","",IF(AND(M166="Yes",OR(AD166="None",AD166="")),"Yes","No"))</f>
        <v/>
      </c>
      <c r="AF166" s="40"/>
      <c r="AG166" s="40"/>
      <c r="AH166" s="47"/>
      <c r="AI166" s="47"/>
    </row>
    <row r="167" customFormat="false" ht="15" hidden="false" customHeight="false" outlineLevel="0" collapsed="false">
      <c r="A167" s="38" t="str">
        <f aca="false">IF(B167="","",ROW()-4)</f>
        <v/>
      </c>
      <c r="B167" s="39"/>
      <c r="C167" s="38" t="str">
        <f aca="false">IF(B167="","",INT((B167-Settings!$B$4)/7)+1)</f>
        <v/>
      </c>
      <c r="D167" s="40"/>
      <c r="E167" s="40"/>
      <c r="F167" s="40"/>
      <c r="G167" s="40"/>
      <c r="H167" s="40"/>
      <c r="I167" s="40"/>
      <c r="J167" s="40"/>
      <c r="K167" s="40"/>
      <c r="L167" s="40"/>
      <c r="M167" s="38" t="str">
        <f aca="false">IF(B167="","",IF(COUNTIF(H167:L167,"Y")=5,"Yes","No"))</f>
        <v/>
      </c>
      <c r="N167" s="41"/>
      <c r="O167" s="42"/>
      <c r="P167" s="42"/>
      <c r="Q167" s="43" t="str">
        <f aca="false">IF(OR(O167="",P167=""),"",IF(F167="Long",O167+Settings!$B$7*(O167-P167),O167-Settings!$B$7*(P167-O167)))</f>
        <v/>
      </c>
      <c r="R167" s="42"/>
      <c r="S167" s="40"/>
      <c r="T167" s="44" t="str">
        <f aca="false">IF(OR(R167="",O167="",P167="",O167=P167),"",ROUND(IF(F167="Long",(R167-O167)/(O167-P167),(O167-R167)/(P167-O167)),2))</f>
        <v/>
      </c>
      <c r="U167" s="38" t="str">
        <f aca="false">IF(T167="","",IF(T167&gt;=Settings!$B$20,"Win",IF(T167&lt;=-Settings!$B$20,"Loss","BE")))</f>
        <v/>
      </c>
      <c r="V167" s="45" t="str">
        <f aca="false">IF(B167="","",Settings!$B$6)</f>
        <v/>
      </c>
      <c r="W167" s="46" t="str">
        <f aca="false">IF(B167="","",(Settings!$B$5+SUM(X$4:X166))*V167)</f>
        <v/>
      </c>
      <c r="X167" s="46" t="str">
        <f aca="false">IF(T167="","",ROUND(T167*W167,2))</f>
        <v/>
      </c>
      <c r="Y167" s="46" t="str">
        <f aca="false">IF(T167="","",Settings!$B$5+SUM(X$5:X167))</f>
        <v/>
      </c>
      <c r="Z167" s="43" t="str">
        <f aca="false">IF(T167="","",SUM(T$5:T167))</f>
        <v/>
      </c>
      <c r="AA167" s="43" t="str">
        <f aca="false">IF(T167="","",MAX(0,MAX(Z$5:Z167)))</f>
        <v/>
      </c>
      <c r="AB167" s="43" t="str">
        <f aca="false">IF(T167="","",Z167-AA167)</f>
        <v/>
      </c>
      <c r="AC167" s="38" t="str">
        <f aca="false">IF(U167="","",IF(U167="Loss",N(AC166)+1,0))</f>
        <v/>
      </c>
      <c r="AD167" s="40"/>
      <c r="AE167" s="38" t="str">
        <f aca="false">IF(B167="","",IF(AND(M167="Yes",OR(AD167="None",AD167="")),"Yes","No"))</f>
        <v/>
      </c>
      <c r="AF167" s="40"/>
      <c r="AG167" s="40"/>
      <c r="AH167" s="47"/>
      <c r="AI167" s="47"/>
    </row>
    <row r="168" customFormat="false" ht="15" hidden="false" customHeight="false" outlineLevel="0" collapsed="false">
      <c r="A168" s="38" t="str">
        <f aca="false">IF(B168="","",ROW()-4)</f>
        <v/>
      </c>
      <c r="B168" s="39"/>
      <c r="C168" s="38" t="str">
        <f aca="false">IF(B168="","",INT((B168-Settings!$B$4)/7)+1)</f>
        <v/>
      </c>
      <c r="D168" s="40"/>
      <c r="E168" s="40"/>
      <c r="F168" s="40"/>
      <c r="G168" s="40"/>
      <c r="H168" s="40"/>
      <c r="I168" s="40"/>
      <c r="J168" s="40"/>
      <c r="K168" s="40"/>
      <c r="L168" s="40"/>
      <c r="M168" s="38" t="str">
        <f aca="false">IF(B168="","",IF(COUNTIF(H168:L168,"Y")=5,"Yes","No"))</f>
        <v/>
      </c>
      <c r="N168" s="41"/>
      <c r="O168" s="42"/>
      <c r="P168" s="42"/>
      <c r="Q168" s="43" t="str">
        <f aca="false">IF(OR(O168="",P168=""),"",IF(F168="Long",O168+Settings!$B$7*(O168-P168),O168-Settings!$B$7*(P168-O168)))</f>
        <v/>
      </c>
      <c r="R168" s="42"/>
      <c r="S168" s="40"/>
      <c r="T168" s="44" t="str">
        <f aca="false">IF(OR(R168="",O168="",P168="",O168=P168),"",ROUND(IF(F168="Long",(R168-O168)/(O168-P168),(O168-R168)/(P168-O168)),2))</f>
        <v/>
      </c>
      <c r="U168" s="38" t="str">
        <f aca="false">IF(T168="","",IF(T168&gt;=Settings!$B$20,"Win",IF(T168&lt;=-Settings!$B$20,"Loss","BE")))</f>
        <v/>
      </c>
      <c r="V168" s="45" t="str">
        <f aca="false">IF(B168="","",Settings!$B$6)</f>
        <v/>
      </c>
      <c r="W168" s="46" t="str">
        <f aca="false">IF(B168="","",(Settings!$B$5+SUM(X$4:X167))*V168)</f>
        <v/>
      </c>
      <c r="X168" s="46" t="str">
        <f aca="false">IF(T168="","",ROUND(T168*W168,2))</f>
        <v/>
      </c>
      <c r="Y168" s="46" t="str">
        <f aca="false">IF(T168="","",Settings!$B$5+SUM(X$5:X168))</f>
        <v/>
      </c>
      <c r="Z168" s="43" t="str">
        <f aca="false">IF(T168="","",SUM(T$5:T168))</f>
        <v/>
      </c>
      <c r="AA168" s="43" t="str">
        <f aca="false">IF(T168="","",MAX(0,MAX(Z$5:Z168)))</f>
        <v/>
      </c>
      <c r="AB168" s="43" t="str">
        <f aca="false">IF(T168="","",Z168-AA168)</f>
        <v/>
      </c>
      <c r="AC168" s="38" t="str">
        <f aca="false">IF(U168="","",IF(U168="Loss",N(AC167)+1,0))</f>
        <v/>
      </c>
      <c r="AD168" s="40"/>
      <c r="AE168" s="38" t="str">
        <f aca="false">IF(B168="","",IF(AND(M168="Yes",OR(AD168="None",AD168="")),"Yes","No"))</f>
        <v/>
      </c>
      <c r="AF168" s="40"/>
      <c r="AG168" s="40"/>
      <c r="AH168" s="47"/>
      <c r="AI168" s="47"/>
    </row>
    <row r="169" customFormat="false" ht="15" hidden="false" customHeight="false" outlineLevel="0" collapsed="false">
      <c r="A169" s="38" t="str">
        <f aca="false">IF(B169="","",ROW()-4)</f>
        <v/>
      </c>
      <c r="B169" s="39"/>
      <c r="C169" s="38" t="str">
        <f aca="false">IF(B169="","",INT((B169-Settings!$B$4)/7)+1)</f>
        <v/>
      </c>
      <c r="D169" s="40"/>
      <c r="E169" s="40"/>
      <c r="F169" s="40"/>
      <c r="G169" s="40"/>
      <c r="H169" s="40"/>
      <c r="I169" s="40"/>
      <c r="J169" s="40"/>
      <c r="K169" s="40"/>
      <c r="L169" s="40"/>
      <c r="M169" s="38" t="str">
        <f aca="false">IF(B169="","",IF(COUNTIF(H169:L169,"Y")=5,"Yes","No"))</f>
        <v/>
      </c>
      <c r="N169" s="41"/>
      <c r="O169" s="42"/>
      <c r="P169" s="42"/>
      <c r="Q169" s="43" t="str">
        <f aca="false">IF(OR(O169="",P169=""),"",IF(F169="Long",O169+Settings!$B$7*(O169-P169),O169-Settings!$B$7*(P169-O169)))</f>
        <v/>
      </c>
      <c r="R169" s="42"/>
      <c r="S169" s="40"/>
      <c r="T169" s="44" t="str">
        <f aca="false">IF(OR(R169="",O169="",P169="",O169=P169),"",ROUND(IF(F169="Long",(R169-O169)/(O169-P169),(O169-R169)/(P169-O169)),2))</f>
        <v/>
      </c>
      <c r="U169" s="38" t="str">
        <f aca="false">IF(T169="","",IF(T169&gt;=Settings!$B$20,"Win",IF(T169&lt;=-Settings!$B$20,"Loss","BE")))</f>
        <v/>
      </c>
      <c r="V169" s="45" t="str">
        <f aca="false">IF(B169="","",Settings!$B$6)</f>
        <v/>
      </c>
      <c r="W169" s="46" t="str">
        <f aca="false">IF(B169="","",(Settings!$B$5+SUM(X$4:X168))*V169)</f>
        <v/>
      </c>
      <c r="X169" s="46" t="str">
        <f aca="false">IF(T169="","",ROUND(T169*W169,2))</f>
        <v/>
      </c>
      <c r="Y169" s="46" t="str">
        <f aca="false">IF(T169="","",Settings!$B$5+SUM(X$5:X169))</f>
        <v/>
      </c>
      <c r="Z169" s="43" t="str">
        <f aca="false">IF(T169="","",SUM(T$5:T169))</f>
        <v/>
      </c>
      <c r="AA169" s="43" t="str">
        <f aca="false">IF(T169="","",MAX(0,MAX(Z$5:Z169)))</f>
        <v/>
      </c>
      <c r="AB169" s="43" t="str">
        <f aca="false">IF(T169="","",Z169-AA169)</f>
        <v/>
      </c>
      <c r="AC169" s="38" t="str">
        <f aca="false">IF(U169="","",IF(U169="Loss",N(AC168)+1,0))</f>
        <v/>
      </c>
      <c r="AD169" s="40"/>
      <c r="AE169" s="38" t="str">
        <f aca="false">IF(B169="","",IF(AND(M169="Yes",OR(AD169="None",AD169="")),"Yes","No"))</f>
        <v/>
      </c>
      <c r="AF169" s="40"/>
      <c r="AG169" s="40"/>
      <c r="AH169" s="47"/>
      <c r="AI169" s="47"/>
    </row>
    <row r="170" customFormat="false" ht="15" hidden="false" customHeight="false" outlineLevel="0" collapsed="false">
      <c r="A170" s="38" t="str">
        <f aca="false">IF(B170="","",ROW()-4)</f>
        <v/>
      </c>
      <c r="B170" s="39"/>
      <c r="C170" s="38" t="str">
        <f aca="false">IF(B170="","",INT((B170-Settings!$B$4)/7)+1)</f>
        <v/>
      </c>
      <c r="D170" s="40"/>
      <c r="E170" s="40"/>
      <c r="F170" s="40"/>
      <c r="G170" s="40"/>
      <c r="H170" s="40"/>
      <c r="I170" s="40"/>
      <c r="J170" s="40"/>
      <c r="K170" s="40"/>
      <c r="L170" s="40"/>
      <c r="M170" s="38" t="str">
        <f aca="false">IF(B170="","",IF(COUNTIF(H170:L170,"Y")=5,"Yes","No"))</f>
        <v/>
      </c>
      <c r="N170" s="41"/>
      <c r="O170" s="42"/>
      <c r="P170" s="42"/>
      <c r="Q170" s="43" t="str">
        <f aca="false">IF(OR(O170="",P170=""),"",IF(F170="Long",O170+Settings!$B$7*(O170-P170),O170-Settings!$B$7*(P170-O170)))</f>
        <v/>
      </c>
      <c r="R170" s="42"/>
      <c r="S170" s="40"/>
      <c r="T170" s="44" t="str">
        <f aca="false">IF(OR(R170="",O170="",P170="",O170=P170),"",ROUND(IF(F170="Long",(R170-O170)/(O170-P170),(O170-R170)/(P170-O170)),2))</f>
        <v/>
      </c>
      <c r="U170" s="38" t="str">
        <f aca="false">IF(T170="","",IF(T170&gt;=Settings!$B$20,"Win",IF(T170&lt;=-Settings!$B$20,"Loss","BE")))</f>
        <v/>
      </c>
      <c r="V170" s="45" t="str">
        <f aca="false">IF(B170="","",Settings!$B$6)</f>
        <v/>
      </c>
      <c r="W170" s="46" t="str">
        <f aca="false">IF(B170="","",(Settings!$B$5+SUM(X$4:X169))*V170)</f>
        <v/>
      </c>
      <c r="X170" s="46" t="str">
        <f aca="false">IF(T170="","",ROUND(T170*W170,2))</f>
        <v/>
      </c>
      <c r="Y170" s="46" t="str">
        <f aca="false">IF(T170="","",Settings!$B$5+SUM(X$5:X170))</f>
        <v/>
      </c>
      <c r="Z170" s="43" t="str">
        <f aca="false">IF(T170="","",SUM(T$5:T170))</f>
        <v/>
      </c>
      <c r="AA170" s="43" t="str">
        <f aca="false">IF(T170="","",MAX(0,MAX(Z$5:Z170)))</f>
        <v/>
      </c>
      <c r="AB170" s="43" t="str">
        <f aca="false">IF(T170="","",Z170-AA170)</f>
        <v/>
      </c>
      <c r="AC170" s="38" t="str">
        <f aca="false">IF(U170="","",IF(U170="Loss",N(AC169)+1,0))</f>
        <v/>
      </c>
      <c r="AD170" s="40"/>
      <c r="AE170" s="38" t="str">
        <f aca="false">IF(B170="","",IF(AND(M170="Yes",OR(AD170="None",AD170="")),"Yes","No"))</f>
        <v/>
      </c>
      <c r="AF170" s="40"/>
      <c r="AG170" s="40"/>
      <c r="AH170" s="47"/>
      <c r="AI170" s="47"/>
    </row>
    <row r="171" customFormat="false" ht="15" hidden="false" customHeight="false" outlineLevel="0" collapsed="false">
      <c r="A171" s="38" t="str">
        <f aca="false">IF(B171="","",ROW()-4)</f>
        <v/>
      </c>
      <c r="B171" s="39"/>
      <c r="C171" s="38" t="str">
        <f aca="false">IF(B171="","",INT((B171-Settings!$B$4)/7)+1)</f>
        <v/>
      </c>
      <c r="D171" s="40"/>
      <c r="E171" s="40"/>
      <c r="F171" s="40"/>
      <c r="G171" s="40"/>
      <c r="H171" s="40"/>
      <c r="I171" s="40"/>
      <c r="J171" s="40"/>
      <c r="K171" s="40"/>
      <c r="L171" s="40"/>
      <c r="M171" s="38" t="str">
        <f aca="false">IF(B171="","",IF(COUNTIF(H171:L171,"Y")=5,"Yes","No"))</f>
        <v/>
      </c>
      <c r="N171" s="41"/>
      <c r="O171" s="42"/>
      <c r="P171" s="42"/>
      <c r="Q171" s="43" t="str">
        <f aca="false">IF(OR(O171="",P171=""),"",IF(F171="Long",O171+Settings!$B$7*(O171-P171),O171-Settings!$B$7*(P171-O171)))</f>
        <v/>
      </c>
      <c r="R171" s="42"/>
      <c r="S171" s="40"/>
      <c r="T171" s="44" t="str">
        <f aca="false">IF(OR(R171="",O171="",P171="",O171=P171),"",ROUND(IF(F171="Long",(R171-O171)/(O171-P171),(O171-R171)/(P171-O171)),2))</f>
        <v/>
      </c>
      <c r="U171" s="38" t="str">
        <f aca="false">IF(T171="","",IF(T171&gt;=Settings!$B$20,"Win",IF(T171&lt;=-Settings!$B$20,"Loss","BE")))</f>
        <v/>
      </c>
      <c r="V171" s="45" t="str">
        <f aca="false">IF(B171="","",Settings!$B$6)</f>
        <v/>
      </c>
      <c r="W171" s="46" t="str">
        <f aca="false">IF(B171="","",(Settings!$B$5+SUM(X$4:X170))*V171)</f>
        <v/>
      </c>
      <c r="X171" s="46" t="str">
        <f aca="false">IF(T171="","",ROUND(T171*W171,2))</f>
        <v/>
      </c>
      <c r="Y171" s="46" t="str">
        <f aca="false">IF(T171="","",Settings!$B$5+SUM(X$5:X171))</f>
        <v/>
      </c>
      <c r="Z171" s="43" t="str">
        <f aca="false">IF(T171="","",SUM(T$5:T171))</f>
        <v/>
      </c>
      <c r="AA171" s="43" t="str">
        <f aca="false">IF(T171="","",MAX(0,MAX(Z$5:Z171)))</f>
        <v/>
      </c>
      <c r="AB171" s="43" t="str">
        <f aca="false">IF(T171="","",Z171-AA171)</f>
        <v/>
      </c>
      <c r="AC171" s="38" t="str">
        <f aca="false">IF(U171="","",IF(U171="Loss",N(AC170)+1,0))</f>
        <v/>
      </c>
      <c r="AD171" s="40"/>
      <c r="AE171" s="38" t="str">
        <f aca="false">IF(B171="","",IF(AND(M171="Yes",OR(AD171="None",AD171="")),"Yes","No"))</f>
        <v/>
      </c>
      <c r="AF171" s="40"/>
      <c r="AG171" s="40"/>
      <c r="AH171" s="47"/>
      <c r="AI171" s="47"/>
    </row>
    <row r="172" customFormat="false" ht="15" hidden="false" customHeight="false" outlineLevel="0" collapsed="false">
      <c r="A172" s="38" t="str">
        <f aca="false">IF(B172="","",ROW()-4)</f>
        <v/>
      </c>
      <c r="B172" s="39"/>
      <c r="C172" s="38" t="str">
        <f aca="false">IF(B172="","",INT((B172-Settings!$B$4)/7)+1)</f>
        <v/>
      </c>
      <c r="D172" s="40"/>
      <c r="E172" s="40"/>
      <c r="F172" s="40"/>
      <c r="G172" s="40"/>
      <c r="H172" s="40"/>
      <c r="I172" s="40"/>
      <c r="J172" s="40"/>
      <c r="K172" s="40"/>
      <c r="L172" s="40"/>
      <c r="M172" s="38" t="str">
        <f aca="false">IF(B172="","",IF(COUNTIF(H172:L172,"Y")=5,"Yes","No"))</f>
        <v/>
      </c>
      <c r="N172" s="41"/>
      <c r="O172" s="42"/>
      <c r="P172" s="42"/>
      <c r="Q172" s="43" t="str">
        <f aca="false">IF(OR(O172="",P172=""),"",IF(F172="Long",O172+Settings!$B$7*(O172-P172),O172-Settings!$B$7*(P172-O172)))</f>
        <v/>
      </c>
      <c r="R172" s="42"/>
      <c r="S172" s="40"/>
      <c r="T172" s="44" t="str">
        <f aca="false">IF(OR(R172="",O172="",P172="",O172=P172),"",ROUND(IF(F172="Long",(R172-O172)/(O172-P172),(O172-R172)/(P172-O172)),2))</f>
        <v/>
      </c>
      <c r="U172" s="38" t="str">
        <f aca="false">IF(T172="","",IF(T172&gt;=Settings!$B$20,"Win",IF(T172&lt;=-Settings!$B$20,"Loss","BE")))</f>
        <v/>
      </c>
      <c r="V172" s="45" t="str">
        <f aca="false">IF(B172="","",Settings!$B$6)</f>
        <v/>
      </c>
      <c r="W172" s="46" t="str">
        <f aca="false">IF(B172="","",(Settings!$B$5+SUM(X$4:X171))*V172)</f>
        <v/>
      </c>
      <c r="X172" s="46" t="str">
        <f aca="false">IF(T172="","",ROUND(T172*W172,2))</f>
        <v/>
      </c>
      <c r="Y172" s="46" t="str">
        <f aca="false">IF(T172="","",Settings!$B$5+SUM(X$5:X172))</f>
        <v/>
      </c>
      <c r="Z172" s="43" t="str">
        <f aca="false">IF(T172="","",SUM(T$5:T172))</f>
        <v/>
      </c>
      <c r="AA172" s="43" t="str">
        <f aca="false">IF(T172="","",MAX(0,MAX(Z$5:Z172)))</f>
        <v/>
      </c>
      <c r="AB172" s="43" t="str">
        <f aca="false">IF(T172="","",Z172-AA172)</f>
        <v/>
      </c>
      <c r="AC172" s="38" t="str">
        <f aca="false">IF(U172="","",IF(U172="Loss",N(AC171)+1,0))</f>
        <v/>
      </c>
      <c r="AD172" s="40"/>
      <c r="AE172" s="38" t="str">
        <f aca="false">IF(B172="","",IF(AND(M172="Yes",OR(AD172="None",AD172="")),"Yes","No"))</f>
        <v/>
      </c>
      <c r="AF172" s="40"/>
      <c r="AG172" s="40"/>
      <c r="AH172" s="47"/>
      <c r="AI172" s="47"/>
    </row>
    <row r="173" customFormat="false" ht="15" hidden="false" customHeight="false" outlineLevel="0" collapsed="false">
      <c r="A173" s="38" t="str">
        <f aca="false">IF(B173="","",ROW()-4)</f>
        <v/>
      </c>
      <c r="B173" s="39"/>
      <c r="C173" s="38" t="str">
        <f aca="false">IF(B173="","",INT((B173-Settings!$B$4)/7)+1)</f>
        <v/>
      </c>
      <c r="D173" s="40"/>
      <c r="E173" s="40"/>
      <c r="F173" s="40"/>
      <c r="G173" s="40"/>
      <c r="H173" s="40"/>
      <c r="I173" s="40"/>
      <c r="J173" s="40"/>
      <c r="K173" s="40"/>
      <c r="L173" s="40"/>
      <c r="M173" s="38" t="str">
        <f aca="false">IF(B173="","",IF(COUNTIF(H173:L173,"Y")=5,"Yes","No"))</f>
        <v/>
      </c>
      <c r="N173" s="41"/>
      <c r="O173" s="42"/>
      <c r="P173" s="42"/>
      <c r="Q173" s="43" t="str">
        <f aca="false">IF(OR(O173="",P173=""),"",IF(F173="Long",O173+Settings!$B$7*(O173-P173),O173-Settings!$B$7*(P173-O173)))</f>
        <v/>
      </c>
      <c r="R173" s="42"/>
      <c r="S173" s="40"/>
      <c r="T173" s="44" t="str">
        <f aca="false">IF(OR(R173="",O173="",P173="",O173=P173),"",ROUND(IF(F173="Long",(R173-O173)/(O173-P173),(O173-R173)/(P173-O173)),2))</f>
        <v/>
      </c>
      <c r="U173" s="38" t="str">
        <f aca="false">IF(T173="","",IF(T173&gt;=Settings!$B$20,"Win",IF(T173&lt;=-Settings!$B$20,"Loss","BE")))</f>
        <v/>
      </c>
      <c r="V173" s="45" t="str">
        <f aca="false">IF(B173="","",Settings!$B$6)</f>
        <v/>
      </c>
      <c r="W173" s="46" t="str">
        <f aca="false">IF(B173="","",(Settings!$B$5+SUM(X$4:X172))*V173)</f>
        <v/>
      </c>
      <c r="X173" s="46" t="str">
        <f aca="false">IF(T173="","",ROUND(T173*W173,2))</f>
        <v/>
      </c>
      <c r="Y173" s="46" t="str">
        <f aca="false">IF(T173="","",Settings!$B$5+SUM(X$5:X173))</f>
        <v/>
      </c>
      <c r="Z173" s="43" t="str">
        <f aca="false">IF(T173="","",SUM(T$5:T173))</f>
        <v/>
      </c>
      <c r="AA173" s="43" t="str">
        <f aca="false">IF(T173="","",MAX(0,MAX(Z$5:Z173)))</f>
        <v/>
      </c>
      <c r="AB173" s="43" t="str">
        <f aca="false">IF(T173="","",Z173-AA173)</f>
        <v/>
      </c>
      <c r="AC173" s="38" t="str">
        <f aca="false">IF(U173="","",IF(U173="Loss",N(AC172)+1,0))</f>
        <v/>
      </c>
      <c r="AD173" s="40"/>
      <c r="AE173" s="38" t="str">
        <f aca="false">IF(B173="","",IF(AND(M173="Yes",OR(AD173="None",AD173="")),"Yes","No"))</f>
        <v/>
      </c>
      <c r="AF173" s="40"/>
      <c r="AG173" s="40"/>
      <c r="AH173" s="47"/>
      <c r="AI173" s="47"/>
    </row>
    <row r="174" customFormat="false" ht="15" hidden="false" customHeight="false" outlineLevel="0" collapsed="false">
      <c r="A174" s="38" t="str">
        <f aca="false">IF(B174="","",ROW()-4)</f>
        <v/>
      </c>
      <c r="B174" s="39"/>
      <c r="C174" s="38" t="str">
        <f aca="false">IF(B174="","",INT((B174-Settings!$B$4)/7)+1)</f>
        <v/>
      </c>
      <c r="D174" s="40"/>
      <c r="E174" s="40"/>
      <c r="F174" s="40"/>
      <c r="G174" s="40"/>
      <c r="H174" s="40"/>
      <c r="I174" s="40"/>
      <c r="J174" s="40"/>
      <c r="K174" s="40"/>
      <c r="L174" s="40"/>
      <c r="M174" s="38" t="str">
        <f aca="false">IF(B174="","",IF(COUNTIF(H174:L174,"Y")=5,"Yes","No"))</f>
        <v/>
      </c>
      <c r="N174" s="41"/>
      <c r="O174" s="42"/>
      <c r="P174" s="42"/>
      <c r="Q174" s="43" t="str">
        <f aca="false">IF(OR(O174="",P174=""),"",IF(F174="Long",O174+Settings!$B$7*(O174-P174),O174-Settings!$B$7*(P174-O174)))</f>
        <v/>
      </c>
      <c r="R174" s="42"/>
      <c r="S174" s="40"/>
      <c r="T174" s="44" t="str">
        <f aca="false">IF(OR(R174="",O174="",P174="",O174=P174),"",ROUND(IF(F174="Long",(R174-O174)/(O174-P174),(O174-R174)/(P174-O174)),2))</f>
        <v/>
      </c>
      <c r="U174" s="38" t="str">
        <f aca="false">IF(T174="","",IF(T174&gt;=Settings!$B$20,"Win",IF(T174&lt;=-Settings!$B$20,"Loss","BE")))</f>
        <v/>
      </c>
      <c r="V174" s="45" t="str">
        <f aca="false">IF(B174="","",Settings!$B$6)</f>
        <v/>
      </c>
      <c r="W174" s="46" t="str">
        <f aca="false">IF(B174="","",(Settings!$B$5+SUM(X$4:X173))*V174)</f>
        <v/>
      </c>
      <c r="X174" s="46" t="str">
        <f aca="false">IF(T174="","",ROUND(T174*W174,2))</f>
        <v/>
      </c>
      <c r="Y174" s="46" t="str">
        <f aca="false">IF(T174="","",Settings!$B$5+SUM(X$5:X174))</f>
        <v/>
      </c>
      <c r="Z174" s="43" t="str">
        <f aca="false">IF(T174="","",SUM(T$5:T174))</f>
        <v/>
      </c>
      <c r="AA174" s="43" t="str">
        <f aca="false">IF(T174="","",MAX(0,MAX(Z$5:Z174)))</f>
        <v/>
      </c>
      <c r="AB174" s="43" t="str">
        <f aca="false">IF(T174="","",Z174-AA174)</f>
        <v/>
      </c>
      <c r="AC174" s="38" t="str">
        <f aca="false">IF(U174="","",IF(U174="Loss",N(AC173)+1,0))</f>
        <v/>
      </c>
      <c r="AD174" s="40"/>
      <c r="AE174" s="38" t="str">
        <f aca="false">IF(B174="","",IF(AND(M174="Yes",OR(AD174="None",AD174="")),"Yes","No"))</f>
        <v/>
      </c>
      <c r="AF174" s="40"/>
      <c r="AG174" s="40"/>
      <c r="AH174" s="47"/>
      <c r="AI174" s="47"/>
    </row>
    <row r="175" customFormat="false" ht="15" hidden="false" customHeight="false" outlineLevel="0" collapsed="false">
      <c r="A175" s="38" t="str">
        <f aca="false">IF(B175="","",ROW()-4)</f>
        <v/>
      </c>
      <c r="B175" s="39"/>
      <c r="C175" s="38" t="str">
        <f aca="false">IF(B175="","",INT((B175-Settings!$B$4)/7)+1)</f>
        <v/>
      </c>
      <c r="D175" s="40"/>
      <c r="E175" s="40"/>
      <c r="F175" s="40"/>
      <c r="G175" s="40"/>
      <c r="H175" s="40"/>
      <c r="I175" s="40"/>
      <c r="J175" s="40"/>
      <c r="K175" s="40"/>
      <c r="L175" s="40"/>
      <c r="M175" s="38" t="str">
        <f aca="false">IF(B175="","",IF(COUNTIF(H175:L175,"Y")=5,"Yes","No"))</f>
        <v/>
      </c>
      <c r="N175" s="41"/>
      <c r="O175" s="42"/>
      <c r="P175" s="42"/>
      <c r="Q175" s="43" t="str">
        <f aca="false">IF(OR(O175="",P175=""),"",IF(F175="Long",O175+Settings!$B$7*(O175-P175),O175-Settings!$B$7*(P175-O175)))</f>
        <v/>
      </c>
      <c r="R175" s="42"/>
      <c r="S175" s="40"/>
      <c r="T175" s="44" t="str">
        <f aca="false">IF(OR(R175="",O175="",P175="",O175=P175),"",ROUND(IF(F175="Long",(R175-O175)/(O175-P175),(O175-R175)/(P175-O175)),2))</f>
        <v/>
      </c>
      <c r="U175" s="38" t="str">
        <f aca="false">IF(T175="","",IF(T175&gt;=Settings!$B$20,"Win",IF(T175&lt;=-Settings!$B$20,"Loss","BE")))</f>
        <v/>
      </c>
      <c r="V175" s="45" t="str">
        <f aca="false">IF(B175="","",Settings!$B$6)</f>
        <v/>
      </c>
      <c r="W175" s="46" t="str">
        <f aca="false">IF(B175="","",(Settings!$B$5+SUM(X$4:X174))*V175)</f>
        <v/>
      </c>
      <c r="X175" s="46" t="str">
        <f aca="false">IF(T175="","",ROUND(T175*W175,2))</f>
        <v/>
      </c>
      <c r="Y175" s="46" t="str">
        <f aca="false">IF(T175="","",Settings!$B$5+SUM(X$5:X175))</f>
        <v/>
      </c>
      <c r="Z175" s="43" t="str">
        <f aca="false">IF(T175="","",SUM(T$5:T175))</f>
        <v/>
      </c>
      <c r="AA175" s="43" t="str">
        <f aca="false">IF(T175="","",MAX(0,MAX(Z$5:Z175)))</f>
        <v/>
      </c>
      <c r="AB175" s="43" t="str">
        <f aca="false">IF(T175="","",Z175-AA175)</f>
        <v/>
      </c>
      <c r="AC175" s="38" t="str">
        <f aca="false">IF(U175="","",IF(U175="Loss",N(AC174)+1,0))</f>
        <v/>
      </c>
      <c r="AD175" s="40"/>
      <c r="AE175" s="38" t="str">
        <f aca="false">IF(B175="","",IF(AND(M175="Yes",OR(AD175="None",AD175="")),"Yes","No"))</f>
        <v/>
      </c>
      <c r="AF175" s="40"/>
      <c r="AG175" s="40"/>
      <c r="AH175" s="47"/>
      <c r="AI175" s="47"/>
    </row>
    <row r="176" customFormat="false" ht="15" hidden="false" customHeight="false" outlineLevel="0" collapsed="false">
      <c r="A176" s="38" t="str">
        <f aca="false">IF(B176="","",ROW()-4)</f>
        <v/>
      </c>
      <c r="B176" s="39"/>
      <c r="C176" s="38" t="str">
        <f aca="false">IF(B176="","",INT((B176-Settings!$B$4)/7)+1)</f>
        <v/>
      </c>
      <c r="D176" s="40"/>
      <c r="E176" s="40"/>
      <c r="F176" s="40"/>
      <c r="G176" s="40"/>
      <c r="H176" s="40"/>
      <c r="I176" s="40"/>
      <c r="J176" s="40"/>
      <c r="K176" s="40"/>
      <c r="L176" s="40"/>
      <c r="M176" s="38" t="str">
        <f aca="false">IF(B176="","",IF(COUNTIF(H176:L176,"Y")=5,"Yes","No"))</f>
        <v/>
      </c>
      <c r="N176" s="41"/>
      <c r="O176" s="42"/>
      <c r="P176" s="42"/>
      <c r="Q176" s="43" t="str">
        <f aca="false">IF(OR(O176="",P176=""),"",IF(F176="Long",O176+Settings!$B$7*(O176-P176),O176-Settings!$B$7*(P176-O176)))</f>
        <v/>
      </c>
      <c r="R176" s="42"/>
      <c r="S176" s="40"/>
      <c r="T176" s="44" t="str">
        <f aca="false">IF(OR(R176="",O176="",P176="",O176=P176),"",ROUND(IF(F176="Long",(R176-O176)/(O176-P176),(O176-R176)/(P176-O176)),2))</f>
        <v/>
      </c>
      <c r="U176" s="38" t="str">
        <f aca="false">IF(T176="","",IF(T176&gt;=Settings!$B$20,"Win",IF(T176&lt;=-Settings!$B$20,"Loss","BE")))</f>
        <v/>
      </c>
      <c r="V176" s="45" t="str">
        <f aca="false">IF(B176="","",Settings!$B$6)</f>
        <v/>
      </c>
      <c r="W176" s="46" t="str">
        <f aca="false">IF(B176="","",(Settings!$B$5+SUM(X$4:X175))*V176)</f>
        <v/>
      </c>
      <c r="X176" s="46" t="str">
        <f aca="false">IF(T176="","",ROUND(T176*W176,2))</f>
        <v/>
      </c>
      <c r="Y176" s="46" t="str">
        <f aca="false">IF(T176="","",Settings!$B$5+SUM(X$5:X176))</f>
        <v/>
      </c>
      <c r="Z176" s="43" t="str">
        <f aca="false">IF(T176="","",SUM(T$5:T176))</f>
        <v/>
      </c>
      <c r="AA176" s="43" t="str">
        <f aca="false">IF(T176="","",MAX(0,MAX(Z$5:Z176)))</f>
        <v/>
      </c>
      <c r="AB176" s="43" t="str">
        <f aca="false">IF(T176="","",Z176-AA176)</f>
        <v/>
      </c>
      <c r="AC176" s="38" t="str">
        <f aca="false">IF(U176="","",IF(U176="Loss",N(AC175)+1,0))</f>
        <v/>
      </c>
      <c r="AD176" s="40"/>
      <c r="AE176" s="38" t="str">
        <f aca="false">IF(B176="","",IF(AND(M176="Yes",OR(AD176="None",AD176="")),"Yes","No"))</f>
        <v/>
      </c>
      <c r="AF176" s="40"/>
      <c r="AG176" s="40"/>
      <c r="AH176" s="47"/>
      <c r="AI176" s="47"/>
    </row>
    <row r="177" customFormat="false" ht="15" hidden="false" customHeight="false" outlineLevel="0" collapsed="false">
      <c r="A177" s="38" t="str">
        <f aca="false">IF(B177="","",ROW()-4)</f>
        <v/>
      </c>
      <c r="B177" s="39"/>
      <c r="C177" s="38" t="str">
        <f aca="false">IF(B177="","",INT((B177-Settings!$B$4)/7)+1)</f>
        <v/>
      </c>
      <c r="D177" s="40"/>
      <c r="E177" s="40"/>
      <c r="F177" s="40"/>
      <c r="G177" s="40"/>
      <c r="H177" s="40"/>
      <c r="I177" s="40"/>
      <c r="J177" s="40"/>
      <c r="K177" s="40"/>
      <c r="L177" s="40"/>
      <c r="M177" s="38" t="str">
        <f aca="false">IF(B177="","",IF(COUNTIF(H177:L177,"Y")=5,"Yes","No"))</f>
        <v/>
      </c>
      <c r="N177" s="41"/>
      <c r="O177" s="42"/>
      <c r="P177" s="42"/>
      <c r="Q177" s="43" t="str">
        <f aca="false">IF(OR(O177="",P177=""),"",IF(F177="Long",O177+Settings!$B$7*(O177-P177),O177-Settings!$B$7*(P177-O177)))</f>
        <v/>
      </c>
      <c r="R177" s="42"/>
      <c r="S177" s="40"/>
      <c r="T177" s="44" t="str">
        <f aca="false">IF(OR(R177="",O177="",P177="",O177=P177),"",ROUND(IF(F177="Long",(R177-O177)/(O177-P177),(O177-R177)/(P177-O177)),2))</f>
        <v/>
      </c>
      <c r="U177" s="38" t="str">
        <f aca="false">IF(T177="","",IF(T177&gt;=Settings!$B$20,"Win",IF(T177&lt;=-Settings!$B$20,"Loss","BE")))</f>
        <v/>
      </c>
      <c r="V177" s="45" t="str">
        <f aca="false">IF(B177="","",Settings!$B$6)</f>
        <v/>
      </c>
      <c r="W177" s="46" t="str">
        <f aca="false">IF(B177="","",(Settings!$B$5+SUM(X$4:X176))*V177)</f>
        <v/>
      </c>
      <c r="X177" s="46" t="str">
        <f aca="false">IF(T177="","",ROUND(T177*W177,2))</f>
        <v/>
      </c>
      <c r="Y177" s="46" t="str">
        <f aca="false">IF(T177="","",Settings!$B$5+SUM(X$5:X177))</f>
        <v/>
      </c>
      <c r="Z177" s="43" t="str">
        <f aca="false">IF(T177="","",SUM(T$5:T177))</f>
        <v/>
      </c>
      <c r="AA177" s="43" t="str">
        <f aca="false">IF(T177="","",MAX(0,MAX(Z$5:Z177)))</f>
        <v/>
      </c>
      <c r="AB177" s="43" t="str">
        <f aca="false">IF(T177="","",Z177-AA177)</f>
        <v/>
      </c>
      <c r="AC177" s="38" t="str">
        <f aca="false">IF(U177="","",IF(U177="Loss",N(AC176)+1,0))</f>
        <v/>
      </c>
      <c r="AD177" s="40"/>
      <c r="AE177" s="38" t="str">
        <f aca="false">IF(B177="","",IF(AND(M177="Yes",OR(AD177="None",AD177="")),"Yes","No"))</f>
        <v/>
      </c>
      <c r="AF177" s="40"/>
      <c r="AG177" s="40"/>
      <c r="AH177" s="47"/>
      <c r="AI177" s="47"/>
    </row>
    <row r="178" customFormat="false" ht="15" hidden="false" customHeight="false" outlineLevel="0" collapsed="false">
      <c r="A178" s="38" t="str">
        <f aca="false">IF(B178="","",ROW()-4)</f>
        <v/>
      </c>
      <c r="B178" s="39"/>
      <c r="C178" s="38" t="str">
        <f aca="false">IF(B178="","",INT((B178-Settings!$B$4)/7)+1)</f>
        <v/>
      </c>
      <c r="D178" s="40"/>
      <c r="E178" s="40"/>
      <c r="F178" s="40"/>
      <c r="G178" s="40"/>
      <c r="H178" s="40"/>
      <c r="I178" s="40"/>
      <c r="J178" s="40"/>
      <c r="K178" s="40"/>
      <c r="L178" s="40"/>
      <c r="M178" s="38" t="str">
        <f aca="false">IF(B178="","",IF(COUNTIF(H178:L178,"Y")=5,"Yes","No"))</f>
        <v/>
      </c>
      <c r="N178" s="41"/>
      <c r="O178" s="42"/>
      <c r="P178" s="42"/>
      <c r="Q178" s="43" t="str">
        <f aca="false">IF(OR(O178="",P178=""),"",IF(F178="Long",O178+Settings!$B$7*(O178-P178),O178-Settings!$B$7*(P178-O178)))</f>
        <v/>
      </c>
      <c r="R178" s="42"/>
      <c r="S178" s="40"/>
      <c r="T178" s="44" t="str">
        <f aca="false">IF(OR(R178="",O178="",P178="",O178=P178),"",ROUND(IF(F178="Long",(R178-O178)/(O178-P178),(O178-R178)/(P178-O178)),2))</f>
        <v/>
      </c>
      <c r="U178" s="38" t="str">
        <f aca="false">IF(T178="","",IF(T178&gt;=Settings!$B$20,"Win",IF(T178&lt;=-Settings!$B$20,"Loss","BE")))</f>
        <v/>
      </c>
      <c r="V178" s="45" t="str">
        <f aca="false">IF(B178="","",Settings!$B$6)</f>
        <v/>
      </c>
      <c r="W178" s="46" t="str">
        <f aca="false">IF(B178="","",(Settings!$B$5+SUM(X$4:X177))*V178)</f>
        <v/>
      </c>
      <c r="X178" s="46" t="str">
        <f aca="false">IF(T178="","",ROUND(T178*W178,2))</f>
        <v/>
      </c>
      <c r="Y178" s="46" t="str">
        <f aca="false">IF(T178="","",Settings!$B$5+SUM(X$5:X178))</f>
        <v/>
      </c>
      <c r="Z178" s="43" t="str">
        <f aca="false">IF(T178="","",SUM(T$5:T178))</f>
        <v/>
      </c>
      <c r="AA178" s="43" t="str">
        <f aca="false">IF(T178="","",MAX(0,MAX(Z$5:Z178)))</f>
        <v/>
      </c>
      <c r="AB178" s="43" t="str">
        <f aca="false">IF(T178="","",Z178-AA178)</f>
        <v/>
      </c>
      <c r="AC178" s="38" t="str">
        <f aca="false">IF(U178="","",IF(U178="Loss",N(AC177)+1,0))</f>
        <v/>
      </c>
      <c r="AD178" s="40"/>
      <c r="AE178" s="38" t="str">
        <f aca="false">IF(B178="","",IF(AND(M178="Yes",OR(AD178="None",AD178="")),"Yes","No"))</f>
        <v/>
      </c>
      <c r="AF178" s="40"/>
      <c r="AG178" s="40"/>
      <c r="AH178" s="47"/>
      <c r="AI178" s="47"/>
    </row>
    <row r="179" customFormat="false" ht="15" hidden="false" customHeight="false" outlineLevel="0" collapsed="false">
      <c r="A179" s="38" t="str">
        <f aca="false">IF(B179="","",ROW()-4)</f>
        <v/>
      </c>
      <c r="B179" s="39"/>
      <c r="C179" s="38" t="str">
        <f aca="false">IF(B179="","",INT((B179-Settings!$B$4)/7)+1)</f>
        <v/>
      </c>
      <c r="D179" s="40"/>
      <c r="E179" s="40"/>
      <c r="F179" s="40"/>
      <c r="G179" s="40"/>
      <c r="H179" s="40"/>
      <c r="I179" s="40"/>
      <c r="J179" s="40"/>
      <c r="K179" s="40"/>
      <c r="L179" s="40"/>
      <c r="M179" s="38" t="str">
        <f aca="false">IF(B179="","",IF(COUNTIF(H179:L179,"Y")=5,"Yes","No"))</f>
        <v/>
      </c>
      <c r="N179" s="41"/>
      <c r="O179" s="42"/>
      <c r="P179" s="42"/>
      <c r="Q179" s="43" t="str">
        <f aca="false">IF(OR(O179="",P179=""),"",IF(F179="Long",O179+Settings!$B$7*(O179-P179),O179-Settings!$B$7*(P179-O179)))</f>
        <v/>
      </c>
      <c r="R179" s="42"/>
      <c r="S179" s="40"/>
      <c r="T179" s="44" t="str">
        <f aca="false">IF(OR(R179="",O179="",P179="",O179=P179),"",ROUND(IF(F179="Long",(R179-O179)/(O179-P179),(O179-R179)/(P179-O179)),2))</f>
        <v/>
      </c>
      <c r="U179" s="38" t="str">
        <f aca="false">IF(T179="","",IF(T179&gt;=Settings!$B$20,"Win",IF(T179&lt;=-Settings!$B$20,"Loss","BE")))</f>
        <v/>
      </c>
      <c r="V179" s="45" t="str">
        <f aca="false">IF(B179="","",Settings!$B$6)</f>
        <v/>
      </c>
      <c r="W179" s="46" t="str">
        <f aca="false">IF(B179="","",(Settings!$B$5+SUM(X$4:X178))*V179)</f>
        <v/>
      </c>
      <c r="X179" s="46" t="str">
        <f aca="false">IF(T179="","",ROUND(T179*W179,2))</f>
        <v/>
      </c>
      <c r="Y179" s="46" t="str">
        <f aca="false">IF(T179="","",Settings!$B$5+SUM(X$5:X179))</f>
        <v/>
      </c>
      <c r="Z179" s="43" t="str">
        <f aca="false">IF(T179="","",SUM(T$5:T179))</f>
        <v/>
      </c>
      <c r="AA179" s="43" t="str">
        <f aca="false">IF(T179="","",MAX(0,MAX(Z$5:Z179)))</f>
        <v/>
      </c>
      <c r="AB179" s="43" t="str">
        <f aca="false">IF(T179="","",Z179-AA179)</f>
        <v/>
      </c>
      <c r="AC179" s="38" t="str">
        <f aca="false">IF(U179="","",IF(U179="Loss",N(AC178)+1,0))</f>
        <v/>
      </c>
      <c r="AD179" s="40"/>
      <c r="AE179" s="38" t="str">
        <f aca="false">IF(B179="","",IF(AND(M179="Yes",OR(AD179="None",AD179="")),"Yes","No"))</f>
        <v/>
      </c>
      <c r="AF179" s="40"/>
      <c r="AG179" s="40"/>
      <c r="AH179" s="47"/>
      <c r="AI179" s="47"/>
    </row>
    <row r="180" customFormat="false" ht="15" hidden="false" customHeight="false" outlineLevel="0" collapsed="false">
      <c r="A180" s="38" t="str">
        <f aca="false">IF(B180="","",ROW()-4)</f>
        <v/>
      </c>
      <c r="B180" s="39"/>
      <c r="C180" s="38" t="str">
        <f aca="false">IF(B180="","",INT((B180-Settings!$B$4)/7)+1)</f>
        <v/>
      </c>
      <c r="D180" s="40"/>
      <c r="E180" s="40"/>
      <c r="F180" s="40"/>
      <c r="G180" s="40"/>
      <c r="H180" s="40"/>
      <c r="I180" s="40"/>
      <c r="J180" s="40"/>
      <c r="K180" s="40"/>
      <c r="L180" s="40"/>
      <c r="M180" s="38" t="str">
        <f aca="false">IF(B180="","",IF(COUNTIF(H180:L180,"Y")=5,"Yes","No"))</f>
        <v/>
      </c>
      <c r="N180" s="41"/>
      <c r="O180" s="42"/>
      <c r="P180" s="42"/>
      <c r="Q180" s="43" t="str">
        <f aca="false">IF(OR(O180="",P180=""),"",IF(F180="Long",O180+Settings!$B$7*(O180-P180),O180-Settings!$B$7*(P180-O180)))</f>
        <v/>
      </c>
      <c r="R180" s="42"/>
      <c r="S180" s="40"/>
      <c r="T180" s="44" t="str">
        <f aca="false">IF(OR(R180="",O180="",P180="",O180=P180),"",ROUND(IF(F180="Long",(R180-O180)/(O180-P180),(O180-R180)/(P180-O180)),2))</f>
        <v/>
      </c>
      <c r="U180" s="38" t="str">
        <f aca="false">IF(T180="","",IF(T180&gt;=Settings!$B$20,"Win",IF(T180&lt;=-Settings!$B$20,"Loss","BE")))</f>
        <v/>
      </c>
      <c r="V180" s="45" t="str">
        <f aca="false">IF(B180="","",Settings!$B$6)</f>
        <v/>
      </c>
      <c r="W180" s="46" t="str">
        <f aca="false">IF(B180="","",(Settings!$B$5+SUM(X$4:X179))*V180)</f>
        <v/>
      </c>
      <c r="X180" s="46" t="str">
        <f aca="false">IF(T180="","",ROUND(T180*W180,2))</f>
        <v/>
      </c>
      <c r="Y180" s="46" t="str">
        <f aca="false">IF(T180="","",Settings!$B$5+SUM(X$5:X180))</f>
        <v/>
      </c>
      <c r="Z180" s="43" t="str">
        <f aca="false">IF(T180="","",SUM(T$5:T180))</f>
        <v/>
      </c>
      <c r="AA180" s="43" t="str">
        <f aca="false">IF(T180="","",MAX(0,MAX(Z$5:Z180)))</f>
        <v/>
      </c>
      <c r="AB180" s="43" t="str">
        <f aca="false">IF(T180="","",Z180-AA180)</f>
        <v/>
      </c>
      <c r="AC180" s="38" t="str">
        <f aca="false">IF(U180="","",IF(U180="Loss",N(AC179)+1,0))</f>
        <v/>
      </c>
      <c r="AD180" s="40"/>
      <c r="AE180" s="38" t="str">
        <f aca="false">IF(B180="","",IF(AND(M180="Yes",OR(AD180="None",AD180="")),"Yes","No"))</f>
        <v/>
      </c>
      <c r="AF180" s="40"/>
      <c r="AG180" s="40"/>
      <c r="AH180" s="47"/>
      <c r="AI180" s="47"/>
    </row>
    <row r="181" customFormat="false" ht="15" hidden="false" customHeight="false" outlineLevel="0" collapsed="false">
      <c r="A181" s="38" t="str">
        <f aca="false">IF(B181="","",ROW()-4)</f>
        <v/>
      </c>
      <c r="B181" s="39"/>
      <c r="C181" s="38" t="str">
        <f aca="false">IF(B181="","",INT((B181-Settings!$B$4)/7)+1)</f>
        <v/>
      </c>
      <c r="D181" s="40"/>
      <c r="E181" s="40"/>
      <c r="F181" s="40"/>
      <c r="G181" s="40"/>
      <c r="H181" s="40"/>
      <c r="I181" s="40"/>
      <c r="J181" s="40"/>
      <c r="K181" s="40"/>
      <c r="L181" s="40"/>
      <c r="M181" s="38" t="str">
        <f aca="false">IF(B181="","",IF(COUNTIF(H181:L181,"Y")=5,"Yes","No"))</f>
        <v/>
      </c>
      <c r="N181" s="41"/>
      <c r="O181" s="42"/>
      <c r="P181" s="42"/>
      <c r="Q181" s="43" t="str">
        <f aca="false">IF(OR(O181="",P181=""),"",IF(F181="Long",O181+Settings!$B$7*(O181-P181),O181-Settings!$B$7*(P181-O181)))</f>
        <v/>
      </c>
      <c r="R181" s="42"/>
      <c r="S181" s="40"/>
      <c r="T181" s="44" t="str">
        <f aca="false">IF(OR(R181="",O181="",P181="",O181=P181),"",ROUND(IF(F181="Long",(R181-O181)/(O181-P181),(O181-R181)/(P181-O181)),2))</f>
        <v/>
      </c>
      <c r="U181" s="38" t="str">
        <f aca="false">IF(T181="","",IF(T181&gt;=Settings!$B$20,"Win",IF(T181&lt;=-Settings!$B$20,"Loss","BE")))</f>
        <v/>
      </c>
      <c r="V181" s="45" t="str">
        <f aca="false">IF(B181="","",Settings!$B$6)</f>
        <v/>
      </c>
      <c r="W181" s="46" t="str">
        <f aca="false">IF(B181="","",(Settings!$B$5+SUM(X$4:X180))*V181)</f>
        <v/>
      </c>
      <c r="X181" s="46" t="str">
        <f aca="false">IF(T181="","",ROUND(T181*W181,2))</f>
        <v/>
      </c>
      <c r="Y181" s="46" t="str">
        <f aca="false">IF(T181="","",Settings!$B$5+SUM(X$5:X181))</f>
        <v/>
      </c>
      <c r="Z181" s="43" t="str">
        <f aca="false">IF(T181="","",SUM(T$5:T181))</f>
        <v/>
      </c>
      <c r="AA181" s="43" t="str">
        <f aca="false">IF(T181="","",MAX(0,MAX(Z$5:Z181)))</f>
        <v/>
      </c>
      <c r="AB181" s="43" t="str">
        <f aca="false">IF(T181="","",Z181-AA181)</f>
        <v/>
      </c>
      <c r="AC181" s="38" t="str">
        <f aca="false">IF(U181="","",IF(U181="Loss",N(AC180)+1,0))</f>
        <v/>
      </c>
      <c r="AD181" s="40"/>
      <c r="AE181" s="38" t="str">
        <f aca="false">IF(B181="","",IF(AND(M181="Yes",OR(AD181="None",AD181="")),"Yes","No"))</f>
        <v/>
      </c>
      <c r="AF181" s="40"/>
      <c r="AG181" s="40"/>
      <c r="AH181" s="47"/>
      <c r="AI181" s="47"/>
    </row>
    <row r="182" customFormat="false" ht="15" hidden="false" customHeight="false" outlineLevel="0" collapsed="false">
      <c r="A182" s="38" t="str">
        <f aca="false">IF(B182="","",ROW()-4)</f>
        <v/>
      </c>
      <c r="B182" s="39"/>
      <c r="C182" s="38" t="str">
        <f aca="false">IF(B182="","",INT((B182-Settings!$B$4)/7)+1)</f>
        <v/>
      </c>
      <c r="D182" s="40"/>
      <c r="E182" s="40"/>
      <c r="F182" s="40"/>
      <c r="G182" s="40"/>
      <c r="H182" s="40"/>
      <c r="I182" s="40"/>
      <c r="J182" s="40"/>
      <c r="K182" s="40"/>
      <c r="L182" s="40"/>
      <c r="M182" s="38" t="str">
        <f aca="false">IF(B182="","",IF(COUNTIF(H182:L182,"Y")=5,"Yes","No"))</f>
        <v/>
      </c>
      <c r="N182" s="41"/>
      <c r="O182" s="42"/>
      <c r="P182" s="42"/>
      <c r="Q182" s="43" t="str">
        <f aca="false">IF(OR(O182="",P182=""),"",IF(F182="Long",O182+Settings!$B$7*(O182-P182),O182-Settings!$B$7*(P182-O182)))</f>
        <v/>
      </c>
      <c r="R182" s="42"/>
      <c r="S182" s="40"/>
      <c r="T182" s="44" t="str">
        <f aca="false">IF(OR(R182="",O182="",P182="",O182=P182),"",ROUND(IF(F182="Long",(R182-O182)/(O182-P182),(O182-R182)/(P182-O182)),2))</f>
        <v/>
      </c>
      <c r="U182" s="38" t="str">
        <f aca="false">IF(T182="","",IF(T182&gt;=Settings!$B$20,"Win",IF(T182&lt;=-Settings!$B$20,"Loss","BE")))</f>
        <v/>
      </c>
      <c r="V182" s="45" t="str">
        <f aca="false">IF(B182="","",Settings!$B$6)</f>
        <v/>
      </c>
      <c r="W182" s="46" t="str">
        <f aca="false">IF(B182="","",(Settings!$B$5+SUM(X$4:X181))*V182)</f>
        <v/>
      </c>
      <c r="X182" s="46" t="str">
        <f aca="false">IF(T182="","",ROUND(T182*W182,2))</f>
        <v/>
      </c>
      <c r="Y182" s="46" t="str">
        <f aca="false">IF(T182="","",Settings!$B$5+SUM(X$5:X182))</f>
        <v/>
      </c>
      <c r="Z182" s="43" t="str">
        <f aca="false">IF(T182="","",SUM(T$5:T182))</f>
        <v/>
      </c>
      <c r="AA182" s="43" t="str">
        <f aca="false">IF(T182="","",MAX(0,MAX(Z$5:Z182)))</f>
        <v/>
      </c>
      <c r="AB182" s="43" t="str">
        <f aca="false">IF(T182="","",Z182-AA182)</f>
        <v/>
      </c>
      <c r="AC182" s="38" t="str">
        <f aca="false">IF(U182="","",IF(U182="Loss",N(AC181)+1,0))</f>
        <v/>
      </c>
      <c r="AD182" s="40"/>
      <c r="AE182" s="38" t="str">
        <f aca="false">IF(B182="","",IF(AND(M182="Yes",OR(AD182="None",AD182="")),"Yes","No"))</f>
        <v/>
      </c>
      <c r="AF182" s="40"/>
      <c r="AG182" s="40"/>
      <c r="AH182" s="47"/>
      <c r="AI182" s="47"/>
    </row>
    <row r="183" customFormat="false" ht="15" hidden="false" customHeight="false" outlineLevel="0" collapsed="false">
      <c r="A183" s="38" t="str">
        <f aca="false">IF(B183="","",ROW()-4)</f>
        <v/>
      </c>
      <c r="B183" s="39"/>
      <c r="C183" s="38" t="str">
        <f aca="false">IF(B183="","",INT((B183-Settings!$B$4)/7)+1)</f>
        <v/>
      </c>
      <c r="D183" s="40"/>
      <c r="E183" s="40"/>
      <c r="F183" s="40"/>
      <c r="G183" s="40"/>
      <c r="H183" s="40"/>
      <c r="I183" s="40"/>
      <c r="J183" s="40"/>
      <c r="K183" s="40"/>
      <c r="L183" s="40"/>
      <c r="M183" s="38" t="str">
        <f aca="false">IF(B183="","",IF(COUNTIF(H183:L183,"Y")=5,"Yes","No"))</f>
        <v/>
      </c>
      <c r="N183" s="41"/>
      <c r="O183" s="42"/>
      <c r="P183" s="42"/>
      <c r="Q183" s="43" t="str">
        <f aca="false">IF(OR(O183="",P183=""),"",IF(F183="Long",O183+Settings!$B$7*(O183-P183),O183-Settings!$B$7*(P183-O183)))</f>
        <v/>
      </c>
      <c r="R183" s="42"/>
      <c r="S183" s="40"/>
      <c r="T183" s="44" t="str">
        <f aca="false">IF(OR(R183="",O183="",P183="",O183=P183),"",ROUND(IF(F183="Long",(R183-O183)/(O183-P183),(O183-R183)/(P183-O183)),2))</f>
        <v/>
      </c>
      <c r="U183" s="38" t="str">
        <f aca="false">IF(T183="","",IF(T183&gt;=Settings!$B$20,"Win",IF(T183&lt;=-Settings!$B$20,"Loss","BE")))</f>
        <v/>
      </c>
      <c r="V183" s="45" t="str">
        <f aca="false">IF(B183="","",Settings!$B$6)</f>
        <v/>
      </c>
      <c r="W183" s="46" t="str">
        <f aca="false">IF(B183="","",(Settings!$B$5+SUM(X$4:X182))*V183)</f>
        <v/>
      </c>
      <c r="X183" s="46" t="str">
        <f aca="false">IF(T183="","",ROUND(T183*W183,2))</f>
        <v/>
      </c>
      <c r="Y183" s="46" t="str">
        <f aca="false">IF(T183="","",Settings!$B$5+SUM(X$5:X183))</f>
        <v/>
      </c>
      <c r="Z183" s="43" t="str">
        <f aca="false">IF(T183="","",SUM(T$5:T183))</f>
        <v/>
      </c>
      <c r="AA183" s="43" t="str">
        <f aca="false">IF(T183="","",MAX(0,MAX(Z$5:Z183)))</f>
        <v/>
      </c>
      <c r="AB183" s="43" t="str">
        <f aca="false">IF(T183="","",Z183-AA183)</f>
        <v/>
      </c>
      <c r="AC183" s="38" t="str">
        <f aca="false">IF(U183="","",IF(U183="Loss",N(AC182)+1,0))</f>
        <v/>
      </c>
      <c r="AD183" s="40"/>
      <c r="AE183" s="38" t="str">
        <f aca="false">IF(B183="","",IF(AND(M183="Yes",OR(AD183="None",AD183="")),"Yes","No"))</f>
        <v/>
      </c>
      <c r="AF183" s="40"/>
      <c r="AG183" s="40"/>
      <c r="AH183" s="47"/>
      <c r="AI183" s="47"/>
    </row>
    <row r="184" customFormat="false" ht="15" hidden="false" customHeight="false" outlineLevel="0" collapsed="false">
      <c r="A184" s="38" t="str">
        <f aca="false">IF(B184="","",ROW()-4)</f>
        <v/>
      </c>
      <c r="B184" s="39"/>
      <c r="C184" s="38" t="str">
        <f aca="false">IF(B184="","",INT((B184-Settings!$B$4)/7)+1)</f>
        <v/>
      </c>
      <c r="D184" s="40"/>
      <c r="E184" s="40"/>
      <c r="F184" s="40"/>
      <c r="G184" s="40"/>
      <c r="H184" s="40"/>
      <c r="I184" s="40"/>
      <c r="J184" s="40"/>
      <c r="K184" s="40"/>
      <c r="L184" s="40"/>
      <c r="M184" s="38" t="str">
        <f aca="false">IF(B184="","",IF(COUNTIF(H184:L184,"Y")=5,"Yes","No"))</f>
        <v/>
      </c>
      <c r="N184" s="41"/>
      <c r="O184" s="42"/>
      <c r="P184" s="42"/>
      <c r="Q184" s="43" t="str">
        <f aca="false">IF(OR(O184="",P184=""),"",IF(F184="Long",O184+Settings!$B$7*(O184-P184),O184-Settings!$B$7*(P184-O184)))</f>
        <v/>
      </c>
      <c r="R184" s="42"/>
      <c r="S184" s="40"/>
      <c r="T184" s="44" t="str">
        <f aca="false">IF(OR(R184="",O184="",P184="",O184=P184),"",ROUND(IF(F184="Long",(R184-O184)/(O184-P184),(O184-R184)/(P184-O184)),2))</f>
        <v/>
      </c>
      <c r="U184" s="38" t="str">
        <f aca="false">IF(T184="","",IF(T184&gt;=Settings!$B$20,"Win",IF(T184&lt;=-Settings!$B$20,"Loss","BE")))</f>
        <v/>
      </c>
      <c r="V184" s="45" t="str">
        <f aca="false">IF(B184="","",Settings!$B$6)</f>
        <v/>
      </c>
      <c r="W184" s="46" t="str">
        <f aca="false">IF(B184="","",(Settings!$B$5+SUM(X$4:X183))*V184)</f>
        <v/>
      </c>
      <c r="X184" s="46" t="str">
        <f aca="false">IF(T184="","",ROUND(T184*W184,2))</f>
        <v/>
      </c>
      <c r="Y184" s="46" t="str">
        <f aca="false">IF(T184="","",Settings!$B$5+SUM(X$5:X184))</f>
        <v/>
      </c>
      <c r="Z184" s="43" t="str">
        <f aca="false">IF(T184="","",SUM(T$5:T184))</f>
        <v/>
      </c>
      <c r="AA184" s="43" t="str">
        <f aca="false">IF(T184="","",MAX(0,MAX(Z$5:Z184)))</f>
        <v/>
      </c>
      <c r="AB184" s="43" t="str">
        <f aca="false">IF(T184="","",Z184-AA184)</f>
        <v/>
      </c>
      <c r="AC184" s="38" t="str">
        <f aca="false">IF(U184="","",IF(U184="Loss",N(AC183)+1,0))</f>
        <v/>
      </c>
      <c r="AD184" s="40"/>
      <c r="AE184" s="38" t="str">
        <f aca="false">IF(B184="","",IF(AND(M184="Yes",OR(AD184="None",AD184="")),"Yes","No"))</f>
        <v/>
      </c>
      <c r="AF184" s="40"/>
      <c r="AG184" s="40"/>
      <c r="AH184" s="47"/>
      <c r="AI184" s="47"/>
    </row>
    <row r="185" customFormat="false" ht="15" hidden="false" customHeight="false" outlineLevel="0" collapsed="false">
      <c r="A185" s="38" t="str">
        <f aca="false">IF(B185="","",ROW()-4)</f>
        <v/>
      </c>
      <c r="B185" s="39"/>
      <c r="C185" s="38" t="str">
        <f aca="false">IF(B185="","",INT((B185-Settings!$B$4)/7)+1)</f>
        <v/>
      </c>
      <c r="D185" s="40"/>
      <c r="E185" s="40"/>
      <c r="F185" s="40"/>
      <c r="G185" s="40"/>
      <c r="H185" s="40"/>
      <c r="I185" s="40"/>
      <c r="J185" s="40"/>
      <c r="K185" s="40"/>
      <c r="L185" s="40"/>
      <c r="M185" s="38" t="str">
        <f aca="false">IF(B185="","",IF(COUNTIF(H185:L185,"Y")=5,"Yes","No"))</f>
        <v/>
      </c>
      <c r="N185" s="41"/>
      <c r="O185" s="42"/>
      <c r="P185" s="42"/>
      <c r="Q185" s="43" t="str">
        <f aca="false">IF(OR(O185="",P185=""),"",IF(F185="Long",O185+Settings!$B$7*(O185-P185),O185-Settings!$B$7*(P185-O185)))</f>
        <v/>
      </c>
      <c r="R185" s="42"/>
      <c r="S185" s="40"/>
      <c r="T185" s="44" t="str">
        <f aca="false">IF(OR(R185="",O185="",P185="",O185=P185),"",ROUND(IF(F185="Long",(R185-O185)/(O185-P185),(O185-R185)/(P185-O185)),2))</f>
        <v/>
      </c>
      <c r="U185" s="38" t="str">
        <f aca="false">IF(T185="","",IF(T185&gt;=Settings!$B$20,"Win",IF(T185&lt;=-Settings!$B$20,"Loss","BE")))</f>
        <v/>
      </c>
      <c r="V185" s="45" t="str">
        <f aca="false">IF(B185="","",Settings!$B$6)</f>
        <v/>
      </c>
      <c r="W185" s="46" t="str">
        <f aca="false">IF(B185="","",(Settings!$B$5+SUM(X$4:X184))*V185)</f>
        <v/>
      </c>
      <c r="X185" s="46" t="str">
        <f aca="false">IF(T185="","",ROUND(T185*W185,2))</f>
        <v/>
      </c>
      <c r="Y185" s="46" t="str">
        <f aca="false">IF(T185="","",Settings!$B$5+SUM(X$5:X185))</f>
        <v/>
      </c>
      <c r="Z185" s="43" t="str">
        <f aca="false">IF(T185="","",SUM(T$5:T185))</f>
        <v/>
      </c>
      <c r="AA185" s="43" t="str">
        <f aca="false">IF(T185="","",MAX(0,MAX(Z$5:Z185)))</f>
        <v/>
      </c>
      <c r="AB185" s="43" t="str">
        <f aca="false">IF(T185="","",Z185-AA185)</f>
        <v/>
      </c>
      <c r="AC185" s="38" t="str">
        <f aca="false">IF(U185="","",IF(U185="Loss",N(AC184)+1,0))</f>
        <v/>
      </c>
      <c r="AD185" s="40"/>
      <c r="AE185" s="38" t="str">
        <f aca="false">IF(B185="","",IF(AND(M185="Yes",OR(AD185="None",AD185="")),"Yes","No"))</f>
        <v/>
      </c>
      <c r="AF185" s="40"/>
      <c r="AG185" s="40"/>
      <c r="AH185" s="47"/>
      <c r="AI185" s="47"/>
    </row>
    <row r="186" customFormat="false" ht="15" hidden="false" customHeight="false" outlineLevel="0" collapsed="false">
      <c r="A186" s="38" t="str">
        <f aca="false">IF(B186="","",ROW()-4)</f>
        <v/>
      </c>
      <c r="B186" s="39"/>
      <c r="C186" s="38" t="str">
        <f aca="false">IF(B186="","",INT((B186-Settings!$B$4)/7)+1)</f>
        <v/>
      </c>
      <c r="D186" s="40"/>
      <c r="E186" s="40"/>
      <c r="F186" s="40"/>
      <c r="G186" s="40"/>
      <c r="H186" s="40"/>
      <c r="I186" s="40"/>
      <c r="J186" s="40"/>
      <c r="K186" s="40"/>
      <c r="L186" s="40"/>
      <c r="M186" s="38" t="str">
        <f aca="false">IF(B186="","",IF(COUNTIF(H186:L186,"Y")=5,"Yes","No"))</f>
        <v/>
      </c>
      <c r="N186" s="41"/>
      <c r="O186" s="42"/>
      <c r="P186" s="42"/>
      <c r="Q186" s="43" t="str">
        <f aca="false">IF(OR(O186="",P186=""),"",IF(F186="Long",O186+Settings!$B$7*(O186-P186),O186-Settings!$B$7*(P186-O186)))</f>
        <v/>
      </c>
      <c r="R186" s="42"/>
      <c r="S186" s="40"/>
      <c r="T186" s="44" t="str">
        <f aca="false">IF(OR(R186="",O186="",P186="",O186=P186),"",ROUND(IF(F186="Long",(R186-O186)/(O186-P186),(O186-R186)/(P186-O186)),2))</f>
        <v/>
      </c>
      <c r="U186" s="38" t="str">
        <f aca="false">IF(T186="","",IF(T186&gt;=Settings!$B$20,"Win",IF(T186&lt;=-Settings!$B$20,"Loss","BE")))</f>
        <v/>
      </c>
      <c r="V186" s="45" t="str">
        <f aca="false">IF(B186="","",Settings!$B$6)</f>
        <v/>
      </c>
      <c r="W186" s="46" t="str">
        <f aca="false">IF(B186="","",(Settings!$B$5+SUM(X$4:X185))*V186)</f>
        <v/>
      </c>
      <c r="X186" s="46" t="str">
        <f aca="false">IF(T186="","",ROUND(T186*W186,2))</f>
        <v/>
      </c>
      <c r="Y186" s="46" t="str">
        <f aca="false">IF(T186="","",Settings!$B$5+SUM(X$5:X186))</f>
        <v/>
      </c>
      <c r="Z186" s="43" t="str">
        <f aca="false">IF(T186="","",SUM(T$5:T186))</f>
        <v/>
      </c>
      <c r="AA186" s="43" t="str">
        <f aca="false">IF(T186="","",MAX(0,MAX(Z$5:Z186)))</f>
        <v/>
      </c>
      <c r="AB186" s="43" t="str">
        <f aca="false">IF(T186="","",Z186-AA186)</f>
        <v/>
      </c>
      <c r="AC186" s="38" t="str">
        <f aca="false">IF(U186="","",IF(U186="Loss",N(AC185)+1,0))</f>
        <v/>
      </c>
      <c r="AD186" s="40"/>
      <c r="AE186" s="38" t="str">
        <f aca="false">IF(B186="","",IF(AND(M186="Yes",OR(AD186="None",AD186="")),"Yes","No"))</f>
        <v/>
      </c>
      <c r="AF186" s="40"/>
      <c r="AG186" s="40"/>
      <c r="AH186" s="47"/>
      <c r="AI186" s="47"/>
    </row>
    <row r="187" customFormat="false" ht="15" hidden="false" customHeight="false" outlineLevel="0" collapsed="false">
      <c r="A187" s="38" t="str">
        <f aca="false">IF(B187="","",ROW()-4)</f>
        <v/>
      </c>
      <c r="B187" s="39"/>
      <c r="C187" s="38" t="str">
        <f aca="false">IF(B187="","",INT((B187-Settings!$B$4)/7)+1)</f>
        <v/>
      </c>
      <c r="D187" s="40"/>
      <c r="E187" s="40"/>
      <c r="F187" s="40"/>
      <c r="G187" s="40"/>
      <c r="H187" s="40"/>
      <c r="I187" s="40"/>
      <c r="J187" s="40"/>
      <c r="K187" s="40"/>
      <c r="L187" s="40"/>
      <c r="M187" s="38" t="str">
        <f aca="false">IF(B187="","",IF(COUNTIF(H187:L187,"Y")=5,"Yes","No"))</f>
        <v/>
      </c>
      <c r="N187" s="41"/>
      <c r="O187" s="42"/>
      <c r="P187" s="42"/>
      <c r="Q187" s="43" t="str">
        <f aca="false">IF(OR(O187="",P187=""),"",IF(F187="Long",O187+Settings!$B$7*(O187-P187),O187-Settings!$B$7*(P187-O187)))</f>
        <v/>
      </c>
      <c r="R187" s="42"/>
      <c r="S187" s="40"/>
      <c r="T187" s="44" t="str">
        <f aca="false">IF(OR(R187="",O187="",P187="",O187=P187),"",ROUND(IF(F187="Long",(R187-O187)/(O187-P187),(O187-R187)/(P187-O187)),2))</f>
        <v/>
      </c>
      <c r="U187" s="38" t="str">
        <f aca="false">IF(T187="","",IF(T187&gt;=Settings!$B$20,"Win",IF(T187&lt;=-Settings!$B$20,"Loss","BE")))</f>
        <v/>
      </c>
      <c r="V187" s="45" t="str">
        <f aca="false">IF(B187="","",Settings!$B$6)</f>
        <v/>
      </c>
      <c r="W187" s="46" t="str">
        <f aca="false">IF(B187="","",(Settings!$B$5+SUM(X$4:X186))*V187)</f>
        <v/>
      </c>
      <c r="X187" s="46" t="str">
        <f aca="false">IF(T187="","",ROUND(T187*W187,2))</f>
        <v/>
      </c>
      <c r="Y187" s="46" t="str">
        <f aca="false">IF(T187="","",Settings!$B$5+SUM(X$5:X187))</f>
        <v/>
      </c>
      <c r="Z187" s="43" t="str">
        <f aca="false">IF(T187="","",SUM(T$5:T187))</f>
        <v/>
      </c>
      <c r="AA187" s="43" t="str">
        <f aca="false">IF(T187="","",MAX(0,MAX(Z$5:Z187)))</f>
        <v/>
      </c>
      <c r="AB187" s="43" t="str">
        <f aca="false">IF(T187="","",Z187-AA187)</f>
        <v/>
      </c>
      <c r="AC187" s="38" t="str">
        <f aca="false">IF(U187="","",IF(U187="Loss",N(AC186)+1,0))</f>
        <v/>
      </c>
      <c r="AD187" s="40"/>
      <c r="AE187" s="38" t="str">
        <f aca="false">IF(B187="","",IF(AND(M187="Yes",OR(AD187="None",AD187="")),"Yes","No"))</f>
        <v/>
      </c>
      <c r="AF187" s="40"/>
      <c r="AG187" s="40"/>
      <c r="AH187" s="47"/>
      <c r="AI187" s="47"/>
    </row>
    <row r="188" customFormat="false" ht="15" hidden="false" customHeight="false" outlineLevel="0" collapsed="false">
      <c r="A188" s="38" t="str">
        <f aca="false">IF(B188="","",ROW()-4)</f>
        <v/>
      </c>
      <c r="B188" s="39"/>
      <c r="C188" s="38" t="str">
        <f aca="false">IF(B188="","",INT((B188-Settings!$B$4)/7)+1)</f>
        <v/>
      </c>
      <c r="D188" s="40"/>
      <c r="E188" s="40"/>
      <c r="F188" s="40"/>
      <c r="G188" s="40"/>
      <c r="H188" s="40"/>
      <c r="I188" s="40"/>
      <c r="J188" s="40"/>
      <c r="K188" s="40"/>
      <c r="L188" s="40"/>
      <c r="M188" s="38" t="str">
        <f aca="false">IF(B188="","",IF(COUNTIF(H188:L188,"Y")=5,"Yes","No"))</f>
        <v/>
      </c>
      <c r="N188" s="41"/>
      <c r="O188" s="42"/>
      <c r="P188" s="42"/>
      <c r="Q188" s="43" t="str">
        <f aca="false">IF(OR(O188="",P188=""),"",IF(F188="Long",O188+Settings!$B$7*(O188-P188),O188-Settings!$B$7*(P188-O188)))</f>
        <v/>
      </c>
      <c r="R188" s="42"/>
      <c r="S188" s="40"/>
      <c r="T188" s="44" t="str">
        <f aca="false">IF(OR(R188="",O188="",P188="",O188=P188),"",ROUND(IF(F188="Long",(R188-O188)/(O188-P188),(O188-R188)/(P188-O188)),2))</f>
        <v/>
      </c>
      <c r="U188" s="38" t="str">
        <f aca="false">IF(T188="","",IF(T188&gt;=Settings!$B$20,"Win",IF(T188&lt;=-Settings!$B$20,"Loss","BE")))</f>
        <v/>
      </c>
      <c r="V188" s="45" t="str">
        <f aca="false">IF(B188="","",Settings!$B$6)</f>
        <v/>
      </c>
      <c r="W188" s="46" t="str">
        <f aca="false">IF(B188="","",(Settings!$B$5+SUM(X$4:X187))*V188)</f>
        <v/>
      </c>
      <c r="X188" s="46" t="str">
        <f aca="false">IF(T188="","",ROUND(T188*W188,2))</f>
        <v/>
      </c>
      <c r="Y188" s="46" t="str">
        <f aca="false">IF(T188="","",Settings!$B$5+SUM(X$5:X188))</f>
        <v/>
      </c>
      <c r="Z188" s="43" t="str">
        <f aca="false">IF(T188="","",SUM(T$5:T188))</f>
        <v/>
      </c>
      <c r="AA188" s="43" t="str">
        <f aca="false">IF(T188="","",MAX(0,MAX(Z$5:Z188)))</f>
        <v/>
      </c>
      <c r="AB188" s="43" t="str">
        <f aca="false">IF(T188="","",Z188-AA188)</f>
        <v/>
      </c>
      <c r="AC188" s="38" t="str">
        <f aca="false">IF(U188="","",IF(U188="Loss",N(AC187)+1,0))</f>
        <v/>
      </c>
      <c r="AD188" s="40"/>
      <c r="AE188" s="38" t="str">
        <f aca="false">IF(B188="","",IF(AND(M188="Yes",OR(AD188="None",AD188="")),"Yes","No"))</f>
        <v/>
      </c>
      <c r="AF188" s="40"/>
      <c r="AG188" s="40"/>
      <c r="AH188" s="47"/>
      <c r="AI188" s="47"/>
    </row>
    <row r="189" customFormat="false" ht="15" hidden="false" customHeight="false" outlineLevel="0" collapsed="false">
      <c r="A189" s="38" t="str">
        <f aca="false">IF(B189="","",ROW()-4)</f>
        <v/>
      </c>
      <c r="B189" s="39"/>
      <c r="C189" s="38" t="str">
        <f aca="false">IF(B189="","",INT((B189-Settings!$B$4)/7)+1)</f>
        <v/>
      </c>
      <c r="D189" s="40"/>
      <c r="E189" s="40"/>
      <c r="F189" s="40"/>
      <c r="G189" s="40"/>
      <c r="H189" s="40"/>
      <c r="I189" s="40"/>
      <c r="J189" s="40"/>
      <c r="K189" s="40"/>
      <c r="L189" s="40"/>
      <c r="M189" s="38" t="str">
        <f aca="false">IF(B189="","",IF(COUNTIF(H189:L189,"Y")=5,"Yes","No"))</f>
        <v/>
      </c>
      <c r="N189" s="41"/>
      <c r="O189" s="42"/>
      <c r="P189" s="42"/>
      <c r="Q189" s="43" t="str">
        <f aca="false">IF(OR(O189="",P189=""),"",IF(F189="Long",O189+Settings!$B$7*(O189-P189),O189-Settings!$B$7*(P189-O189)))</f>
        <v/>
      </c>
      <c r="R189" s="42"/>
      <c r="S189" s="40"/>
      <c r="T189" s="44" t="str">
        <f aca="false">IF(OR(R189="",O189="",P189="",O189=P189),"",ROUND(IF(F189="Long",(R189-O189)/(O189-P189),(O189-R189)/(P189-O189)),2))</f>
        <v/>
      </c>
      <c r="U189" s="38" t="str">
        <f aca="false">IF(T189="","",IF(T189&gt;=Settings!$B$20,"Win",IF(T189&lt;=-Settings!$B$20,"Loss","BE")))</f>
        <v/>
      </c>
      <c r="V189" s="45" t="str">
        <f aca="false">IF(B189="","",Settings!$B$6)</f>
        <v/>
      </c>
      <c r="W189" s="46" t="str">
        <f aca="false">IF(B189="","",(Settings!$B$5+SUM(X$4:X188))*V189)</f>
        <v/>
      </c>
      <c r="X189" s="46" t="str">
        <f aca="false">IF(T189="","",ROUND(T189*W189,2))</f>
        <v/>
      </c>
      <c r="Y189" s="46" t="str">
        <f aca="false">IF(T189="","",Settings!$B$5+SUM(X$5:X189))</f>
        <v/>
      </c>
      <c r="Z189" s="43" t="str">
        <f aca="false">IF(T189="","",SUM(T$5:T189))</f>
        <v/>
      </c>
      <c r="AA189" s="43" t="str">
        <f aca="false">IF(T189="","",MAX(0,MAX(Z$5:Z189)))</f>
        <v/>
      </c>
      <c r="AB189" s="43" t="str">
        <f aca="false">IF(T189="","",Z189-AA189)</f>
        <v/>
      </c>
      <c r="AC189" s="38" t="str">
        <f aca="false">IF(U189="","",IF(U189="Loss",N(AC188)+1,0))</f>
        <v/>
      </c>
      <c r="AD189" s="40"/>
      <c r="AE189" s="38" t="str">
        <f aca="false">IF(B189="","",IF(AND(M189="Yes",OR(AD189="None",AD189="")),"Yes","No"))</f>
        <v/>
      </c>
      <c r="AF189" s="40"/>
      <c r="AG189" s="40"/>
      <c r="AH189" s="47"/>
      <c r="AI189" s="47"/>
    </row>
    <row r="190" customFormat="false" ht="15" hidden="false" customHeight="false" outlineLevel="0" collapsed="false">
      <c r="A190" s="38" t="str">
        <f aca="false">IF(B190="","",ROW()-4)</f>
        <v/>
      </c>
      <c r="B190" s="39"/>
      <c r="C190" s="38" t="str">
        <f aca="false">IF(B190="","",INT((B190-Settings!$B$4)/7)+1)</f>
        <v/>
      </c>
      <c r="D190" s="40"/>
      <c r="E190" s="40"/>
      <c r="F190" s="40"/>
      <c r="G190" s="40"/>
      <c r="H190" s="40"/>
      <c r="I190" s="40"/>
      <c r="J190" s="40"/>
      <c r="K190" s="40"/>
      <c r="L190" s="40"/>
      <c r="M190" s="38" t="str">
        <f aca="false">IF(B190="","",IF(COUNTIF(H190:L190,"Y")=5,"Yes","No"))</f>
        <v/>
      </c>
      <c r="N190" s="41"/>
      <c r="O190" s="42"/>
      <c r="P190" s="42"/>
      <c r="Q190" s="43" t="str">
        <f aca="false">IF(OR(O190="",P190=""),"",IF(F190="Long",O190+Settings!$B$7*(O190-P190),O190-Settings!$B$7*(P190-O190)))</f>
        <v/>
      </c>
      <c r="R190" s="42"/>
      <c r="S190" s="40"/>
      <c r="T190" s="44" t="str">
        <f aca="false">IF(OR(R190="",O190="",P190="",O190=P190),"",ROUND(IF(F190="Long",(R190-O190)/(O190-P190),(O190-R190)/(P190-O190)),2))</f>
        <v/>
      </c>
      <c r="U190" s="38" t="str">
        <f aca="false">IF(T190="","",IF(T190&gt;=Settings!$B$20,"Win",IF(T190&lt;=-Settings!$B$20,"Loss","BE")))</f>
        <v/>
      </c>
      <c r="V190" s="45" t="str">
        <f aca="false">IF(B190="","",Settings!$B$6)</f>
        <v/>
      </c>
      <c r="W190" s="46" t="str">
        <f aca="false">IF(B190="","",(Settings!$B$5+SUM(X$4:X189))*V190)</f>
        <v/>
      </c>
      <c r="X190" s="46" t="str">
        <f aca="false">IF(T190="","",ROUND(T190*W190,2))</f>
        <v/>
      </c>
      <c r="Y190" s="46" t="str">
        <f aca="false">IF(T190="","",Settings!$B$5+SUM(X$5:X190))</f>
        <v/>
      </c>
      <c r="Z190" s="43" t="str">
        <f aca="false">IF(T190="","",SUM(T$5:T190))</f>
        <v/>
      </c>
      <c r="AA190" s="43" t="str">
        <f aca="false">IF(T190="","",MAX(0,MAX(Z$5:Z190)))</f>
        <v/>
      </c>
      <c r="AB190" s="43" t="str">
        <f aca="false">IF(T190="","",Z190-AA190)</f>
        <v/>
      </c>
      <c r="AC190" s="38" t="str">
        <f aca="false">IF(U190="","",IF(U190="Loss",N(AC189)+1,0))</f>
        <v/>
      </c>
      <c r="AD190" s="40"/>
      <c r="AE190" s="38" t="str">
        <f aca="false">IF(B190="","",IF(AND(M190="Yes",OR(AD190="None",AD190="")),"Yes","No"))</f>
        <v/>
      </c>
      <c r="AF190" s="40"/>
      <c r="AG190" s="40"/>
      <c r="AH190" s="47"/>
      <c r="AI190" s="47"/>
    </row>
    <row r="191" customFormat="false" ht="15" hidden="false" customHeight="false" outlineLevel="0" collapsed="false">
      <c r="A191" s="38" t="str">
        <f aca="false">IF(B191="","",ROW()-4)</f>
        <v/>
      </c>
      <c r="B191" s="39"/>
      <c r="C191" s="38" t="str">
        <f aca="false">IF(B191="","",INT((B191-Settings!$B$4)/7)+1)</f>
        <v/>
      </c>
      <c r="D191" s="40"/>
      <c r="E191" s="40"/>
      <c r="F191" s="40"/>
      <c r="G191" s="40"/>
      <c r="H191" s="40"/>
      <c r="I191" s="40"/>
      <c r="J191" s="40"/>
      <c r="K191" s="40"/>
      <c r="L191" s="40"/>
      <c r="M191" s="38" t="str">
        <f aca="false">IF(B191="","",IF(COUNTIF(H191:L191,"Y")=5,"Yes","No"))</f>
        <v/>
      </c>
      <c r="N191" s="41"/>
      <c r="O191" s="42"/>
      <c r="P191" s="42"/>
      <c r="Q191" s="43" t="str">
        <f aca="false">IF(OR(O191="",P191=""),"",IF(F191="Long",O191+Settings!$B$7*(O191-P191),O191-Settings!$B$7*(P191-O191)))</f>
        <v/>
      </c>
      <c r="R191" s="42"/>
      <c r="S191" s="40"/>
      <c r="T191" s="44" t="str">
        <f aca="false">IF(OR(R191="",O191="",P191="",O191=P191),"",ROUND(IF(F191="Long",(R191-O191)/(O191-P191),(O191-R191)/(P191-O191)),2))</f>
        <v/>
      </c>
      <c r="U191" s="38" t="str">
        <f aca="false">IF(T191="","",IF(T191&gt;=Settings!$B$20,"Win",IF(T191&lt;=-Settings!$B$20,"Loss","BE")))</f>
        <v/>
      </c>
      <c r="V191" s="45" t="str">
        <f aca="false">IF(B191="","",Settings!$B$6)</f>
        <v/>
      </c>
      <c r="W191" s="46" t="str">
        <f aca="false">IF(B191="","",(Settings!$B$5+SUM(X$4:X190))*V191)</f>
        <v/>
      </c>
      <c r="X191" s="46" t="str">
        <f aca="false">IF(T191="","",ROUND(T191*W191,2))</f>
        <v/>
      </c>
      <c r="Y191" s="46" t="str">
        <f aca="false">IF(T191="","",Settings!$B$5+SUM(X$5:X191))</f>
        <v/>
      </c>
      <c r="Z191" s="43" t="str">
        <f aca="false">IF(T191="","",SUM(T$5:T191))</f>
        <v/>
      </c>
      <c r="AA191" s="43" t="str">
        <f aca="false">IF(T191="","",MAX(0,MAX(Z$5:Z191)))</f>
        <v/>
      </c>
      <c r="AB191" s="43" t="str">
        <f aca="false">IF(T191="","",Z191-AA191)</f>
        <v/>
      </c>
      <c r="AC191" s="38" t="str">
        <f aca="false">IF(U191="","",IF(U191="Loss",N(AC190)+1,0))</f>
        <v/>
      </c>
      <c r="AD191" s="40"/>
      <c r="AE191" s="38" t="str">
        <f aca="false">IF(B191="","",IF(AND(M191="Yes",OR(AD191="None",AD191="")),"Yes","No"))</f>
        <v/>
      </c>
      <c r="AF191" s="40"/>
      <c r="AG191" s="40"/>
      <c r="AH191" s="47"/>
      <c r="AI191" s="47"/>
    </row>
    <row r="192" customFormat="false" ht="15" hidden="false" customHeight="false" outlineLevel="0" collapsed="false">
      <c r="A192" s="38" t="str">
        <f aca="false">IF(B192="","",ROW()-4)</f>
        <v/>
      </c>
      <c r="B192" s="39"/>
      <c r="C192" s="38" t="str">
        <f aca="false">IF(B192="","",INT((B192-Settings!$B$4)/7)+1)</f>
        <v/>
      </c>
      <c r="D192" s="40"/>
      <c r="E192" s="40"/>
      <c r="F192" s="40"/>
      <c r="G192" s="40"/>
      <c r="H192" s="40"/>
      <c r="I192" s="40"/>
      <c r="J192" s="40"/>
      <c r="K192" s="40"/>
      <c r="L192" s="40"/>
      <c r="M192" s="38" t="str">
        <f aca="false">IF(B192="","",IF(COUNTIF(H192:L192,"Y")=5,"Yes","No"))</f>
        <v/>
      </c>
      <c r="N192" s="41"/>
      <c r="O192" s="42"/>
      <c r="P192" s="42"/>
      <c r="Q192" s="43" t="str">
        <f aca="false">IF(OR(O192="",P192=""),"",IF(F192="Long",O192+Settings!$B$7*(O192-P192),O192-Settings!$B$7*(P192-O192)))</f>
        <v/>
      </c>
      <c r="R192" s="42"/>
      <c r="S192" s="40"/>
      <c r="T192" s="44" t="str">
        <f aca="false">IF(OR(R192="",O192="",P192="",O192=P192),"",ROUND(IF(F192="Long",(R192-O192)/(O192-P192),(O192-R192)/(P192-O192)),2))</f>
        <v/>
      </c>
      <c r="U192" s="38" t="str">
        <f aca="false">IF(T192="","",IF(T192&gt;=Settings!$B$20,"Win",IF(T192&lt;=-Settings!$B$20,"Loss","BE")))</f>
        <v/>
      </c>
      <c r="V192" s="45" t="str">
        <f aca="false">IF(B192="","",Settings!$B$6)</f>
        <v/>
      </c>
      <c r="W192" s="46" t="str">
        <f aca="false">IF(B192="","",(Settings!$B$5+SUM(X$4:X191))*V192)</f>
        <v/>
      </c>
      <c r="X192" s="46" t="str">
        <f aca="false">IF(T192="","",ROUND(T192*W192,2))</f>
        <v/>
      </c>
      <c r="Y192" s="46" t="str">
        <f aca="false">IF(T192="","",Settings!$B$5+SUM(X$5:X192))</f>
        <v/>
      </c>
      <c r="Z192" s="43" t="str">
        <f aca="false">IF(T192="","",SUM(T$5:T192))</f>
        <v/>
      </c>
      <c r="AA192" s="43" t="str">
        <f aca="false">IF(T192="","",MAX(0,MAX(Z$5:Z192)))</f>
        <v/>
      </c>
      <c r="AB192" s="43" t="str">
        <f aca="false">IF(T192="","",Z192-AA192)</f>
        <v/>
      </c>
      <c r="AC192" s="38" t="str">
        <f aca="false">IF(U192="","",IF(U192="Loss",N(AC191)+1,0))</f>
        <v/>
      </c>
      <c r="AD192" s="40"/>
      <c r="AE192" s="38" t="str">
        <f aca="false">IF(B192="","",IF(AND(M192="Yes",OR(AD192="None",AD192="")),"Yes","No"))</f>
        <v/>
      </c>
      <c r="AF192" s="40"/>
      <c r="AG192" s="40"/>
      <c r="AH192" s="47"/>
      <c r="AI192" s="47"/>
    </row>
    <row r="193" customFormat="false" ht="15" hidden="false" customHeight="false" outlineLevel="0" collapsed="false">
      <c r="A193" s="38" t="str">
        <f aca="false">IF(B193="","",ROW()-4)</f>
        <v/>
      </c>
      <c r="B193" s="39"/>
      <c r="C193" s="38" t="str">
        <f aca="false">IF(B193="","",INT((B193-Settings!$B$4)/7)+1)</f>
        <v/>
      </c>
      <c r="D193" s="40"/>
      <c r="E193" s="40"/>
      <c r="F193" s="40"/>
      <c r="G193" s="40"/>
      <c r="H193" s="40"/>
      <c r="I193" s="40"/>
      <c r="J193" s="40"/>
      <c r="K193" s="40"/>
      <c r="L193" s="40"/>
      <c r="M193" s="38" t="str">
        <f aca="false">IF(B193="","",IF(COUNTIF(H193:L193,"Y")=5,"Yes","No"))</f>
        <v/>
      </c>
      <c r="N193" s="41"/>
      <c r="O193" s="42"/>
      <c r="P193" s="42"/>
      <c r="Q193" s="43" t="str">
        <f aca="false">IF(OR(O193="",P193=""),"",IF(F193="Long",O193+Settings!$B$7*(O193-P193),O193-Settings!$B$7*(P193-O193)))</f>
        <v/>
      </c>
      <c r="R193" s="42"/>
      <c r="S193" s="40"/>
      <c r="T193" s="44" t="str">
        <f aca="false">IF(OR(R193="",O193="",P193="",O193=P193),"",ROUND(IF(F193="Long",(R193-O193)/(O193-P193),(O193-R193)/(P193-O193)),2))</f>
        <v/>
      </c>
      <c r="U193" s="38" t="str">
        <f aca="false">IF(T193="","",IF(T193&gt;=Settings!$B$20,"Win",IF(T193&lt;=-Settings!$B$20,"Loss","BE")))</f>
        <v/>
      </c>
      <c r="V193" s="45" t="str">
        <f aca="false">IF(B193="","",Settings!$B$6)</f>
        <v/>
      </c>
      <c r="W193" s="46" t="str">
        <f aca="false">IF(B193="","",(Settings!$B$5+SUM(X$4:X192))*V193)</f>
        <v/>
      </c>
      <c r="X193" s="46" t="str">
        <f aca="false">IF(T193="","",ROUND(T193*W193,2))</f>
        <v/>
      </c>
      <c r="Y193" s="46" t="str">
        <f aca="false">IF(T193="","",Settings!$B$5+SUM(X$5:X193))</f>
        <v/>
      </c>
      <c r="Z193" s="43" t="str">
        <f aca="false">IF(T193="","",SUM(T$5:T193))</f>
        <v/>
      </c>
      <c r="AA193" s="43" t="str">
        <f aca="false">IF(T193="","",MAX(0,MAX(Z$5:Z193)))</f>
        <v/>
      </c>
      <c r="AB193" s="43" t="str">
        <f aca="false">IF(T193="","",Z193-AA193)</f>
        <v/>
      </c>
      <c r="AC193" s="38" t="str">
        <f aca="false">IF(U193="","",IF(U193="Loss",N(AC192)+1,0))</f>
        <v/>
      </c>
      <c r="AD193" s="40"/>
      <c r="AE193" s="38" t="str">
        <f aca="false">IF(B193="","",IF(AND(M193="Yes",OR(AD193="None",AD193="")),"Yes","No"))</f>
        <v/>
      </c>
      <c r="AF193" s="40"/>
      <c r="AG193" s="40"/>
      <c r="AH193" s="47"/>
      <c r="AI193" s="47"/>
    </row>
    <row r="194" customFormat="false" ht="15" hidden="false" customHeight="false" outlineLevel="0" collapsed="false">
      <c r="A194" s="38" t="str">
        <f aca="false">IF(B194="","",ROW()-4)</f>
        <v/>
      </c>
      <c r="B194" s="39"/>
      <c r="C194" s="38" t="str">
        <f aca="false">IF(B194="","",INT((B194-Settings!$B$4)/7)+1)</f>
        <v/>
      </c>
      <c r="D194" s="40"/>
      <c r="E194" s="40"/>
      <c r="F194" s="40"/>
      <c r="G194" s="40"/>
      <c r="H194" s="40"/>
      <c r="I194" s="40"/>
      <c r="J194" s="40"/>
      <c r="K194" s="40"/>
      <c r="L194" s="40"/>
      <c r="M194" s="38" t="str">
        <f aca="false">IF(B194="","",IF(COUNTIF(H194:L194,"Y")=5,"Yes","No"))</f>
        <v/>
      </c>
      <c r="N194" s="41"/>
      <c r="O194" s="42"/>
      <c r="P194" s="42"/>
      <c r="Q194" s="43" t="str">
        <f aca="false">IF(OR(O194="",P194=""),"",IF(F194="Long",O194+Settings!$B$7*(O194-P194),O194-Settings!$B$7*(P194-O194)))</f>
        <v/>
      </c>
      <c r="R194" s="42"/>
      <c r="S194" s="40"/>
      <c r="T194" s="44" t="str">
        <f aca="false">IF(OR(R194="",O194="",P194="",O194=P194),"",ROUND(IF(F194="Long",(R194-O194)/(O194-P194),(O194-R194)/(P194-O194)),2))</f>
        <v/>
      </c>
      <c r="U194" s="38" t="str">
        <f aca="false">IF(T194="","",IF(T194&gt;=Settings!$B$20,"Win",IF(T194&lt;=-Settings!$B$20,"Loss","BE")))</f>
        <v/>
      </c>
      <c r="V194" s="45" t="str">
        <f aca="false">IF(B194="","",Settings!$B$6)</f>
        <v/>
      </c>
      <c r="W194" s="46" t="str">
        <f aca="false">IF(B194="","",(Settings!$B$5+SUM(X$4:X193))*V194)</f>
        <v/>
      </c>
      <c r="X194" s="46" t="str">
        <f aca="false">IF(T194="","",ROUND(T194*W194,2))</f>
        <v/>
      </c>
      <c r="Y194" s="46" t="str">
        <f aca="false">IF(T194="","",Settings!$B$5+SUM(X$5:X194))</f>
        <v/>
      </c>
      <c r="Z194" s="43" t="str">
        <f aca="false">IF(T194="","",SUM(T$5:T194))</f>
        <v/>
      </c>
      <c r="AA194" s="43" t="str">
        <f aca="false">IF(T194="","",MAX(0,MAX(Z$5:Z194)))</f>
        <v/>
      </c>
      <c r="AB194" s="43" t="str">
        <f aca="false">IF(T194="","",Z194-AA194)</f>
        <v/>
      </c>
      <c r="AC194" s="38" t="str">
        <f aca="false">IF(U194="","",IF(U194="Loss",N(AC193)+1,0))</f>
        <v/>
      </c>
      <c r="AD194" s="40"/>
      <c r="AE194" s="38" t="str">
        <f aca="false">IF(B194="","",IF(AND(M194="Yes",OR(AD194="None",AD194="")),"Yes","No"))</f>
        <v/>
      </c>
      <c r="AF194" s="40"/>
      <c r="AG194" s="40"/>
      <c r="AH194" s="47"/>
      <c r="AI194" s="47"/>
    </row>
    <row r="195" customFormat="false" ht="15" hidden="false" customHeight="false" outlineLevel="0" collapsed="false">
      <c r="A195" s="38" t="str">
        <f aca="false">IF(B195="","",ROW()-4)</f>
        <v/>
      </c>
      <c r="B195" s="39"/>
      <c r="C195" s="38" t="str">
        <f aca="false">IF(B195="","",INT((B195-Settings!$B$4)/7)+1)</f>
        <v/>
      </c>
      <c r="D195" s="40"/>
      <c r="E195" s="40"/>
      <c r="F195" s="40"/>
      <c r="G195" s="40"/>
      <c r="H195" s="40"/>
      <c r="I195" s="40"/>
      <c r="J195" s="40"/>
      <c r="K195" s="40"/>
      <c r="L195" s="40"/>
      <c r="M195" s="38" t="str">
        <f aca="false">IF(B195="","",IF(COUNTIF(H195:L195,"Y")=5,"Yes","No"))</f>
        <v/>
      </c>
      <c r="N195" s="41"/>
      <c r="O195" s="42"/>
      <c r="P195" s="42"/>
      <c r="Q195" s="43" t="str">
        <f aca="false">IF(OR(O195="",P195=""),"",IF(F195="Long",O195+Settings!$B$7*(O195-P195),O195-Settings!$B$7*(P195-O195)))</f>
        <v/>
      </c>
      <c r="R195" s="42"/>
      <c r="S195" s="40"/>
      <c r="T195" s="44" t="str">
        <f aca="false">IF(OR(R195="",O195="",P195="",O195=P195),"",ROUND(IF(F195="Long",(R195-O195)/(O195-P195),(O195-R195)/(P195-O195)),2))</f>
        <v/>
      </c>
      <c r="U195" s="38" t="str">
        <f aca="false">IF(T195="","",IF(T195&gt;=Settings!$B$20,"Win",IF(T195&lt;=-Settings!$B$20,"Loss","BE")))</f>
        <v/>
      </c>
      <c r="V195" s="45" t="str">
        <f aca="false">IF(B195="","",Settings!$B$6)</f>
        <v/>
      </c>
      <c r="W195" s="46" t="str">
        <f aca="false">IF(B195="","",(Settings!$B$5+SUM(X$4:X194))*V195)</f>
        <v/>
      </c>
      <c r="X195" s="46" t="str">
        <f aca="false">IF(T195="","",ROUND(T195*W195,2))</f>
        <v/>
      </c>
      <c r="Y195" s="46" t="str">
        <f aca="false">IF(T195="","",Settings!$B$5+SUM(X$5:X195))</f>
        <v/>
      </c>
      <c r="Z195" s="43" t="str">
        <f aca="false">IF(T195="","",SUM(T$5:T195))</f>
        <v/>
      </c>
      <c r="AA195" s="43" t="str">
        <f aca="false">IF(T195="","",MAX(0,MAX(Z$5:Z195)))</f>
        <v/>
      </c>
      <c r="AB195" s="43" t="str">
        <f aca="false">IF(T195="","",Z195-AA195)</f>
        <v/>
      </c>
      <c r="AC195" s="38" t="str">
        <f aca="false">IF(U195="","",IF(U195="Loss",N(AC194)+1,0))</f>
        <v/>
      </c>
      <c r="AD195" s="40"/>
      <c r="AE195" s="38" t="str">
        <f aca="false">IF(B195="","",IF(AND(M195="Yes",OR(AD195="None",AD195="")),"Yes","No"))</f>
        <v/>
      </c>
      <c r="AF195" s="40"/>
      <c r="AG195" s="40"/>
      <c r="AH195" s="47"/>
      <c r="AI195" s="47"/>
    </row>
    <row r="196" customFormat="false" ht="15" hidden="false" customHeight="false" outlineLevel="0" collapsed="false">
      <c r="A196" s="38" t="str">
        <f aca="false">IF(B196="","",ROW()-4)</f>
        <v/>
      </c>
      <c r="B196" s="39"/>
      <c r="C196" s="38" t="str">
        <f aca="false">IF(B196="","",INT((B196-Settings!$B$4)/7)+1)</f>
        <v/>
      </c>
      <c r="D196" s="40"/>
      <c r="E196" s="40"/>
      <c r="F196" s="40"/>
      <c r="G196" s="40"/>
      <c r="H196" s="40"/>
      <c r="I196" s="40"/>
      <c r="J196" s="40"/>
      <c r="K196" s="40"/>
      <c r="L196" s="40"/>
      <c r="M196" s="38" t="str">
        <f aca="false">IF(B196="","",IF(COUNTIF(H196:L196,"Y")=5,"Yes","No"))</f>
        <v/>
      </c>
      <c r="N196" s="41"/>
      <c r="O196" s="42"/>
      <c r="P196" s="42"/>
      <c r="Q196" s="43" t="str">
        <f aca="false">IF(OR(O196="",P196=""),"",IF(F196="Long",O196+Settings!$B$7*(O196-P196),O196-Settings!$B$7*(P196-O196)))</f>
        <v/>
      </c>
      <c r="R196" s="42"/>
      <c r="S196" s="40"/>
      <c r="T196" s="44" t="str">
        <f aca="false">IF(OR(R196="",O196="",P196="",O196=P196),"",ROUND(IF(F196="Long",(R196-O196)/(O196-P196),(O196-R196)/(P196-O196)),2))</f>
        <v/>
      </c>
      <c r="U196" s="38" t="str">
        <f aca="false">IF(T196="","",IF(T196&gt;=Settings!$B$20,"Win",IF(T196&lt;=-Settings!$B$20,"Loss","BE")))</f>
        <v/>
      </c>
      <c r="V196" s="45" t="str">
        <f aca="false">IF(B196="","",Settings!$B$6)</f>
        <v/>
      </c>
      <c r="W196" s="46" t="str">
        <f aca="false">IF(B196="","",(Settings!$B$5+SUM(X$4:X195))*V196)</f>
        <v/>
      </c>
      <c r="X196" s="46" t="str">
        <f aca="false">IF(T196="","",ROUND(T196*W196,2))</f>
        <v/>
      </c>
      <c r="Y196" s="46" t="str">
        <f aca="false">IF(T196="","",Settings!$B$5+SUM(X$5:X196))</f>
        <v/>
      </c>
      <c r="Z196" s="43" t="str">
        <f aca="false">IF(T196="","",SUM(T$5:T196))</f>
        <v/>
      </c>
      <c r="AA196" s="43" t="str">
        <f aca="false">IF(T196="","",MAX(0,MAX(Z$5:Z196)))</f>
        <v/>
      </c>
      <c r="AB196" s="43" t="str">
        <f aca="false">IF(T196="","",Z196-AA196)</f>
        <v/>
      </c>
      <c r="AC196" s="38" t="str">
        <f aca="false">IF(U196="","",IF(U196="Loss",N(AC195)+1,0))</f>
        <v/>
      </c>
      <c r="AD196" s="40"/>
      <c r="AE196" s="38" t="str">
        <f aca="false">IF(B196="","",IF(AND(M196="Yes",OR(AD196="None",AD196="")),"Yes","No"))</f>
        <v/>
      </c>
      <c r="AF196" s="40"/>
      <c r="AG196" s="40"/>
      <c r="AH196" s="47"/>
      <c r="AI196" s="47"/>
    </row>
    <row r="197" customFormat="false" ht="15" hidden="false" customHeight="false" outlineLevel="0" collapsed="false">
      <c r="A197" s="38" t="str">
        <f aca="false">IF(B197="","",ROW()-4)</f>
        <v/>
      </c>
      <c r="B197" s="39"/>
      <c r="C197" s="38" t="str">
        <f aca="false">IF(B197="","",INT((B197-Settings!$B$4)/7)+1)</f>
        <v/>
      </c>
      <c r="D197" s="40"/>
      <c r="E197" s="40"/>
      <c r="F197" s="40"/>
      <c r="G197" s="40"/>
      <c r="H197" s="40"/>
      <c r="I197" s="40"/>
      <c r="J197" s="40"/>
      <c r="K197" s="40"/>
      <c r="L197" s="40"/>
      <c r="M197" s="38" t="str">
        <f aca="false">IF(B197="","",IF(COUNTIF(H197:L197,"Y")=5,"Yes","No"))</f>
        <v/>
      </c>
      <c r="N197" s="41"/>
      <c r="O197" s="42"/>
      <c r="P197" s="42"/>
      <c r="Q197" s="43" t="str">
        <f aca="false">IF(OR(O197="",P197=""),"",IF(F197="Long",O197+Settings!$B$7*(O197-P197),O197-Settings!$B$7*(P197-O197)))</f>
        <v/>
      </c>
      <c r="R197" s="42"/>
      <c r="S197" s="40"/>
      <c r="T197" s="44" t="str">
        <f aca="false">IF(OR(R197="",O197="",P197="",O197=P197),"",ROUND(IF(F197="Long",(R197-O197)/(O197-P197),(O197-R197)/(P197-O197)),2))</f>
        <v/>
      </c>
      <c r="U197" s="38" t="str">
        <f aca="false">IF(T197="","",IF(T197&gt;=Settings!$B$20,"Win",IF(T197&lt;=-Settings!$B$20,"Loss","BE")))</f>
        <v/>
      </c>
      <c r="V197" s="45" t="str">
        <f aca="false">IF(B197="","",Settings!$B$6)</f>
        <v/>
      </c>
      <c r="W197" s="46" t="str">
        <f aca="false">IF(B197="","",(Settings!$B$5+SUM(X$4:X196))*V197)</f>
        <v/>
      </c>
      <c r="X197" s="46" t="str">
        <f aca="false">IF(T197="","",ROUND(T197*W197,2))</f>
        <v/>
      </c>
      <c r="Y197" s="46" t="str">
        <f aca="false">IF(T197="","",Settings!$B$5+SUM(X$5:X197))</f>
        <v/>
      </c>
      <c r="Z197" s="43" t="str">
        <f aca="false">IF(T197="","",SUM(T$5:T197))</f>
        <v/>
      </c>
      <c r="AA197" s="43" t="str">
        <f aca="false">IF(T197="","",MAX(0,MAX(Z$5:Z197)))</f>
        <v/>
      </c>
      <c r="AB197" s="43" t="str">
        <f aca="false">IF(T197="","",Z197-AA197)</f>
        <v/>
      </c>
      <c r="AC197" s="38" t="str">
        <f aca="false">IF(U197="","",IF(U197="Loss",N(AC196)+1,0))</f>
        <v/>
      </c>
      <c r="AD197" s="40"/>
      <c r="AE197" s="38" t="str">
        <f aca="false">IF(B197="","",IF(AND(M197="Yes",OR(AD197="None",AD197="")),"Yes","No"))</f>
        <v/>
      </c>
      <c r="AF197" s="40"/>
      <c r="AG197" s="40"/>
      <c r="AH197" s="47"/>
      <c r="AI197" s="47"/>
    </row>
    <row r="198" customFormat="false" ht="15" hidden="false" customHeight="false" outlineLevel="0" collapsed="false">
      <c r="A198" s="38" t="str">
        <f aca="false">IF(B198="","",ROW()-4)</f>
        <v/>
      </c>
      <c r="B198" s="39"/>
      <c r="C198" s="38" t="str">
        <f aca="false">IF(B198="","",INT((B198-Settings!$B$4)/7)+1)</f>
        <v/>
      </c>
      <c r="D198" s="40"/>
      <c r="E198" s="40"/>
      <c r="F198" s="40"/>
      <c r="G198" s="40"/>
      <c r="H198" s="40"/>
      <c r="I198" s="40"/>
      <c r="J198" s="40"/>
      <c r="K198" s="40"/>
      <c r="L198" s="40"/>
      <c r="M198" s="38" t="str">
        <f aca="false">IF(B198="","",IF(COUNTIF(H198:L198,"Y")=5,"Yes","No"))</f>
        <v/>
      </c>
      <c r="N198" s="41"/>
      <c r="O198" s="42"/>
      <c r="P198" s="42"/>
      <c r="Q198" s="43" t="str">
        <f aca="false">IF(OR(O198="",P198=""),"",IF(F198="Long",O198+Settings!$B$7*(O198-P198),O198-Settings!$B$7*(P198-O198)))</f>
        <v/>
      </c>
      <c r="R198" s="42"/>
      <c r="S198" s="40"/>
      <c r="T198" s="44" t="str">
        <f aca="false">IF(OR(R198="",O198="",P198="",O198=P198),"",ROUND(IF(F198="Long",(R198-O198)/(O198-P198),(O198-R198)/(P198-O198)),2))</f>
        <v/>
      </c>
      <c r="U198" s="38" t="str">
        <f aca="false">IF(T198="","",IF(T198&gt;=Settings!$B$20,"Win",IF(T198&lt;=-Settings!$B$20,"Loss","BE")))</f>
        <v/>
      </c>
      <c r="V198" s="45" t="str">
        <f aca="false">IF(B198="","",Settings!$B$6)</f>
        <v/>
      </c>
      <c r="W198" s="46" t="str">
        <f aca="false">IF(B198="","",(Settings!$B$5+SUM(X$4:X197))*V198)</f>
        <v/>
      </c>
      <c r="X198" s="46" t="str">
        <f aca="false">IF(T198="","",ROUND(T198*W198,2))</f>
        <v/>
      </c>
      <c r="Y198" s="46" t="str">
        <f aca="false">IF(T198="","",Settings!$B$5+SUM(X$5:X198))</f>
        <v/>
      </c>
      <c r="Z198" s="43" t="str">
        <f aca="false">IF(T198="","",SUM(T$5:T198))</f>
        <v/>
      </c>
      <c r="AA198" s="43" t="str">
        <f aca="false">IF(T198="","",MAX(0,MAX(Z$5:Z198)))</f>
        <v/>
      </c>
      <c r="AB198" s="43" t="str">
        <f aca="false">IF(T198="","",Z198-AA198)</f>
        <v/>
      </c>
      <c r="AC198" s="38" t="str">
        <f aca="false">IF(U198="","",IF(U198="Loss",N(AC197)+1,0))</f>
        <v/>
      </c>
      <c r="AD198" s="40"/>
      <c r="AE198" s="38" t="str">
        <f aca="false">IF(B198="","",IF(AND(M198="Yes",OR(AD198="None",AD198="")),"Yes","No"))</f>
        <v/>
      </c>
      <c r="AF198" s="40"/>
      <c r="AG198" s="40"/>
      <c r="AH198" s="47"/>
      <c r="AI198" s="47"/>
    </row>
    <row r="199" customFormat="false" ht="15" hidden="false" customHeight="false" outlineLevel="0" collapsed="false">
      <c r="A199" s="38" t="str">
        <f aca="false">IF(B199="","",ROW()-4)</f>
        <v/>
      </c>
      <c r="B199" s="39"/>
      <c r="C199" s="38" t="str">
        <f aca="false">IF(B199="","",INT((B199-Settings!$B$4)/7)+1)</f>
        <v/>
      </c>
      <c r="D199" s="40"/>
      <c r="E199" s="40"/>
      <c r="F199" s="40"/>
      <c r="G199" s="40"/>
      <c r="H199" s="40"/>
      <c r="I199" s="40"/>
      <c r="J199" s="40"/>
      <c r="K199" s="40"/>
      <c r="L199" s="40"/>
      <c r="M199" s="38" t="str">
        <f aca="false">IF(B199="","",IF(COUNTIF(H199:L199,"Y")=5,"Yes","No"))</f>
        <v/>
      </c>
      <c r="N199" s="41"/>
      <c r="O199" s="42"/>
      <c r="P199" s="42"/>
      <c r="Q199" s="43" t="str">
        <f aca="false">IF(OR(O199="",P199=""),"",IF(F199="Long",O199+Settings!$B$7*(O199-P199),O199-Settings!$B$7*(P199-O199)))</f>
        <v/>
      </c>
      <c r="R199" s="42"/>
      <c r="S199" s="40"/>
      <c r="T199" s="44" t="str">
        <f aca="false">IF(OR(R199="",O199="",P199="",O199=P199),"",ROUND(IF(F199="Long",(R199-O199)/(O199-P199),(O199-R199)/(P199-O199)),2))</f>
        <v/>
      </c>
      <c r="U199" s="38" t="str">
        <f aca="false">IF(T199="","",IF(T199&gt;=Settings!$B$20,"Win",IF(T199&lt;=-Settings!$B$20,"Loss","BE")))</f>
        <v/>
      </c>
      <c r="V199" s="45" t="str">
        <f aca="false">IF(B199="","",Settings!$B$6)</f>
        <v/>
      </c>
      <c r="W199" s="46" t="str">
        <f aca="false">IF(B199="","",(Settings!$B$5+SUM(X$4:X198))*V199)</f>
        <v/>
      </c>
      <c r="X199" s="46" t="str">
        <f aca="false">IF(T199="","",ROUND(T199*W199,2))</f>
        <v/>
      </c>
      <c r="Y199" s="46" t="str">
        <f aca="false">IF(T199="","",Settings!$B$5+SUM(X$5:X199))</f>
        <v/>
      </c>
      <c r="Z199" s="43" t="str">
        <f aca="false">IF(T199="","",SUM(T$5:T199))</f>
        <v/>
      </c>
      <c r="AA199" s="43" t="str">
        <f aca="false">IF(T199="","",MAX(0,MAX(Z$5:Z199)))</f>
        <v/>
      </c>
      <c r="AB199" s="43" t="str">
        <f aca="false">IF(T199="","",Z199-AA199)</f>
        <v/>
      </c>
      <c r="AC199" s="38" t="str">
        <f aca="false">IF(U199="","",IF(U199="Loss",N(AC198)+1,0))</f>
        <v/>
      </c>
      <c r="AD199" s="40"/>
      <c r="AE199" s="38" t="str">
        <f aca="false">IF(B199="","",IF(AND(M199="Yes",OR(AD199="None",AD199="")),"Yes","No"))</f>
        <v/>
      </c>
      <c r="AF199" s="40"/>
      <c r="AG199" s="40"/>
      <c r="AH199" s="47"/>
      <c r="AI199" s="47"/>
    </row>
    <row r="200" customFormat="false" ht="15" hidden="false" customHeight="false" outlineLevel="0" collapsed="false">
      <c r="A200" s="38" t="str">
        <f aca="false">IF(B200="","",ROW()-4)</f>
        <v/>
      </c>
      <c r="B200" s="39"/>
      <c r="C200" s="38" t="str">
        <f aca="false">IF(B200="","",INT((B200-Settings!$B$4)/7)+1)</f>
        <v/>
      </c>
      <c r="D200" s="40"/>
      <c r="E200" s="40"/>
      <c r="F200" s="40"/>
      <c r="G200" s="40"/>
      <c r="H200" s="40"/>
      <c r="I200" s="40"/>
      <c r="J200" s="40"/>
      <c r="K200" s="40"/>
      <c r="L200" s="40"/>
      <c r="M200" s="38" t="str">
        <f aca="false">IF(B200="","",IF(COUNTIF(H200:L200,"Y")=5,"Yes","No"))</f>
        <v/>
      </c>
      <c r="N200" s="41"/>
      <c r="O200" s="42"/>
      <c r="P200" s="42"/>
      <c r="Q200" s="43" t="str">
        <f aca="false">IF(OR(O200="",P200=""),"",IF(F200="Long",O200+Settings!$B$7*(O200-P200),O200-Settings!$B$7*(P200-O200)))</f>
        <v/>
      </c>
      <c r="R200" s="42"/>
      <c r="S200" s="40"/>
      <c r="T200" s="44" t="str">
        <f aca="false">IF(OR(R200="",O200="",P200="",O200=P200),"",ROUND(IF(F200="Long",(R200-O200)/(O200-P200),(O200-R200)/(P200-O200)),2))</f>
        <v/>
      </c>
      <c r="U200" s="38" t="str">
        <f aca="false">IF(T200="","",IF(T200&gt;=Settings!$B$20,"Win",IF(T200&lt;=-Settings!$B$20,"Loss","BE")))</f>
        <v/>
      </c>
      <c r="V200" s="45" t="str">
        <f aca="false">IF(B200="","",Settings!$B$6)</f>
        <v/>
      </c>
      <c r="W200" s="46" t="str">
        <f aca="false">IF(B200="","",(Settings!$B$5+SUM(X$4:X199))*V200)</f>
        <v/>
      </c>
      <c r="X200" s="46" t="str">
        <f aca="false">IF(T200="","",ROUND(T200*W200,2))</f>
        <v/>
      </c>
      <c r="Y200" s="46" t="str">
        <f aca="false">IF(T200="","",Settings!$B$5+SUM(X$5:X200))</f>
        <v/>
      </c>
      <c r="Z200" s="43" t="str">
        <f aca="false">IF(T200="","",SUM(T$5:T200))</f>
        <v/>
      </c>
      <c r="AA200" s="43" t="str">
        <f aca="false">IF(T200="","",MAX(0,MAX(Z$5:Z200)))</f>
        <v/>
      </c>
      <c r="AB200" s="43" t="str">
        <f aca="false">IF(T200="","",Z200-AA200)</f>
        <v/>
      </c>
      <c r="AC200" s="38" t="str">
        <f aca="false">IF(U200="","",IF(U200="Loss",N(AC199)+1,0))</f>
        <v/>
      </c>
      <c r="AD200" s="40"/>
      <c r="AE200" s="38" t="str">
        <f aca="false">IF(B200="","",IF(AND(M200="Yes",OR(AD200="None",AD200="")),"Yes","No"))</f>
        <v/>
      </c>
      <c r="AF200" s="40"/>
      <c r="AG200" s="40"/>
      <c r="AH200" s="47"/>
      <c r="AI200" s="47"/>
    </row>
    <row r="201" customFormat="false" ht="15" hidden="false" customHeight="false" outlineLevel="0" collapsed="false">
      <c r="A201" s="38" t="str">
        <f aca="false">IF(B201="","",ROW()-4)</f>
        <v/>
      </c>
      <c r="B201" s="39"/>
      <c r="C201" s="38" t="str">
        <f aca="false">IF(B201="","",INT((B201-Settings!$B$4)/7)+1)</f>
        <v/>
      </c>
      <c r="D201" s="40"/>
      <c r="E201" s="40"/>
      <c r="F201" s="40"/>
      <c r="G201" s="40"/>
      <c r="H201" s="40"/>
      <c r="I201" s="40"/>
      <c r="J201" s="40"/>
      <c r="K201" s="40"/>
      <c r="L201" s="40"/>
      <c r="M201" s="38" t="str">
        <f aca="false">IF(B201="","",IF(COUNTIF(H201:L201,"Y")=5,"Yes","No"))</f>
        <v/>
      </c>
      <c r="N201" s="41"/>
      <c r="O201" s="42"/>
      <c r="P201" s="42"/>
      <c r="Q201" s="43" t="str">
        <f aca="false">IF(OR(O201="",P201=""),"",IF(F201="Long",O201+Settings!$B$7*(O201-P201),O201-Settings!$B$7*(P201-O201)))</f>
        <v/>
      </c>
      <c r="R201" s="42"/>
      <c r="S201" s="40"/>
      <c r="T201" s="44" t="str">
        <f aca="false">IF(OR(R201="",O201="",P201="",O201=P201),"",ROUND(IF(F201="Long",(R201-O201)/(O201-P201),(O201-R201)/(P201-O201)),2))</f>
        <v/>
      </c>
      <c r="U201" s="38" t="str">
        <f aca="false">IF(T201="","",IF(T201&gt;=Settings!$B$20,"Win",IF(T201&lt;=-Settings!$B$20,"Loss","BE")))</f>
        <v/>
      </c>
      <c r="V201" s="45" t="str">
        <f aca="false">IF(B201="","",Settings!$B$6)</f>
        <v/>
      </c>
      <c r="W201" s="46" t="str">
        <f aca="false">IF(B201="","",(Settings!$B$5+SUM(X$4:X200))*V201)</f>
        <v/>
      </c>
      <c r="X201" s="46" t="str">
        <f aca="false">IF(T201="","",ROUND(T201*W201,2))</f>
        <v/>
      </c>
      <c r="Y201" s="46" t="str">
        <f aca="false">IF(T201="","",Settings!$B$5+SUM(X$5:X201))</f>
        <v/>
      </c>
      <c r="Z201" s="43" t="str">
        <f aca="false">IF(T201="","",SUM(T$5:T201))</f>
        <v/>
      </c>
      <c r="AA201" s="43" t="str">
        <f aca="false">IF(T201="","",MAX(0,MAX(Z$5:Z201)))</f>
        <v/>
      </c>
      <c r="AB201" s="43" t="str">
        <f aca="false">IF(T201="","",Z201-AA201)</f>
        <v/>
      </c>
      <c r="AC201" s="38" t="str">
        <f aca="false">IF(U201="","",IF(U201="Loss",N(AC200)+1,0))</f>
        <v/>
      </c>
      <c r="AD201" s="40"/>
      <c r="AE201" s="38" t="str">
        <f aca="false">IF(B201="","",IF(AND(M201="Yes",OR(AD201="None",AD201="")),"Yes","No"))</f>
        <v/>
      </c>
      <c r="AF201" s="40"/>
      <c r="AG201" s="40"/>
      <c r="AH201" s="47"/>
      <c r="AI201" s="47"/>
    </row>
    <row r="202" customFormat="false" ht="15" hidden="false" customHeight="false" outlineLevel="0" collapsed="false">
      <c r="A202" s="38" t="str">
        <f aca="false">IF(B202="","",ROW()-4)</f>
        <v/>
      </c>
      <c r="B202" s="39"/>
      <c r="C202" s="38" t="str">
        <f aca="false">IF(B202="","",INT((B202-Settings!$B$4)/7)+1)</f>
        <v/>
      </c>
      <c r="D202" s="40"/>
      <c r="E202" s="40"/>
      <c r="F202" s="40"/>
      <c r="G202" s="40"/>
      <c r="H202" s="40"/>
      <c r="I202" s="40"/>
      <c r="J202" s="40"/>
      <c r="K202" s="40"/>
      <c r="L202" s="40"/>
      <c r="M202" s="38" t="str">
        <f aca="false">IF(B202="","",IF(COUNTIF(H202:L202,"Y")=5,"Yes","No"))</f>
        <v/>
      </c>
      <c r="N202" s="41"/>
      <c r="O202" s="42"/>
      <c r="P202" s="42"/>
      <c r="Q202" s="43" t="str">
        <f aca="false">IF(OR(O202="",P202=""),"",IF(F202="Long",O202+Settings!$B$7*(O202-P202),O202-Settings!$B$7*(P202-O202)))</f>
        <v/>
      </c>
      <c r="R202" s="42"/>
      <c r="S202" s="40"/>
      <c r="T202" s="44" t="str">
        <f aca="false">IF(OR(R202="",O202="",P202="",O202=P202),"",ROUND(IF(F202="Long",(R202-O202)/(O202-P202),(O202-R202)/(P202-O202)),2))</f>
        <v/>
      </c>
      <c r="U202" s="38" t="str">
        <f aca="false">IF(T202="","",IF(T202&gt;=Settings!$B$20,"Win",IF(T202&lt;=-Settings!$B$20,"Loss","BE")))</f>
        <v/>
      </c>
      <c r="V202" s="45" t="str">
        <f aca="false">IF(B202="","",Settings!$B$6)</f>
        <v/>
      </c>
      <c r="W202" s="46" t="str">
        <f aca="false">IF(B202="","",(Settings!$B$5+SUM(X$4:X201))*V202)</f>
        <v/>
      </c>
      <c r="X202" s="46" t="str">
        <f aca="false">IF(T202="","",ROUND(T202*W202,2))</f>
        <v/>
      </c>
      <c r="Y202" s="46" t="str">
        <f aca="false">IF(T202="","",Settings!$B$5+SUM(X$5:X202))</f>
        <v/>
      </c>
      <c r="Z202" s="43" t="str">
        <f aca="false">IF(T202="","",SUM(T$5:T202))</f>
        <v/>
      </c>
      <c r="AA202" s="43" t="str">
        <f aca="false">IF(T202="","",MAX(0,MAX(Z$5:Z202)))</f>
        <v/>
      </c>
      <c r="AB202" s="43" t="str">
        <f aca="false">IF(T202="","",Z202-AA202)</f>
        <v/>
      </c>
      <c r="AC202" s="38" t="str">
        <f aca="false">IF(U202="","",IF(U202="Loss",N(AC201)+1,0))</f>
        <v/>
      </c>
      <c r="AD202" s="40"/>
      <c r="AE202" s="38" t="str">
        <f aca="false">IF(B202="","",IF(AND(M202="Yes",OR(AD202="None",AD202="")),"Yes","No"))</f>
        <v/>
      </c>
      <c r="AF202" s="40"/>
      <c r="AG202" s="40"/>
      <c r="AH202" s="47"/>
      <c r="AI202" s="47"/>
    </row>
    <row r="203" customFormat="false" ht="15" hidden="false" customHeight="false" outlineLevel="0" collapsed="false">
      <c r="A203" s="38" t="str">
        <f aca="false">IF(B203="","",ROW()-4)</f>
        <v/>
      </c>
      <c r="B203" s="39"/>
      <c r="C203" s="38" t="str">
        <f aca="false">IF(B203="","",INT((B203-Settings!$B$4)/7)+1)</f>
        <v/>
      </c>
      <c r="D203" s="40"/>
      <c r="E203" s="40"/>
      <c r="F203" s="40"/>
      <c r="G203" s="40"/>
      <c r="H203" s="40"/>
      <c r="I203" s="40"/>
      <c r="J203" s="40"/>
      <c r="K203" s="40"/>
      <c r="L203" s="40"/>
      <c r="M203" s="38" t="str">
        <f aca="false">IF(B203="","",IF(COUNTIF(H203:L203,"Y")=5,"Yes","No"))</f>
        <v/>
      </c>
      <c r="N203" s="41"/>
      <c r="O203" s="42"/>
      <c r="P203" s="42"/>
      <c r="Q203" s="43" t="str">
        <f aca="false">IF(OR(O203="",P203=""),"",IF(F203="Long",O203+Settings!$B$7*(O203-P203),O203-Settings!$B$7*(P203-O203)))</f>
        <v/>
      </c>
      <c r="R203" s="42"/>
      <c r="S203" s="40"/>
      <c r="T203" s="44" t="str">
        <f aca="false">IF(OR(R203="",O203="",P203="",O203=P203),"",ROUND(IF(F203="Long",(R203-O203)/(O203-P203),(O203-R203)/(P203-O203)),2))</f>
        <v/>
      </c>
      <c r="U203" s="38" t="str">
        <f aca="false">IF(T203="","",IF(T203&gt;=Settings!$B$20,"Win",IF(T203&lt;=-Settings!$B$20,"Loss","BE")))</f>
        <v/>
      </c>
      <c r="V203" s="45" t="str">
        <f aca="false">IF(B203="","",Settings!$B$6)</f>
        <v/>
      </c>
      <c r="W203" s="46" t="str">
        <f aca="false">IF(B203="","",(Settings!$B$5+SUM(X$4:X202))*V203)</f>
        <v/>
      </c>
      <c r="X203" s="46" t="str">
        <f aca="false">IF(T203="","",ROUND(T203*W203,2))</f>
        <v/>
      </c>
      <c r="Y203" s="46" t="str">
        <f aca="false">IF(T203="","",Settings!$B$5+SUM(X$5:X203))</f>
        <v/>
      </c>
      <c r="Z203" s="43" t="str">
        <f aca="false">IF(T203="","",SUM(T$5:T203))</f>
        <v/>
      </c>
      <c r="AA203" s="43" t="str">
        <f aca="false">IF(T203="","",MAX(0,MAX(Z$5:Z203)))</f>
        <v/>
      </c>
      <c r="AB203" s="43" t="str">
        <f aca="false">IF(T203="","",Z203-AA203)</f>
        <v/>
      </c>
      <c r="AC203" s="38" t="str">
        <f aca="false">IF(U203="","",IF(U203="Loss",N(AC202)+1,0))</f>
        <v/>
      </c>
      <c r="AD203" s="40"/>
      <c r="AE203" s="38" t="str">
        <f aca="false">IF(B203="","",IF(AND(M203="Yes",OR(AD203="None",AD203="")),"Yes","No"))</f>
        <v/>
      </c>
      <c r="AF203" s="40"/>
      <c r="AG203" s="40"/>
      <c r="AH203" s="47"/>
      <c r="AI203" s="47"/>
    </row>
    <row r="204" customFormat="false" ht="15" hidden="false" customHeight="false" outlineLevel="0" collapsed="false">
      <c r="A204" s="38" t="str">
        <f aca="false">IF(B204="","",ROW()-4)</f>
        <v/>
      </c>
      <c r="B204" s="39"/>
      <c r="C204" s="38" t="str">
        <f aca="false">IF(B204="","",INT((B204-Settings!$B$4)/7)+1)</f>
        <v/>
      </c>
      <c r="D204" s="40"/>
      <c r="E204" s="40"/>
      <c r="F204" s="40"/>
      <c r="G204" s="40"/>
      <c r="H204" s="40"/>
      <c r="I204" s="40"/>
      <c r="J204" s="40"/>
      <c r="K204" s="40"/>
      <c r="L204" s="40"/>
      <c r="M204" s="38" t="str">
        <f aca="false">IF(B204="","",IF(COUNTIF(H204:L204,"Y")=5,"Yes","No"))</f>
        <v/>
      </c>
      <c r="N204" s="41"/>
      <c r="O204" s="42"/>
      <c r="P204" s="42"/>
      <c r="Q204" s="43" t="str">
        <f aca="false">IF(OR(O204="",P204=""),"",IF(F204="Long",O204+Settings!$B$7*(O204-P204),O204-Settings!$B$7*(P204-O204)))</f>
        <v/>
      </c>
      <c r="R204" s="42"/>
      <c r="S204" s="40"/>
      <c r="T204" s="44" t="str">
        <f aca="false">IF(OR(R204="",O204="",P204="",O204=P204),"",ROUND(IF(F204="Long",(R204-O204)/(O204-P204),(O204-R204)/(P204-O204)),2))</f>
        <v/>
      </c>
      <c r="U204" s="38" t="str">
        <f aca="false">IF(T204="","",IF(T204&gt;=Settings!$B$20,"Win",IF(T204&lt;=-Settings!$B$20,"Loss","BE")))</f>
        <v/>
      </c>
      <c r="V204" s="45" t="str">
        <f aca="false">IF(B204="","",Settings!$B$6)</f>
        <v/>
      </c>
      <c r="W204" s="46" t="str">
        <f aca="false">IF(B204="","",(Settings!$B$5+SUM(X$4:X203))*V204)</f>
        <v/>
      </c>
      <c r="X204" s="46" t="str">
        <f aca="false">IF(T204="","",ROUND(T204*W204,2))</f>
        <v/>
      </c>
      <c r="Y204" s="46" t="str">
        <f aca="false">IF(T204="","",Settings!$B$5+SUM(X$5:X204))</f>
        <v/>
      </c>
      <c r="Z204" s="43" t="str">
        <f aca="false">IF(T204="","",SUM(T$5:T204))</f>
        <v/>
      </c>
      <c r="AA204" s="43" t="str">
        <f aca="false">IF(T204="","",MAX(0,MAX(Z$5:Z204)))</f>
        <v/>
      </c>
      <c r="AB204" s="43" t="str">
        <f aca="false">IF(T204="","",Z204-AA204)</f>
        <v/>
      </c>
      <c r="AC204" s="38" t="str">
        <f aca="false">IF(U204="","",IF(U204="Loss",N(AC203)+1,0))</f>
        <v/>
      </c>
      <c r="AD204" s="40"/>
      <c r="AE204" s="38" t="str">
        <f aca="false">IF(B204="","",IF(AND(M204="Yes",OR(AD204="None",AD204="")),"Yes","No"))</f>
        <v/>
      </c>
      <c r="AF204" s="40"/>
      <c r="AG204" s="40"/>
      <c r="AH204" s="47"/>
      <c r="AI204" s="47"/>
    </row>
    <row r="205" customFormat="false" ht="15" hidden="false" customHeight="false" outlineLevel="0" collapsed="false">
      <c r="A205" s="38" t="str">
        <f aca="false">IF(B205="","",ROW()-4)</f>
        <v/>
      </c>
      <c r="B205" s="39"/>
      <c r="C205" s="38" t="str">
        <f aca="false">IF(B205="","",INT((B205-Settings!$B$4)/7)+1)</f>
        <v/>
      </c>
      <c r="D205" s="40"/>
      <c r="E205" s="40"/>
      <c r="F205" s="40"/>
      <c r="G205" s="40"/>
      <c r="H205" s="40"/>
      <c r="I205" s="40"/>
      <c r="J205" s="40"/>
      <c r="K205" s="40"/>
      <c r="L205" s="40"/>
      <c r="M205" s="38" t="str">
        <f aca="false">IF(B205="","",IF(COUNTIF(H205:L205,"Y")=5,"Yes","No"))</f>
        <v/>
      </c>
      <c r="N205" s="41"/>
      <c r="O205" s="42"/>
      <c r="P205" s="42"/>
      <c r="Q205" s="43" t="str">
        <f aca="false">IF(OR(O205="",P205=""),"",IF(F205="Long",O205+Settings!$B$7*(O205-P205),O205-Settings!$B$7*(P205-O205)))</f>
        <v/>
      </c>
      <c r="R205" s="42"/>
      <c r="S205" s="40"/>
      <c r="T205" s="44" t="str">
        <f aca="false">IF(OR(R205="",O205="",P205="",O205=P205),"",ROUND(IF(F205="Long",(R205-O205)/(O205-P205),(O205-R205)/(P205-O205)),2))</f>
        <v/>
      </c>
      <c r="U205" s="38" t="str">
        <f aca="false">IF(T205="","",IF(T205&gt;=Settings!$B$20,"Win",IF(T205&lt;=-Settings!$B$20,"Loss","BE")))</f>
        <v/>
      </c>
      <c r="V205" s="45" t="str">
        <f aca="false">IF(B205="","",Settings!$B$6)</f>
        <v/>
      </c>
      <c r="W205" s="46" t="str">
        <f aca="false">IF(B205="","",(Settings!$B$5+SUM(X$4:X204))*V205)</f>
        <v/>
      </c>
      <c r="X205" s="46" t="str">
        <f aca="false">IF(T205="","",ROUND(T205*W205,2))</f>
        <v/>
      </c>
      <c r="Y205" s="46" t="str">
        <f aca="false">IF(T205="","",Settings!$B$5+SUM(X$5:X205))</f>
        <v/>
      </c>
      <c r="Z205" s="43" t="str">
        <f aca="false">IF(T205="","",SUM(T$5:T205))</f>
        <v/>
      </c>
      <c r="AA205" s="43" t="str">
        <f aca="false">IF(T205="","",MAX(0,MAX(Z$5:Z205)))</f>
        <v/>
      </c>
      <c r="AB205" s="43" t="str">
        <f aca="false">IF(T205="","",Z205-AA205)</f>
        <v/>
      </c>
      <c r="AC205" s="38" t="str">
        <f aca="false">IF(U205="","",IF(U205="Loss",N(AC204)+1,0))</f>
        <v/>
      </c>
      <c r="AD205" s="40"/>
      <c r="AE205" s="38" t="str">
        <f aca="false">IF(B205="","",IF(AND(M205="Yes",OR(AD205="None",AD205="")),"Yes","No"))</f>
        <v/>
      </c>
      <c r="AF205" s="40"/>
      <c r="AG205" s="40"/>
      <c r="AH205" s="47"/>
      <c r="AI205" s="47"/>
    </row>
    <row r="206" customFormat="false" ht="15" hidden="false" customHeight="false" outlineLevel="0" collapsed="false">
      <c r="A206" s="38" t="str">
        <f aca="false">IF(B206="","",ROW()-4)</f>
        <v/>
      </c>
      <c r="B206" s="39"/>
      <c r="C206" s="38" t="str">
        <f aca="false">IF(B206="","",INT((B206-Settings!$B$4)/7)+1)</f>
        <v/>
      </c>
      <c r="D206" s="40"/>
      <c r="E206" s="40"/>
      <c r="F206" s="40"/>
      <c r="G206" s="40"/>
      <c r="H206" s="40"/>
      <c r="I206" s="40"/>
      <c r="J206" s="40"/>
      <c r="K206" s="40"/>
      <c r="L206" s="40"/>
      <c r="M206" s="38" t="str">
        <f aca="false">IF(B206="","",IF(COUNTIF(H206:L206,"Y")=5,"Yes","No"))</f>
        <v/>
      </c>
      <c r="N206" s="41"/>
      <c r="O206" s="42"/>
      <c r="P206" s="42"/>
      <c r="Q206" s="43" t="str">
        <f aca="false">IF(OR(O206="",P206=""),"",IF(F206="Long",O206+Settings!$B$7*(O206-P206),O206-Settings!$B$7*(P206-O206)))</f>
        <v/>
      </c>
      <c r="R206" s="42"/>
      <c r="S206" s="40"/>
      <c r="T206" s="44" t="str">
        <f aca="false">IF(OR(R206="",O206="",P206="",O206=P206),"",ROUND(IF(F206="Long",(R206-O206)/(O206-P206),(O206-R206)/(P206-O206)),2))</f>
        <v/>
      </c>
      <c r="U206" s="38" t="str">
        <f aca="false">IF(T206="","",IF(T206&gt;=Settings!$B$20,"Win",IF(T206&lt;=-Settings!$B$20,"Loss","BE")))</f>
        <v/>
      </c>
      <c r="V206" s="45" t="str">
        <f aca="false">IF(B206="","",Settings!$B$6)</f>
        <v/>
      </c>
      <c r="W206" s="46" t="str">
        <f aca="false">IF(B206="","",(Settings!$B$5+SUM(X$4:X205))*V206)</f>
        <v/>
      </c>
      <c r="X206" s="46" t="str">
        <f aca="false">IF(T206="","",ROUND(T206*W206,2))</f>
        <v/>
      </c>
      <c r="Y206" s="46" t="str">
        <f aca="false">IF(T206="","",Settings!$B$5+SUM(X$5:X206))</f>
        <v/>
      </c>
      <c r="Z206" s="43" t="str">
        <f aca="false">IF(T206="","",SUM(T$5:T206))</f>
        <v/>
      </c>
      <c r="AA206" s="43" t="str">
        <f aca="false">IF(T206="","",MAX(0,MAX(Z$5:Z206)))</f>
        <v/>
      </c>
      <c r="AB206" s="43" t="str">
        <f aca="false">IF(T206="","",Z206-AA206)</f>
        <v/>
      </c>
      <c r="AC206" s="38" t="str">
        <f aca="false">IF(U206="","",IF(U206="Loss",N(AC205)+1,0))</f>
        <v/>
      </c>
      <c r="AD206" s="40"/>
      <c r="AE206" s="38" t="str">
        <f aca="false">IF(B206="","",IF(AND(M206="Yes",OR(AD206="None",AD206="")),"Yes","No"))</f>
        <v/>
      </c>
      <c r="AF206" s="40"/>
      <c r="AG206" s="40"/>
      <c r="AH206" s="47"/>
      <c r="AI206" s="47"/>
    </row>
    <row r="207" customFormat="false" ht="15" hidden="false" customHeight="false" outlineLevel="0" collapsed="false">
      <c r="A207" s="38" t="str">
        <f aca="false">IF(B207="","",ROW()-4)</f>
        <v/>
      </c>
      <c r="B207" s="39"/>
      <c r="C207" s="38" t="str">
        <f aca="false">IF(B207="","",INT((B207-Settings!$B$4)/7)+1)</f>
        <v/>
      </c>
      <c r="D207" s="40"/>
      <c r="E207" s="40"/>
      <c r="F207" s="40"/>
      <c r="G207" s="40"/>
      <c r="H207" s="40"/>
      <c r="I207" s="40"/>
      <c r="J207" s="40"/>
      <c r="K207" s="40"/>
      <c r="L207" s="40"/>
      <c r="M207" s="38" t="str">
        <f aca="false">IF(B207="","",IF(COUNTIF(H207:L207,"Y")=5,"Yes","No"))</f>
        <v/>
      </c>
      <c r="N207" s="41"/>
      <c r="O207" s="42"/>
      <c r="P207" s="42"/>
      <c r="Q207" s="43" t="str">
        <f aca="false">IF(OR(O207="",P207=""),"",IF(F207="Long",O207+Settings!$B$7*(O207-P207),O207-Settings!$B$7*(P207-O207)))</f>
        <v/>
      </c>
      <c r="R207" s="42"/>
      <c r="S207" s="40"/>
      <c r="T207" s="44" t="str">
        <f aca="false">IF(OR(R207="",O207="",P207="",O207=P207),"",ROUND(IF(F207="Long",(R207-O207)/(O207-P207),(O207-R207)/(P207-O207)),2))</f>
        <v/>
      </c>
      <c r="U207" s="38" t="str">
        <f aca="false">IF(T207="","",IF(T207&gt;=Settings!$B$20,"Win",IF(T207&lt;=-Settings!$B$20,"Loss","BE")))</f>
        <v/>
      </c>
      <c r="V207" s="45" t="str">
        <f aca="false">IF(B207="","",Settings!$B$6)</f>
        <v/>
      </c>
      <c r="W207" s="46" t="str">
        <f aca="false">IF(B207="","",(Settings!$B$5+SUM(X$4:X206))*V207)</f>
        <v/>
      </c>
      <c r="X207" s="46" t="str">
        <f aca="false">IF(T207="","",ROUND(T207*W207,2))</f>
        <v/>
      </c>
      <c r="Y207" s="46" t="str">
        <f aca="false">IF(T207="","",Settings!$B$5+SUM(X$5:X207))</f>
        <v/>
      </c>
      <c r="Z207" s="43" t="str">
        <f aca="false">IF(T207="","",SUM(T$5:T207))</f>
        <v/>
      </c>
      <c r="AA207" s="43" t="str">
        <f aca="false">IF(T207="","",MAX(0,MAX(Z$5:Z207)))</f>
        <v/>
      </c>
      <c r="AB207" s="43" t="str">
        <f aca="false">IF(T207="","",Z207-AA207)</f>
        <v/>
      </c>
      <c r="AC207" s="38" t="str">
        <f aca="false">IF(U207="","",IF(U207="Loss",N(AC206)+1,0))</f>
        <v/>
      </c>
      <c r="AD207" s="40"/>
      <c r="AE207" s="38" t="str">
        <f aca="false">IF(B207="","",IF(AND(M207="Yes",OR(AD207="None",AD207="")),"Yes","No"))</f>
        <v/>
      </c>
      <c r="AF207" s="40"/>
      <c r="AG207" s="40"/>
      <c r="AH207" s="47"/>
      <c r="AI207" s="47"/>
    </row>
    <row r="208" customFormat="false" ht="15" hidden="false" customHeight="false" outlineLevel="0" collapsed="false">
      <c r="A208" s="38" t="str">
        <f aca="false">IF(B208="","",ROW()-4)</f>
        <v/>
      </c>
      <c r="B208" s="39"/>
      <c r="C208" s="38" t="str">
        <f aca="false">IF(B208="","",INT((B208-Settings!$B$4)/7)+1)</f>
        <v/>
      </c>
      <c r="D208" s="40"/>
      <c r="E208" s="40"/>
      <c r="F208" s="40"/>
      <c r="G208" s="40"/>
      <c r="H208" s="40"/>
      <c r="I208" s="40"/>
      <c r="J208" s="40"/>
      <c r="K208" s="40"/>
      <c r="L208" s="40"/>
      <c r="M208" s="38" t="str">
        <f aca="false">IF(B208="","",IF(COUNTIF(H208:L208,"Y")=5,"Yes","No"))</f>
        <v/>
      </c>
      <c r="N208" s="41"/>
      <c r="O208" s="42"/>
      <c r="P208" s="42"/>
      <c r="Q208" s="43" t="str">
        <f aca="false">IF(OR(O208="",P208=""),"",IF(F208="Long",O208+Settings!$B$7*(O208-P208),O208-Settings!$B$7*(P208-O208)))</f>
        <v/>
      </c>
      <c r="R208" s="42"/>
      <c r="S208" s="40"/>
      <c r="T208" s="44" t="str">
        <f aca="false">IF(OR(R208="",O208="",P208="",O208=P208),"",ROUND(IF(F208="Long",(R208-O208)/(O208-P208),(O208-R208)/(P208-O208)),2))</f>
        <v/>
      </c>
      <c r="U208" s="38" t="str">
        <f aca="false">IF(T208="","",IF(T208&gt;=Settings!$B$20,"Win",IF(T208&lt;=-Settings!$B$20,"Loss","BE")))</f>
        <v/>
      </c>
      <c r="V208" s="45" t="str">
        <f aca="false">IF(B208="","",Settings!$B$6)</f>
        <v/>
      </c>
      <c r="W208" s="46" t="str">
        <f aca="false">IF(B208="","",(Settings!$B$5+SUM(X$4:X207))*V208)</f>
        <v/>
      </c>
      <c r="X208" s="46" t="str">
        <f aca="false">IF(T208="","",ROUND(T208*W208,2))</f>
        <v/>
      </c>
      <c r="Y208" s="46" t="str">
        <f aca="false">IF(T208="","",Settings!$B$5+SUM(X$5:X208))</f>
        <v/>
      </c>
      <c r="Z208" s="43" t="str">
        <f aca="false">IF(T208="","",SUM(T$5:T208))</f>
        <v/>
      </c>
      <c r="AA208" s="43" t="str">
        <f aca="false">IF(T208="","",MAX(0,MAX(Z$5:Z208)))</f>
        <v/>
      </c>
      <c r="AB208" s="43" t="str">
        <f aca="false">IF(T208="","",Z208-AA208)</f>
        <v/>
      </c>
      <c r="AC208" s="38" t="str">
        <f aca="false">IF(U208="","",IF(U208="Loss",N(AC207)+1,0))</f>
        <v/>
      </c>
      <c r="AD208" s="40"/>
      <c r="AE208" s="38" t="str">
        <f aca="false">IF(B208="","",IF(AND(M208="Yes",OR(AD208="None",AD208="")),"Yes","No"))</f>
        <v/>
      </c>
      <c r="AF208" s="40"/>
      <c r="AG208" s="40"/>
      <c r="AH208" s="47"/>
      <c r="AI208" s="47"/>
    </row>
    <row r="209" customFormat="false" ht="15" hidden="false" customHeight="false" outlineLevel="0" collapsed="false">
      <c r="A209" s="38" t="str">
        <f aca="false">IF(B209="","",ROW()-4)</f>
        <v/>
      </c>
      <c r="B209" s="39"/>
      <c r="C209" s="38" t="str">
        <f aca="false">IF(B209="","",INT((B209-Settings!$B$4)/7)+1)</f>
        <v/>
      </c>
      <c r="D209" s="40"/>
      <c r="E209" s="40"/>
      <c r="F209" s="40"/>
      <c r="G209" s="40"/>
      <c r="H209" s="40"/>
      <c r="I209" s="40"/>
      <c r="J209" s="40"/>
      <c r="K209" s="40"/>
      <c r="L209" s="40"/>
      <c r="M209" s="38" t="str">
        <f aca="false">IF(B209="","",IF(COUNTIF(H209:L209,"Y")=5,"Yes","No"))</f>
        <v/>
      </c>
      <c r="N209" s="41"/>
      <c r="O209" s="42"/>
      <c r="P209" s="42"/>
      <c r="Q209" s="43" t="str">
        <f aca="false">IF(OR(O209="",P209=""),"",IF(F209="Long",O209+Settings!$B$7*(O209-P209),O209-Settings!$B$7*(P209-O209)))</f>
        <v/>
      </c>
      <c r="R209" s="42"/>
      <c r="S209" s="40"/>
      <c r="T209" s="44" t="str">
        <f aca="false">IF(OR(R209="",O209="",P209="",O209=P209),"",ROUND(IF(F209="Long",(R209-O209)/(O209-P209),(O209-R209)/(P209-O209)),2))</f>
        <v/>
      </c>
      <c r="U209" s="38" t="str">
        <f aca="false">IF(T209="","",IF(T209&gt;=Settings!$B$20,"Win",IF(T209&lt;=-Settings!$B$20,"Loss","BE")))</f>
        <v/>
      </c>
      <c r="V209" s="45" t="str">
        <f aca="false">IF(B209="","",Settings!$B$6)</f>
        <v/>
      </c>
      <c r="W209" s="46" t="str">
        <f aca="false">IF(B209="","",(Settings!$B$5+SUM(X$4:X208))*V209)</f>
        <v/>
      </c>
      <c r="X209" s="46" t="str">
        <f aca="false">IF(T209="","",ROUND(T209*W209,2))</f>
        <v/>
      </c>
      <c r="Y209" s="46" t="str">
        <f aca="false">IF(T209="","",Settings!$B$5+SUM(X$5:X209))</f>
        <v/>
      </c>
      <c r="Z209" s="43" t="str">
        <f aca="false">IF(T209="","",SUM(T$5:T209))</f>
        <v/>
      </c>
      <c r="AA209" s="43" t="str">
        <f aca="false">IF(T209="","",MAX(0,MAX(Z$5:Z209)))</f>
        <v/>
      </c>
      <c r="AB209" s="43" t="str">
        <f aca="false">IF(T209="","",Z209-AA209)</f>
        <v/>
      </c>
      <c r="AC209" s="38" t="str">
        <f aca="false">IF(U209="","",IF(U209="Loss",N(AC208)+1,0))</f>
        <v/>
      </c>
      <c r="AD209" s="40"/>
      <c r="AE209" s="38" t="str">
        <f aca="false">IF(B209="","",IF(AND(M209="Yes",OR(AD209="None",AD209="")),"Yes","No"))</f>
        <v/>
      </c>
      <c r="AF209" s="40"/>
      <c r="AG209" s="40"/>
      <c r="AH209" s="47"/>
      <c r="AI209" s="47"/>
    </row>
    <row r="210" customFormat="false" ht="15" hidden="false" customHeight="false" outlineLevel="0" collapsed="false">
      <c r="A210" s="38" t="str">
        <f aca="false">IF(B210="","",ROW()-4)</f>
        <v/>
      </c>
      <c r="B210" s="39"/>
      <c r="C210" s="38" t="str">
        <f aca="false">IF(B210="","",INT((B210-Settings!$B$4)/7)+1)</f>
        <v/>
      </c>
      <c r="D210" s="40"/>
      <c r="E210" s="40"/>
      <c r="F210" s="40"/>
      <c r="G210" s="40"/>
      <c r="H210" s="40"/>
      <c r="I210" s="40"/>
      <c r="J210" s="40"/>
      <c r="K210" s="40"/>
      <c r="L210" s="40"/>
      <c r="M210" s="38" t="str">
        <f aca="false">IF(B210="","",IF(COUNTIF(H210:L210,"Y")=5,"Yes","No"))</f>
        <v/>
      </c>
      <c r="N210" s="41"/>
      <c r="O210" s="42"/>
      <c r="P210" s="42"/>
      <c r="Q210" s="43" t="str">
        <f aca="false">IF(OR(O210="",P210=""),"",IF(F210="Long",O210+Settings!$B$7*(O210-P210),O210-Settings!$B$7*(P210-O210)))</f>
        <v/>
      </c>
      <c r="R210" s="42"/>
      <c r="S210" s="40"/>
      <c r="T210" s="44" t="str">
        <f aca="false">IF(OR(R210="",O210="",P210="",O210=P210),"",ROUND(IF(F210="Long",(R210-O210)/(O210-P210),(O210-R210)/(P210-O210)),2))</f>
        <v/>
      </c>
      <c r="U210" s="38" t="str">
        <f aca="false">IF(T210="","",IF(T210&gt;=Settings!$B$20,"Win",IF(T210&lt;=-Settings!$B$20,"Loss","BE")))</f>
        <v/>
      </c>
      <c r="V210" s="45" t="str">
        <f aca="false">IF(B210="","",Settings!$B$6)</f>
        <v/>
      </c>
      <c r="W210" s="46" t="str">
        <f aca="false">IF(B210="","",(Settings!$B$5+SUM(X$4:X209))*V210)</f>
        <v/>
      </c>
      <c r="X210" s="46" t="str">
        <f aca="false">IF(T210="","",ROUND(T210*W210,2))</f>
        <v/>
      </c>
      <c r="Y210" s="46" t="str">
        <f aca="false">IF(T210="","",Settings!$B$5+SUM(X$5:X210))</f>
        <v/>
      </c>
      <c r="Z210" s="43" t="str">
        <f aca="false">IF(T210="","",SUM(T$5:T210))</f>
        <v/>
      </c>
      <c r="AA210" s="43" t="str">
        <f aca="false">IF(T210="","",MAX(0,MAX(Z$5:Z210)))</f>
        <v/>
      </c>
      <c r="AB210" s="43" t="str">
        <f aca="false">IF(T210="","",Z210-AA210)</f>
        <v/>
      </c>
      <c r="AC210" s="38" t="str">
        <f aca="false">IF(U210="","",IF(U210="Loss",N(AC209)+1,0))</f>
        <v/>
      </c>
      <c r="AD210" s="40"/>
      <c r="AE210" s="38" t="str">
        <f aca="false">IF(B210="","",IF(AND(M210="Yes",OR(AD210="None",AD210="")),"Yes","No"))</f>
        <v/>
      </c>
      <c r="AF210" s="40"/>
      <c r="AG210" s="40"/>
      <c r="AH210" s="47"/>
      <c r="AI210" s="47"/>
    </row>
    <row r="211" customFormat="false" ht="15" hidden="false" customHeight="false" outlineLevel="0" collapsed="false">
      <c r="A211" s="38" t="str">
        <f aca="false">IF(B211="","",ROW()-4)</f>
        <v/>
      </c>
      <c r="B211" s="39"/>
      <c r="C211" s="38" t="str">
        <f aca="false">IF(B211="","",INT((B211-Settings!$B$4)/7)+1)</f>
        <v/>
      </c>
      <c r="D211" s="40"/>
      <c r="E211" s="40"/>
      <c r="F211" s="40"/>
      <c r="G211" s="40"/>
      <c r="H211" s="40"/>
      <c r="I211" s="40"/>
      <c r="J211" s="40"/>
      <c r="K211" s="40"/>
      <c r="L211" s="40"/>
      <c r="M211" s="38" t="str">
        <f aca="false">IF(B211="","",IF(COUNTIF(H211:L211,"Y")=5,"Yes","No"))</f>
        <v/>
      </c>
      <c r="N211" s="41"/>
      <c r="O211" s="42"/>
      <c r="P211" s="42"/>
      <c r="Q211" s="43" t="str">
        <f aca="false">IF(OR(O211="",P211=""),"",IF(F211="Long",O211+Settings!$B$7*(O211-P211),O211-Settings!$B$7*(P211-O211)))</f>
        <v/>
      </c>
      <c r="R211" s="42"/>
      <c r="S211" s="40"/>
      <c r="T211" s="44" t="str">
        <f aca="false">IF(OR(R211="",O211="",P211="",O211=P211),"",ROUND(IF(F211="Long",(R211-O211)/(O211-P211),(O211-R211)/(P211-O211)),2))</f>
        <v/>
      </c>
      <c r="U211" s="38" t="str">
        <f aca="false">IF(T211="","",IF(T211&gt;=Settings!$B$20,"Win",IF(T211&lt;=-Settings!$B$20,"Loss","BE")))</f>
        <v/>
      </c>
      <c r="V211" s="45" t="str">
        <f aca="false">IF(B211="","",Settings!$B$6)</f>
        <v/>
      </c>
      <c r="W211" s="46" t="str">
        <f aca="false">IF(B211="","",(Settings!$B$5+SUM(X$4:X210))*V211)</f>
        <v/>
      </c>
      <c r="X211" s="46" t="str">
        <f aca="false">IF(T211="","",ROUND(T211*W211,2))</f>
        <v/>
      </c>
      <c r="Y211" s="46" t="str">
        <f aca="false">IF(T211="","",Settings!$B$5+SUM(X$5:X211))</f>
        <v/>
      </c>
      <c r="Z211" s="43" t="str">
        <f aca="false">IF(T211="","",SUM(T$5:T211))</f>
        <v/>
      </c>
      <c r="AA211" s="43" t="str">
        <f aca="false">IF(T211="","",MAX(0,MAX(Z$5:Z211)))</f>
        <v/>
      </c>
      <c r="AB211" s="43" t="str">
        <f aca="false">IF(T211="","",Z211-AA211)</f>
        <v/>
      </c>
      <c r="AC211" s="38" t="str">
        <f aca="false">IF(U211="","",IF(U211="Loss",N(AC210)+1,0))</f>
        <v/>
      </c>
      <c r="AD211" s="40"/>
      <c r="AE211" s="38" t="str">
        <f aca="false">IF(B211="","",IF(AND(M211="Yes",OR(AD211="None",AD211="")),"Yes","No"))</f>
        <v/>
      </c>
      <c r="AF211" s="40"/>
      <c r="AG211" s="40"/>
      <c r="AH211" s="47"/>
      <c r="AI211" s="47"/>
    </row>
    <row r="212" customFormat="false" ht="15" hidden="false" customHeight="false" outlineLevel="0" collapsed="false">
      <c r="A212" s="38" t="str">
        <f aca="false">IF(B212="","",ROW()-4)</f>
        <v/>
      </c>
      <c r="B212" s="39"/>
      <c r="C212" s="38" t="str">
        <f aca="false">IF(B212="","",INT((B212-Settings!$B$4)/7)+1)</f>
        <v/>
      </c>
      <c r="D212" s="40"/>
      <c r="E212" s="40"/>
      <c r="F212" s="40"/>
      <c r="G212" s="40"/>
      <c r="H212" s="40"/>
      <c r="I212" s="40"/>
      <c r="J212" s="40"/>
      <c r="K212" s="40"/>
      <c r="L212" s="40"/>
      <c r="M212" s="38" t="str">
        <f aca="false">IF(B212="","",IF(COUNTIF(H212:L212,"Y")=5,"Yes","No"))</f>
        <v/>
      </c>
      <c r="N212" s="41"/>
      <c r="O212" s="42"/>
      <c r="P212" s="42"/>
      <c r="Q212" s="43" t="str">
        <f aca="false">IF(OR(O212="",P212=""),"",IF(F212="Long",O212+Settings!$B$7*(O212-P212),O212-Settings!$B$7*(P212-O212)))</f>
        <v/>
      </c>
      <c r="R212" s="42"/>
      <c r="S212" s="40"/>
      <c r="T212" s="44" t="str">
        <f aca="false">IF(OR(R212="",O212="",P212="",O212=P212),"",ROUND(IF(F212="Long",(R212-O212)/(O212-P212),(O212-R212)/(P212-O212)),2))</f>
        <v/>
      </c>
      <c r="U212" s="38" t="str">
        <f aca="false">IF(T212="","",IF(T212&gt;=Settings!$B$20,"Win",IF(T212&lt;=-Settings!$B$20,"Loss","BE")))</f>
        <v/>
      </c>
      <c r="V212" s="45" t="str">
        <f aca="false">IF(B212="","",Settings!$B$6)</f>
        <v/>
      </c>
      <c r="W212" s="46" t="str">
        <f aca="false">IF(B212="","",(Settings!$B$5+SUM(X$4:X211))*V212)</f>
        <v/>
      </c>
      <c r="X212" s="46" t="str">
        <f aca="false">IF(T212="","",ROUND(T212*W212,2))</f>
        <v/>
      </c>
      <c r="Y212" s="46" t="str">
        <f aca="false">IF(T212="","",Settings!$B$5+SUM(X$5:X212))</f>
        <v/>
      </c>
      <c r="Z212" s="43" t="str">
        <f aca="false">IF(T212="","",SUM(T$5:T212))</f>
        <v/>
      </c>
      <c r="AA212" s="43" t="str">
        <f aca="false">IF(T212="","",MAX(0,MAX(Z$5:Z212)))</f>
        <v/>
      </c>
      <c r="AB212" s="43" t="str">
        <f aca="false">IF(T212="","",Z212-AA212)</f>
        <v/>
      </c>
      <c r="AC212" s="38" t="str">
        <f aca="false">IF(U212="","",IF(U212="Loss",N(AC211)+1,0))</f>
        <v/>
      </c>
      <c r="AD212" s="40"/>
      <c r="AE212" s="38" t="str">
        <f aca="false">IF(B212="","",IF(AND(M212="Yes",OR(AD212="None",AD212="")),"Yes","No"))</f>
        <v/>
      </c>
      <c r="AF212" s="40"/>
      <c r="AG212" s="40"/>
      <c r="AH212" s="47"/>
      <c r="AI212" s="47"/>
    </row>
    <row r="213" customFormat="false" ht="15" hidden="false" customHeight="false" outlineLevel="0" collapsed="false">
      <c r="A213" s="38" t="str">
        <f aca="false">IF(B213="","",ROW()-4)</f>
        <v/>
      </c>
      <c r="B213" s="39"/>
      <c r="C213" s="38" t="str">
        <f aca="false">IF(B213="","",INT((B213-Settings!$B$4)/7)+1)</f>
        <v/>
      </c>
      <c r="D213" s="40"/>
      <c r="E213" s="40"/>
      <c r="F213" s="40"/>
      <c r="G213" s="40"/>
      <c r="H213" s="40"/>
      <c r="I213" s="40"/>
      <c r="J213" s="40"/>
      <c r="K213" s="40"/>
      <c r="L213" s="40"/>
      <c r="M213" s="38" t="str">
        <f aca="false">IF(B213="","",IF(COUNTIF(H213:L213,"Y")=5,"Yes","No"))</f>
        <v/>
      </c>
      <c r="N213" s="41"/>
      <c r="O213" s="42"/>
      <c r="P213" s="42"/>
      <c r="Q213" s="43" t="str">
        <f aca="false">IF(OR(O213="",P213=""),"",IF(F213="Long",O213+Settings!$B$7*(O213-P213),O213-Settings!$B$7*(P213-O213)))</f>
        <v/>
      </c>
      <c r="R213" s="42"/>
      <c r="S213" s="40"/>
      <c r="T213" s="44" t="str">
        <f aca="false">IF(OR(R213="",O213="",P213="",O213=P213),"",ROUND(IF(F213="Long",(R213-O213)/(O213-P213),(O213-R213)/(P213-O213)),2))</f>
        <v/>
      </c>
      <c r="U213" s="38" t="str">
        <f aca="false">IF(T213="","",IF(T213&gt;=Settings!$B$20,"Win",IF(T213&lt;=-Settings!$B$20,"Loss","BE")))</f>
        <v/>
      </c>
      <c r="V213" s="45" t="str">
        <f aca="false">IF(B213="","",Settings!$B$6)</f>
        <v/>
      </c>
      <c r="W213" s="46" t="str">
        <f aca="false">IF(B213="","",(Settings!$B$5+SUM(X$4:X212))*V213)</f>
        <v/>
      </c>
      <c r="X213" s="46" t="str">
        <f aca="false">IF(T213="","",ROUND(T213*W213,2))</f>
        <v/>
      </c>
      <c r="Y213" s="46" t="str">
        <f aca="false">IF(T213="","",Settings!$B$5+SUM(X$5:X213))</f>
        <v/>
      </c>
      <c r="Z213" s="43" t="str">
        <f aca="false">IF(T213="","",SUM(T$5:T213))</f>
        <v/>
      </c>
      <c r="AA213" s="43" t="str">
        <f aca="false">IF(T213="","",MAX(0,MAX(Z$5:Z213)))</f>
        <v/>
      </c>
      <c r="AB213" s="43" t="str">
        <f aca="false">IF(T213="","",Z213-AA213)</f>
        <v/>
      </c>
      <c r="AC213" s="38" t="str">
        <f aca="false">IF(U213="","",IF(U213="Loss",N(AC212)+1,0))</f>
        <v/>
      </c>
      <c r="AD213" s="40"/>
      <c r="AE213" s="38" t="str">
        <f aca="false">IF(B213="","",IF(AND(M213="Yes",OR(AD213="None",AD213="")),"Yes","No"))</f>
        <v/>
      </c>
      <c r="AF213" s="40"/>
      <c r="AG213" s="40"/>
      <c r="AH213" s="47"/>
      <c r="AI213" s="47"/>
    </row>
    <row r="214" customFormat="false" ht="15" hidden="false" customHeight="false" outlineLevel="0" collapsed="false">
      <c r="A214" s="38" t="str">
        <f aca="false">IF(B214="","",ROW()-4)</f>
        <v/>
      </c>
      <c r="B214" s="39"/>
      <c r="C214" s="38" t="str">
        <f aca="false">IF(B214="","",INT((B214-Settings!$B$4)/7)+1)</f>
        <v/>
      </c>
      <c r="D214" s="40"/>
      <c r="E214" s="40"/>
      <c r="F214" s="40"/>
      <c r="G214" s="40"/>
      <c r="H214" s="40"/>
      <c r="I214" s="40"/>
      <c r="J214" s="40"/>
      <c r="K214" s="40"/>
      <c r="L214" s="40"/>
      <c r="M214" s="38" t="str">
        <f aca="false">IF(B214="","",IF(COUNTIF(H214:L214,"Y")=5,"Yes","No"))</f>
        <v/>
      </c>
      <c r="N214" s="41"/>
      <c r="O214" s="42"/>
      <c r="P214" s="42"/>
      <c r="Q214" s="43" t="str">
        <f aca="false">IF(OR(O214="",P214=""),"",IF(F214="Long",O214+Settings!$B$7*(O214-P214),O214-Settings!$B$7*(P214-O214)))</f>
        <v/>
      </c>
      <c r="R214" s="42"/>
      <c r="S214" s="40"/>
      <c r="T214" s="44" t="str">
        <f aca="false">IF(OR(R214="",O214="",P214="",O214=P214),"",ROUND(IF(F214="Long",(R214-O214)/(O214-P214),(O214-R214)/(P214-O214)),2))</f>
        <v/>
      </c>
      <c r="U214" s="38" t="str">
        <f aca="false">IF(T214="","",IF(T214&gt;=Settings!$B$20,"Win",IF(T214&lt;=-Settings!$B$20,"Loss","BE")))</f>
        <v/>
      </c>
      <c r="V214" s="45" t="str">
        <f aca="false">IF(B214="","",Settings!$B$6)</f>
        <v/>
      </c>
      <c r="W214" s="46" t="str">
        <f aca="false">IF(B214="","",(Settings!$B$5+SUM(X$4:X213))*V214)</f>
        <v/>
      </c>
      <c r="X214" s="46" t="str">
        <f aca="false">IF(T214="","",ROUND(T214*W214,2))</f>
        <v/>
      </c>
      <c r="Y214" s="46" t="str">
        <f aca="false">IF(T214="","",Settings!$B$5+SUM(X$5:X214))</f>
        <v/>
      </c>
      <c r="Z214" s="43" t="str">
        <f aca="false">IF(T214="","",SUM(T$5:T214))</f>
        <v/>
      </c>
      <c r="AA214" s="43" t="str">
        <f aca="false">IF(T214="","",MAX(0,MAX(Z$5:Z214)))</f>
        <v/>
      </c>
      <c r="AB214" s="43" t="str">
        <f aca="false">IF(T214="","",Z214-AA214)</f>
        <v/>
      </c>
      <c r="AC214" s="38" t="str">
        <f aca="false">IF(U214="","",IF(U214="Loss",N(AC213)+1,0))</f>
        <v/>
      </c>
      <c r="AD214" s="40"/>
      <c r="AE214" s="38" t="str">
        <f aca="false">IF(B214="","",IF(AND(M214="Yes",OR(AD214="None",AD214="")),"Yes","No"))</f>
        <v/>
      </c>
      <c r="AF214" s="40"/>
      <c r="AG214" s="40"/>
      <c r="AH214" s="47"/>
      <c r="AI214" s="47"/>
    </row>
    <row r="215" customFormat="false" ht="15" hidden="false" customHeight="false" outlineLevel="0" collapsed="false">
      <c r="A215" s="38" t="str">
        <f aca="false">IF(B215="","",ROW()-4)</f>
        <v/>
      </c>
      <c r="B215" s="39"/>
      <c r="C215" s="38" t="str">
        <f aca="false">IF(B215="","",INT((B215-Settings!$B$4)/7)+1)</f>
        <v/>
      </c>
      <c r="D215" s="40"/>
      <c r="E215" s="40"/>
      <c r="F215" s="40"/>
      <c r="G215" s="40"/>
      <c r="H215" s="40"/>
      <c r="I215" s="40"/>
      <c r="J215" s="40"/>
      <c r="K215" s="40"/>
      <c r="L215" s="40"/>
      <c r="M215" s="38" t="str">
        <f aca="false">IF(B215="","",IF(COUNTIF(H215:L215,"Y")=5,"Yes","No"))</f>
        <v/>
      </c>
      <c r="N215" s="41"/>
      <c r="O215" s="42"/>
      <c r="P215" s="42"/>
      <c r="Q215" s="43" t="str">
        <f aca="false">IF(OR(O215="",P215=""),"",IF(F215="Long",O215+Settings!$B$7*(O215-P215),O215-Settings!$B$7*(P215-O215)))</f>
        <v/>
      </c>
      <c r="R215" s="42"/>
      <c r="S215" s="40"/>
      <c r="T215" s="44" t="str">
        <f aca="false">IF(OR(R215="",O215="",P215="",O215=P215),"",ROUND(IF(F215="Long",(R215-O215)/(O215-P215),(O215-R215)/(P215-O215)),2))</f>
        <v/>
      </c>
      <c r="U215" s="38" t="str">
        <f aca="false">IF(T215="","",IF(T215&gt;=Settings!$B$20,"Win",IF(T215&lt;=-Settings!$B$20,"Loss","BE")))</f>
        <v/>
      </c>
      <c r="V215" s="45" t="str">
        <f aca="false">IF(B215="","",Settings!$B$6)</f>
        <v/>
      </c>
      <c r="W215" s="46" t="str">
        <f aca="false">IF(B215="","",(Settings!$B$5+SUM(X$4:X214))*V215)</f>
        <v/>
      </c>
      <c r="X215" s="46" t="str">
        <f aca="false">IF(T215="","",ROUND(T215*W215,2))</f>
        <v/>
      </c>
      <c r="Y215" s="46" t="str">
        <f aca="false">IF(T215="","",Settings!$B$5+SUM(X$5:X215))</f>
        <v/>
      </c>
      <c r="Z215" s="43" t="str">
        <f aca="false">IF(T215="","",SUM(T$5:T215))</f>
        <v/>
      </c>
      <c r="AA215" s="43" t="str">
        <f aca="false">IF(T215="","",MAX(0,MAX(Z$5:Z215)))</f>
        <v/>
      </c>
      <c r="AB215" s="43" t="str">
        <f aca="false">IF(T215="","",Z215-AA215)</f>
        <v/>
      </c>
      <c r="AC215" s="38" t="str">
        <f aca="false">IF(U215="","",IF(U215="Loss",N(AC214)+1,0))</f>
        <v/>
      </c>
      <c r="AD215" s="40"/>
      <c r="AE215" s="38" t="str">
        <f aca="false">IF(B215="","",IF(AND(M215="Yes",OR(AD215="None",AD215="")),"Yes","No"))</f>
        <v/>
      </c>
      <c r="AF215" s="40"/>
      <c r="AG215" s="40"/>
      <c r="AH215" s="47"/>
      <c r="AI215" s="47"/>
    </row>
    <row r="216" customFormat="false" ht="15" hidden="false" customHeight="false" outlineLevel="0" collapsed="false">
      <c r="A216" s="38" t="str">
        <f aca="false">IF(B216="","",ROW()-4)</f>
        <v/>
      </c>
      <c r="B216" s="39"/>
      <c r="C216" s="38" t="str">
        <f aca="false">IF(B216="","",INT((B216-Settings!$B$4)/7)+1)</f>
        <v/>
      </c>
      <c r="D216" s="40"/>
      <c r="E216" s="40"/>
      <c r="F216" s="40"/>
      <c r="G216" s="40"/>
      <c r="H216" s="40"/>
      <c r="I216" s="40"/>
      <c r="J216" s="40"/>
      <c r="K216" s="40"/>
      <c r="L216" s="40"/>
      <c r="M216" s="38" t="str">
        <f aca="false">IF(B216="","",IF(COUNTIF(H216:L216,"Y")=5,"Yes","No"))</f>
        <v/>
      </c>
      <c r="N216" s="41"/>
      <c r="O216" s="42"/>
      <c r="P216" s="42"/>
      <c r="Q216" s="43" t="str">
        <f aca="false">IF(OR(O216="",P216=""),"",IF(F216="Long",O216+Settings!$B$7*(O216-P216),O216-Settings!$B$7*(P216-O216)))</f>
        <v/>
      </c>
      <c r="R216" s="42"/>
      <c r="S216" s="40"/>
      <c r="T216" s="44" t="str">
        <f aca="false">IF(OR(R216="",O216="",P216="",O216=P216),"",ROUND(IF(F216="Long",(R216-O216)/(O216-P216),(O216-R216)/(P216-O216)),2))</f>
        <v/>
      </c>
      <c r="U216" s="38" t="str">
        <f aca="false">IF(T216="","",IF(T216&gt;=Settings!$B$20,"Win",IF(T216&lt;=-Settings!$B$20,"Loss","BE")))</f>
        <v/>
      </c>
      <c r="V216" s="45" t="str">
        <f aca="false">IF(B216="","",Settings!$B$6)</f>
        <v/>
      </c>
      <c r="W216" s="46" t="str">
        <f aca="false">IF(B216="","",(Settings!$B$5+SUM(X$4:X215))*V216)</f>
        <v/>
      </c>
      <c r="X216" s="46" t="str">
        <f aca="false">IF(T216="","",ROUND(T216*W216,2))</f>
        <v/>
      </c>
      <c r="Y216" s="46" t="str">
        <f aca="false">IF(T216="","",Settings!$B$5+SUM(X$5:X216))</f>
        <v/>
      </c>
      <c r="Z216" s="43" t="str">
        <f aca="false">IF(T216="","",SUM(T$5:T216))</f>
        <v/>
      </c>
      <c r="AA216" s="43" t="str">
        <f aca="false">IF(T216="","",MAX(0,MAX(Z$5:Z216)))</f>
        <v/>
      </c>
      <c r="AB216" s="43" t="str">
        <f aca="false">IF(T216="","",Z216-AA216)</f>
        <v/>
      </c>
      <c r="AC216" s="38" t="str">
        <f aca="false">IF(U216="","",IF(U216="Loss",N(AC215)+1,0))</f>
        <v/>
      </c>
      <c r="AD216" s="40"/>
      <c r="AE216" s="38" t="str">
        <f aca="false">IF(B216="","",IF(AND(M216="Yes",OR(AD216="None",AD216="")),"Yes","No"))</f>
        <v/>
      </c>
      <c r="AF216" s="40"/>
      <c r="AG216" s="40"/>
      <c r="AH216" s="47"/>
      <c r="AI216" s="47"/>
    </row>
    <row r="217" customFormat="false" ht="15" hidden="false" customHeight="false" outlineLevel="0" collapsed="false">
      <c r="A217" s="38" t="str">
        <f aca="false">IF(B217="","",ROW()-4)</f>
        <v/>
      </c>
      <c r="B217" s="39"/>
      <c r="C217" s="38" t="str">
        <f aca="false">IF(B217="","",INT((B217-Settings!$B$4)/7)+1)</f>
        <v/>
      </c>
      <c r="D217" s="40"/>
      <c r="E217" s="40"/>
      <c r="F217" s="40"/>
      <c r="G217" s="40"/>
      <c r="H217" s="40"/>
      <c r="I217" s="40"/>
      <c r="J217" s="40"/>
      <c r="K217" s="40"/>
      <c r="L217" s="40"/>
      <c r="M217" s="38" t="str">
        <f aca="false">IF(B217="","",IF(COUNTIF(H217:L217,"Y")=5,"Yes","No"))</f>
        <v/>
      </c>
      <c r="N217" s="41"/>
      <c r="O217" s="42"/>
      <c r="P217" s="42"/>
      <c r="Q217" s="43" t="str">
        <f aca="false">IF(OR(O217="",P217=""),"",IF(F217="Long",O217+Settings!$B$7*(O217-P217),O217-Settings!$B$7*(P217-O217)))</f>
        <v/>
      </c>
      <c r="R217" s="42"/>
      <c r="S217" s="40"/>
      <c r="T217" s="44" t="str">
        <f aca="false">IF(OR(R217="",O217="",P217="",O217=P217),"",ROUND(IF(F217="Long",(R217-O217)/(O217-P217),(O217-R217)/(P217-O217)),2))</f>
        <v/>
      </c>
      <c r="U217" s="38" t="str">
        <f aca="false">IF(T217="","",IF(T217&gt;=Settings!$B$20,"Win",IF(T217&lt;=-Settings!$B$20,"Loss","BE")))</f>
        <v/>
      </c>
      <c r="V217" s="45" t="str">
        <f aca="false">IF(B217="","",Settings!$B$6)</f>
        <v/>
      </c>
      <c r="W217" s="46" t="str">
        <f aca="false">IF(B217="","",(Settings!$B$5+SUM(X$4:X216))*V217)</f>
        <v/>
      </c>
      <c r="X217" s="46" t="str">
        <f aca="false">IF(T217="","",ROUND(T217*W217,2))</f>
        <v/>
      </c>
      <c r="Y217" s="46" t="str">
        <f aca="false">IF(T217="","",Settings!$B$5+SUM(X$5:X217))</f>
        <v/>
      </c>
      <c r="Z217" s="43" t="str">
        <f aca="false">IF(T217="","",SUM(T$5:T217))</f>
        <v/>
      </c>
      <c r="AA217" s="43" t="str">
        <f aca="false">IF(T217="","",MAX(0,MAX(Z$5:Z217)))</f>
        <v/>
      </c>
      <c r="AB217" s="43" t="str">
        <f aca="false">IF(T217="","",Z217-AA217)</f>
        <v/>
      </c>
      <c r="AC217" s="38" t="str">
        <f aca="false">IF(U217="","",IF(U217="Loss",N(AC216)+1,0))</f>
        <v/>
      </c>
      <c r="AD217" s="40"/>
      <c r="AE217" s="38" t="str">
        <f aca="false">IF(B217="","",IF(AND(M217="Yes",OR(AD217="None",AD217="")),"Yes","No"))</f>
        <v/>
      </c>
      <c r="AF217" s="40"/>
      <c r="AG217" s="40"/>
      <c r="AH217" s="47"/>
      <c r="AI217" s="47"/>
    </row>
    <row r="218" customFormat="false" ht="15" hidden="false" customHeight="false" outlineLevel="0" collapsed="false">
      <c r="A218" s="38" t="str">
        <f aca="false">IF(B218="","",ROW()-4)</f>
        <v/>
      </c>
      <c r="B218" s="39"/>
      <c r="C218" s="38" t="str">
        <f aca="false">IF(B218="","",INT((B218-Settings!$B$4)/7)+1)</f>
        <v/>
      </c>
      <c r="D218" s="40"/>
      <c r="E218" s="40"/>
      <c r="F218" s="40"/>
      <c r="G218" s="40"/>
      <c r="H218" s="40"/>
      <c r="I218" s="40"/>
      <c r="J218" s="40"/>
      <c r="K218" s="40"/>
      <c r="L218" s="40"/>
      <c r="M218" s="38" t="str">
        <f aca="false">IF(B218="","",IF(COUNTIF(H218:L218,"Y")=5,"Yes","No"))</f>
        <v/>
      </c>
      <c r="N218" s="41"/>
      <c r="O218" s="42"/>
      <c r="P218" s="42"/>
      <c r="Q218" s="43" t="str">
        <f aca="false">IF(OR(O218="",P218=""),"",IF(F218="Long",O218+Settings!$B$7*(O218-P218),O218-Settings!$B$7*(P218-O218)))</f>
        <v/>
      </c>
      <c r="R218" s="42"/>
      <c r="S218" s="40"/>
      <c r="T218" s="44" t="str">
        <f aca="false">IF(OR(R218="",O218="",P218="",O218=P218),"",ROUND(IF(F218="Long",(R218-O218)/(O218-P218),(O218-R218)/(P218-O218)),2))</f>
        <v/>
      </c>
      <c r="U218" s="38" t="str">
        <f aca="false">IF(T218="","",IF(T218&gt;=Settings!$B$20,"Win",IF(T218&lt;=-Settings!$B$20,"Loss","BE")))</f>
        <v/>
      </c>
      <c r="V218" s="45" t="str">
        <f aca="false">IF(B218="","",Settings!$B$6)</f>
        <v/>
      </c>
      <c r="W218" s="46" t="str">
        <f aca="false">IF(B218="","",(Settings!$B$5+SUM(X$4:X217))*V218)</f>
        <v/>
      </c>
      <c r="X218" s="46" t="str">
        <f aca="false">IF(T218="","",ROUND(T218*W218,2))</f>
        <v/>
      </c>
      <c r="Y218" s="46" t="str">
        <f aca="false">IF(T218="","",Settings!$B$5+SUM(X$5:X218))</f>
        <v/>
      </c>
      <c r="Z218" s="43" t="str">
        <f aca="false">IF(T218="","",SUM(T$5:T218))</f>
        <v/>
      </c>
      <c r="AA218" s="43" t="str">
        <f aca="false">IF(T218="","",MAX(0,MAX(Z$5:Z218)))</f>
        <v/>
      </c>
      <c r="AB218" s="43" t="str">
        <f aca="false">IF(T218="","",Z218-AA218)</f>
        <v/>
      </c>
      <c r="AC218" s="38" t="str">
        <f aca="false">IF(U218="","",IF(U218="Loss",N(AC217)+1,0))</f>
        <v/>
      </c>
      <c r="AD218" s="40"/>
      <c r="AE218" s="38" t="str">
        <f aca="false">IF(B218="","",IF(AND(M218="Yes",OR(AD218="None",AD218="")),"Yes","No"))</f>
        <v/>
      </c>
      <c r="AF218" s="40"/>
      <c r="AG218" s="40"/>
      <c r="AH218" s="47"/>
      <c r="AI218" s="47"/>
    </row>
    <row r="219" customFormat="false" ht="15" hidden="false" customHeight="false" outlineLevel="0" collapsed="false">
      <c r="A219" s="38" t="str">
        <f aca="false">IF(B219="","",ROW()-4)</f>
        <v/>
      </c>
      <c r="B219" s="39"/>
      <c r="C219" s="38" t="str">
        <f aca="false">IF(B219="","",INT((B219-Settings!$B$4)/7)+1)</f>
        <v/>
      </c>
      <c r="D219" s="40"/>
      <c r="E219" s="40"/>
      <c r="F219" s="40"/>
      <c r="G219" s="40"/>
      <c r="H219" s="40"/>
      <c r="I219" s="40"/>
      <c r="J219" s="40"/>
      <c r="K219" s="40"/>
      <c r="L219" s="40"/>
      <c r="M219" s="38" t="str">
        <f aca="false">IF(B219="","",IF(COUNTIF(H219:L219,"Y")=5,"Yes","No"))</f>
        <v/>
      </c>
      <c r="N219" s="41"/>
      <c r="O219" s="42"/>
      <c r="P219" s="42"/>
      <c r="Q219" s="43" t="str">
        <f aca="false">IF(OR(O219="",P219=""),"",IF(F219="Long",O219+Settings!$B$7*(O219-P219),O219-Settings!$B$7*(P219-O219)))</f>
        <v/>
      </c>
      <c r="R219" s="42"/>
      <c r="S219" s="40"/>
      <c r="T219" s="44" t="str">
        <f aca="false">IF(OR(R219="",O219="",P219="",O219=P219),"",ROUND(IF(F219="Long",(R219-O219)/(O219-P219),(O219-R219)/(P219-O219)),2))</f>
        <v/>
      </c>
      <c r="U219" s="38" t="str">
        <f aca="false">IF(T219="","",IF(T219&gt;=Settings!$B$20,"Win",IF(T219&lt;=-Settings!$B$20,"Loss","BE")))</f>
        <v/>
      </c>
      <c r="V219" s="45" t="str">
        <f aca="false">IF(B219="","",Settings!$B$6)</f>
        <v/>
      </c>
      <c r="W219" s="46" t="str">
        <f aca="false">IF(B219="","",(Settings!$B$5+SUM(X$4:X218))*V219)</f>
        <v/>
      </c>
      <c r="X219" s="46" t="str">
        <f aca="false">IF(T219="","",ROUND(T219*W219,2))</f>
        <v/>
      </c>
      <c r="Y219" s="46" t="str">
        <f aca="false">IF(T219="","",Settings!$B$5+SUM(X$5:X219))</f>
        <v/>
      </c>
      <c r="Z219" s="43" t="str">
        <f aca="false">IF(T219="","",SUM(T$5:T219))</f>
        <v/>
      </c>
      <c r="AA219" s="43" t="str">
        <f aca="false">IF(T219="","",MAX(0,MAX(Z$5:Z219)))</f>
        <v/>
      </c>
      <c r="AB219" s="43" t="str">
        <f aca="false">IF(T219="","",Z219-AA219)</f>
        <v/>
      </c>
      <c r="AC219" s="38" t="str">
        <f aca="false">IF(U219="","",IF(U219="Loss",N(AC218)+1,0))</f>
        <v/>
      </c>
      <c r="AD219" s="40"/>
      <c r="AE219" s="38" t="str">
        <f aca="false">IF(B219="","",IF(AND(M219="Yes",OR(AD219="None",AD219="")),"Yes","No"))</f>
        <v/>
      </c>
      <c r="AF219" s="40"/>
      <c r="AG219" s="40"/>
      <c r="AH219" s="47"/>
      <c r="AI219" s="47"/>
    </row>
    <row r="220" customFormat="false" ht="15" hidden="false" customHeight="false" outlineLevel="0" collapsed="false">
      <c r="A220" s="38" t="str">
        <f aca="false">IF(B220="","",ROW()-4)</f>
        <v/>
      </c>
      <c r="B220" s="39"/>
      <c r="C220" s="38" t="str">
        <f aca="false">IF(B220="","",INT((B220-Settings!$B$4)/7)+1)</f>
        <v/>
      </c>
      <c r="D220" s="40"/>
      <c r="E220" s="40"/>
      <c r="F220" s="40"/>
      <c r="G220" s="40"/>
      <c r="H220" s="40"/>
      <c r="I220" s="40"/>
      <c r="J220" s="40"/>
      <c r="K220" s="40"/>
      <c r="L220" s="40"/>
      <c r="M220" s="38" t="str">
        <f aca="false">IF(B220="","",IF(COUNTIF(H220:L220,"Y")=5,"Yes","No"))</f>
        <v/>
      </c>
      <c r="N220" s="41"/>
      <c r="O220" s="42"/>
      <c r="P220" s="42"/>
      <c r="Q220" s="43" t="str">
        <f aca="false">IF(OR(O220="",P220=""),"",IF(F220="Long",O220+Settings!$B$7*(O220-P220),O220-Settings!$B$7*(P220-O220)))</f>
        <v/>
      </c>
      <c r="R220" s="42"/>
      <c r="S220" s="40"/>
      <c r="T220" s="44" t="str">
        <f aca="false">IF(OR(R220="",O220="",P220="",O220=P220),"",ROUND(IF(F220="Long",(R220-O220)/(O220-P220),(O220-R220)/(P220-O220)),2))</f>
        <v/>
      </c>
      <c r="U220" s="38" t="str">
        <f aca="false">IF(T220="","",IF(T220&gt;=Settings!$B$20,"Win",IF(T220&lt;=-Settings!$B$20,"Loss","BE")))</f>
        <v/>
      </c>
      <c r="V220" s="45" t="str">
        <f aca="false">IF(B220="","",Settings!$B$6)</f>
        <v/>
      </c>
      <c r="W220" s="46" t="str">
        <f aca="false">IF(B220="","",(Settings!$B$5+SUM(X$4:X219))*V220)</f>
        <v/>
      </c>
      <c r="X220" s="46" t="str">
        <f aca="false">IF(T220="","",ROUND(T220*W220,2))</f>
        <v/>
      </c>
      <c r="Y220" s="46" t="str">
        <f aca="false">IF(T220="","",Settings!$B$5+SUM(X$5:X220))</f>
        <v/>
      </c>
      <c r="Z220" s="43" t="str">
        <f aca="false">IF(T220="","",SUM(T$5:T220))</f>
        <v/>
      </c>
      <c r="AA220" s="43" t="str">
        <f aca="false">IF(T220="","",MAX(0,MAX(Z$5:Z220)))</f>
        <v/>
      </c>
      <c r="AB220" s="43" t="str">
        <f aca="false">IF(T220="","",Z220-AA220)</f>
        <v/>
      </c>
      <c r="AC220" s="38" t="str">
        <f aca="false">IF(U220="","",IF(U220="Loss",N(AC219)+1,0))</f>
        <v/>
      </c>
      <c r="AD220" s="40"/>
      <c r="AE220" s="38" t="str">
        <f aca="false">IF(B220="","",IF(AND(M220="Yes",OR(AD220="None",AD220="")),"Yes","No"))</f>
        <v/>
      </c>
      <c r="AF220" s="40"/>
      <c r="AG220" s="40"/>
      <c r="AH220" s="47"/>
      <c r="AI220" s="47"/>
    </row>
    <row r="221" customFormat="false" ht="15" hidden="false" customHeight="false" outlineLevel="0" collapsed="false">
      <c r="A221" s="38" t="str">
        <f aca="false">IF(B221="","",ROW()-4)</f>
        <v/>
      </c>
      <c r="B221" s="39"/>
      <c r="C221" s="38" t="str">
        <f aca="false">IF(B221="","",INT((B221-Settings!$B$4)/7)+1)</f>
        <v/>
      </c>
      <c r="D221" s="40"/>
      <c r="E221" s="40"/>
      <c r="F221" s="40"/>
      <c r="G221" s="40"/>
      <c r="H221" s="40"/>
      <c r="I221" s="40"/>
      <c r="J221" s="40"/>
      <c r="K221" s="40"/>
      <c r="L221" s="40"/>
      <c r="M221" s="38" t="str">
        <f aca="false">IF(B221="","",IF(COUNTIF(H221:L221,"Y")=5,"Yes","No"))</f>
        <v/>
      </c>
      <c r="N221" s="41"/>
      <c r="O221" s="42"/>
      <c r="P221" s="42"/>
      <c r="Q221" s="43" t="str">
        <f aca="false">IF(OR(O221="",P221=""),"",IF(F221="Long",O221+Settings!$B$7*(O221-P221),O221-Settings!$B$7*(P221-O221)))</f>
        <v/>
      </c>
      <c r="R221" s="42"/>
      <c r="S221" s="40"/>
      <c r="T221" s="44" t="str">
        <f aca="false">IF(OR(R221="",O221="",P221="",O221=P221),"",ROUND(IF(F221="Long",(R221-O221)/(O221-P221),(O221-R221)/(P221-O221)),2))</f>
        <v/>
      </c>
      <c r="U221" s="38" t="str">
        <f aca="false">IF(T221="","",IF(T221&gt;=Settings!$B$20,"Win",IF(T221&lt;=-Settings!$B$20,"Loss","BE")))</f>
        <v/>
      </c>
      <c r="V221" s="45" t="str">
        <f aca="false">IF(B221="","",Settings!$B$6)</f>
        <v/>
      </c>
      <c r="W221" s="46" t="str">
        <f aca="false">IF(B221="","",(Settings!$B$5+SUM(X$4:X220))*V221)</f>
        <v/>
      </c>
      <c r="X221" s="46" t="str">
        <f aca="false">IF(T221="","",ROUND(T221*W221,2))</f>
        <v/>
      </c>
      <c r="Y221" s="46" t="str">
        <f aca="false">IF(T221="","",Settings!$B$5+SUM(X$5:X221))</f>
        <v/>
      </c>
      <c r="Z221" s="43" t="str">
        <f aca="false">IF(T221="","",SUM(T$5:T221))</f>
        <v/>
      </c>
      <c r="AA221" s="43" t="str">
        <f aca="false">IF(T221="","",MAX(0,MAX(Z$5:Z221)))</f>
        <v/>
      </c>
      <c r="AB221" s="43" t="str">
        <f aca="false">IF(T221="","",Z221-AA221)</f>
        <v/>
      </c>
      <c r="AC221" s="38" t="str">
        <f aca="false">IF(U221="","",IF(U221="Loss",N(AC220)+1,0))</f>
        <v/>
      </c>
      <c r="AD221" s="40"/>
      <c r="AE221" s="38" t="str">
        <f aca="false">IF(B221="","",IF(AND(M221="Yes",OR(AD221="None",AD221="")),"Yes","No"))</f>
        <v/>
      </c>
      <c r="AF221" s="40"/>
      <c r="AG221" s="40"/>
      <c r="AH221" s="47"/>
      <c r="AI221" s="47"/>
    </row>
    <row r="222" customFormat="false" ht="15" hidden="false" customHeight="false" outlineLevel="0" collapsed="false">
      <c r="A222" s="38" t="str">
        <f aca="false">IF(B222="","",ROW()-4)</f>
        <v/>
      </c>
      <c r="B222" s="39"/>
      <c r="C222" s="38" t="str">
        <f aca="false">IF(B222="","",INT((B222-Settings!$B$4)/7)+1)</f>
        <v/>
      </c>
      <c r="D222" s="40"/>
      <c r="E222" s="40"/>
      <c r="F222" s="40"/>
      <c r="G222" s="40"/>
      <c r="H222" s="40"/>
      <c r="I222" s="40"/>
      <c r="J222" s="40"/>
      <c r="K222" s="40"/>
      <c r="L222" s="40"/>
      <c r="M222" s="38" t="str">
        <f aca="false">IF(B222="","",IF(COUNTIF(H222:L222,"Y")=5,"Yes","No"))</f>
        <v/>
      </c>
      <c r="N222" s="41"/>
      <c r="O222" s="42"/>
      <c r="P222" s="42"/>
      <c r="Q222" s="43" t="str">
        <f aca="false">IF(OR(O222="",P222=""),"",IF(F222="Long",O222+Settings!$B$7*(O222-P222),O222-Settings!$B$7*(P222-O222)))</f>
        <v/>
      </c>
      <c r="R222" s="42"/>
      <c r="S222" s="40"/>
      <c r="T222" s="44" t="str">
        <f aca="false">IF(OR(R222="",O222="",P222="",O222=P222),"",ROUND(IF(F222="Long",(R222-O222)/(O222-P222),(O222-R222)/(P222-O222)),2))</f>
        <v/>
      </c>
      <c r="U222" s="38" t="str">
        <f aca="false">IF(T222="","",IF(T222&gt;=Settings!$B$20,"Win",IF(T222&lt;=-Settings!$B$20,"Loss","BE")))</f>
        <v/>
      </c>
      <c r="V222" s="45" t="str">
        <f aca="false">IF(B222="","",Settings!$B$6)</f>
        <v/>
      </c>
      <c r="W222" s="46" t="str">
        <f aca="false">IF(B222="","",(Settings!$B$5+SUM(X$4:X221))*V222)</f>
        <v/>
      </c>
      <c r="X222" s="46" t="str">
        <f aca="false">IF(T222="","",ROUND(T222*W222,2))</f>
        <v/>
      </c>
      <c r="Y222" s="46" t="str">
        <f aca="false">IF(T222="","",Settings!$B$5+SUM(X$5:X222))</f>
        <v/>
      </c>
      <c r="Z222" s="43" t="str">
        <f aca="false">IF(T222="","",SUM(T$5:T222))</f>
        <v/>
      </c>
      <c r="AA222" s="43" t="str">
        <f aca="false">IF(T222="","",MAX(0,MAX(Z$5:Z222)))</f>
        <v/>
      </c>
      <c r="AB222" s="43" t="str">
        <f aca="false">IF(T222="","",Z222-AA222)</f>
        <v/>
      </c>
      <c r="AC222" s="38" t="str">
        <f aca="false">IF(U222="","",IF(U222="Loss",N(AC221)+1,0))</f>
        <v/>
      </c>
      <c r="AD222" s="40"/>
      <c r="AE222" s="38" t="str">
        <f aca="false">IF(B222="","",IF(AND(M222="Yes",OR(AD222="None",AD222="")),"Yes","No"))</f>
        <v/>
      </c>
      <c r="AF222" s="40"/>
      <c r="AG222" s="40"/>
      <c r="AH222" s="47"/>
      <c r="AI222" s="47"/>
    </row>
    <row r="223" customFormat="false" ht="15" hidden="false" customHeight="false" outlineLevel="0" collapsed="false">
      <c r="A223" s="38" t="str">
        <f aca="false">IF(B223="","",ROW()-4)</f>
        <v/>
      </c>
      <c r="B223" s="39"/>
      <c r="C223" s="38" t="str">
        <f aca="false">IF(B223="","",INT((B223-Settings!$B$4)/7)+1)</f>
        <v/>
      </c>
      <c r="D223" s="40"/>
      <c r="E223" s="40"/>
      <c r="F223" s="40"/>
      <c r="G223" s="40"/>
      <c r="H223" s="40"/>
      <c r="I223" s="40"/>
      <c r="J223" s="40"/>
      <c r="K223" s="40"/>
      <c r="L223" s="40"/>
      <c r="M223" s="38" t="str">
        <f aca="false">IF(B223="","",IF(COUNTIF(H223:L223,"Y")=5,"Yes","No"))</f>
        <v/>
      </c>
      <c r="N223" s="41"/>
      <c r="O223" s="42"/>
      <c r="P223" s="42"/>
      <c r="Q223" s="43" t="str">
        <f aca="false">IF(OR(O223="",P223=""),"",IF(F223="Long",O223+Settings!$B$7*(O223-P223),O223-Settings!$B$7*(P223-O223)))</f>
        <v/>
      </c>
      <c r="R223" s="42"/>
      <c r="S223" s="40"/>
      <c r="T223" s="44" t="str">
        <f aca="false">IF(OR(R223="",O223="",P223="",O223=P223),"",ROUND(IF(F223="Long",(R223-O223)/(O223-P223),(O223-R223)/(P223-O223)),2))</f>
        <v/>
      </c>
      <c r="U223" s="38" t="str">
        <f aca="false">IF(T223="","",IF(T223&gt;=Settings!$B$20,"Win",IF(T223&lt;=-Settings!$B$20,"Loss","BE")))</f>
        <v/>
      </c>
      <c r="V223" s="45" t="str">
        <f aca="false">IF(B223="","",Settings!$B$6)</f>
        <v/>
      </c>
      <c r="W223" s="46" t="str">
        <f aca="false">IF(B223="","",(Settings!$B$5+SUM(X$4:X222))*V223)</f>
        <v/>
      </c>
      <c r="X223" s="46" t="str">
        <f aca="false">IF(T223="","",ROUND(T223*W223,2))</f>
        <v/>
      </c>
      <c r="Y223" s="46" t="str">
        <f aca="false">IF(T223="","",Settings!$B$5+SUM(X$5:X223))</f>
        <v/>
      </c>
      <c r="Z223" s="43" t="str">
        <f aca="false">IF(T223="","",SUM(T$5:T223))</f>
        <v/>
      </c>
      <c r="AA223" s="43" t="str">
        <f aca="false">IF(T223="","",MAX(0,MAX(Z$5:Z223)))</f>
        <v/>
      </c>
      <c r="AB223" s="43" t="str">
        <f aca="false">IF(T223="","",Z223-AA223)</f>
        <v/>
      </c>
      <c r="AC223" s="38" t="str">
        <f aca="false">IF(U223="","",IF(U223="Loss",N(AC222)+1,0))</f>
        <v/>
      </c>
      <c r="AD223" s="40"/>
      <c r="AE223" s="38" t="str">
        <f aca="false">IF(B223="","",IF(AND(M223="Yes",OR(AD223="None",AD223="")),"Yes","No"))</f>
        <v/>
      </c>
      <c r="AF223" s="40"/>
      <c r="AG223" s="40"/>
      <c r="AH223" s="47"/>
      <c r="AI223" s="47"/>
    </row>
    <row r="224" customFormat="false" ht="15" hidden="false" customHeight="false" outlineLevel="0" collapsed="false">
      <c r="A224" s="38" t="str">
        <f aca="false">IF(B224="","",ROW()-4)</f>
        <v/>
      </c>
      <c r="B224" s="39"/>
      <c r="C224" s="38" t="str">
        <f aca="false">IF(B224="","",INT((B224-Settings!$B$4)/7)+1)</f>
        <v/>
      </c>
      <c r="D224" s="40"/>
      <c r="E224" s="40"/>
      <c r="F224" s="40"/>
      <c r="G224" s="40"/>
      <c r="H224" s="40"/>
      <c r="I224" s="40"/>
      <c r="J224" s="40"/>
      <c r="K224" s="40"/>
      <c r="L224" s="40"/>
      <c r="M224" s="38" t="str">
        <f aca="false">IF(B224="","",IF(COUNTIF(H224:L224,"Y")=5,"Yes","No"))</f>
        <v/>
      </c>
      <c r="N224" s="41"/>
      <c r="O224" s="42"/>
      <c r="P224" s="42"/>
      <c r="Q224" s="43" t="str">
        <f aca="false">IF(OR(O224="",P224=""),"",IF(F224="Long",O224+Settings!$B$7*(O224-P224),O224-Settings!$B$7*(P224-O224)))</f>
        <v/>
      </c>
      <c r="R224" s="42"/>
      <c r="S224" s="40"/>
      <c r="T224" s="44" t="str">
        <f aca="false">IF(OR(R224="",O224="",P224="",O224=P224),"",ROUND(IF(F224="Long",(R224-O224)/(O224-P224),(O224-R224)/(P224-O224)),2))</f>
        <v/>
      </c>
      <c r="U224" s="38" t="str">
        <f aca="false">IF(T224="","",IF(T224&gt;=Settings!$B$20,"Win",IF(T224&lt;=-Settings!$B$20,"Loss","BE")))</f>
        <v/>
      </c>
      <c r="V224" s="45" t="str">
        <f aca="false">IF(B224="","",Settings!$B$6)</f>
        <v/>
      </c>
      <c r="W224" s="46" t="str">
        <f aca="false">IF(B224="","",(Settings!$B$5+SUM(X$4:X223))*V224)</f>
        <v/>
      </c>
      <c r="X224" s="46" t="str">
        <f aca="false">IF(T224="","",ROUND(T224*W224,2))</f>
        <v/>
      </c>
      <c r="Y224" s="46" t="str">
        <f aca="false">IF(T224="","",Settings!$B$5+SUM(X$5:X224))</f>
        <v/>
      </c>
      <c r="Z224" s="43" t="str">
        <f aca="false">IF(T224="","",SUM(T$5:T224))</f>
        <v/>
      </c>
      <c r="AA224" s="43" t="str">
        <f aca="false">IF(T224="","",MAX(0,MAX(Z$5:Z224)))</f>
        <v/>
      </c>
      <c r="AB224" s="43" t="str">
        <f aca="false">IF(T224="","",Z224-AA224)</f>
        <v/>
      </c>
      <c r="AC224" s="38" t="str">
        <f aca="false">IF(U224="","",IF(U224="Loss",N(AC223)+1,0))</f>
        <v/>
      </c>
      <c r="AD224" s="40"/>
      <c r="AE224" s="38" t="str">
        <f aca="false">IF(B224="","",IF(AND(M224="Yes",OR(AD224="None",AD224="")),"Yes","No"))</f>
        <v/>
      </c>
      <c r="AF224" s="40"/>
      <c r="AG224" s="40"/>
      <c r="AH224" s="47"/>
      <c r="AI224" s="47"/>
    </row>
    <row r="225" customFormat="false" ht="15" hidden="false" customHeight="false" outlineLevel="0" collapsed="false">
      <c r="A225" s="38" t="str">
        <f aca="false">IF(B225="","",ROW()-4)</f>
        <v/>
      </c>
      <c r="B225" s="39"/>
      <c r="C225" s="38" t="str">
        <f aca="false">IF(B225="","",INT((B225-Settings!$B$4)/7)+1)</f>
        <v/>
      </c>
      <c r="D225" s="40"/>
      <c r="E225" s="40"/>
      <c r="F225" s="40"/>
      <c r="G225" s="40"/>
      <c r="H225" s="40"/>
      <c r="I225" s="40"/>
      <c r="J225" s="40"/>
      <c r="K225" s="40"/>
      <c r="L225" s="40"/>
      <c r="M225" s="38" t="str">
        <f aca="false">IF(B225="","",IF(COUNTIF(H225:L225,"Y")=5,"Yes","No"))</f>
        <v/>
      </c>
      <c r="N225" s="41"/>
      <c r="O225" s="42"/>
      <c r="P225" s="42"/>
      <c r="Q225" s="43" t="str">
        <f aca="false">IF(OR(O225="",P225=""),"",IF(F225="Long",O225+Settings!$B$7*(O225-P225),O225-Settings!$B$7*(P225-O225)))</f>
        <v/>
      </c>
      <c r="R225" s="42"/>
      <c r="S225" s="40"/>
      <c r="T225" s="44" t="str">
        <f aca="false">IF(OR(R225="",O225="",P225="",O225=P225),"",ROUND(IF(F225="Long",(R225-O225)/(O225-P225),(O225-R225)/(P225-O225)),2))</f>
        <v/>
      </c>
      <c r="U225" s="38" t="str">
        <f aca="false">IF(T225="","",IF(T225&gt;=Settings!$B$20,"Win",IF(T225&lt;=-Settings!$B$20,"Loss","BE")))</f>
        <v/>
      </c>
      <c r="V225" s="45" t="str">
        <f aca="false">IF(B225="","",Settings!$B$6)</f>
        <v/>
      </c>
      <c r="W225" s="46" t="str">
        <f aca="false">IF(B225="","",(Settings!$B$5+SUM(X$4:X224))*V225)</f>
        <v/>
      </c>
      <c r="X225" s="46" t="str">
        <f aca="false">IF(T225="","",ROUND(T225*W225,2))</f>
        <v/>
      </c>
      <c r="Y225" s="46" t="str">
        <f aca="false">IF(T225="","",Settings!$B$5+SUM(X$5:X225))</f>
        <v/>
      </c>
      <c r="Z225" s="43" t="str">
        <f aca="false">IF(T225="","",SUM(T$5:T225))</f>
        <v/>
      </c>
      <c r="AA225" s="43" t="str">
        <f aca="false">IF(T225="","",MAX(0,MAX(Z$5:Z225)))</f>
        <v/>
      </c>
      <c r="AB225" s="43" t="str">
        <f aca="false">IF(T225="","",Z225-AA225)</f>
        <v/>
      </c>
      <c r="AC225" s="38" t="str">
        <f aca="false">IF(U225="","",IF(U225="Loss",N(AC224)+1,0))</f>
        <v/>
      </c>
      <c r="AD225" s="40"/>
      <c r="AE225" s="38" t="str">
        <f aca="false">IF(B225="","",IF(AND(M225="Yes",OR(AD225="None",AD225="")),"Yes","No"))</f>
        <v/>
      </c>
      <c r="AF225" s="40"/>
      <c r="AG225" s="40"/>
      <c r="AH225" s="47"/>
      <c r="AI225" s="47"/>
    </row>
    <row r="226" customFormat="false" ht="15" hidden="false" customHeight="false" outlineLevel="0" collapsed="false">
      <c r="A226" s="38" t="str">
        <f aca="false">IF(B226="","",ROW()-4)</f>
        <v/>
      </c>
      <c r="B226" s="39"/>
      <c r="C226" s="38" t="str">
        <f aca="false">IF(B226="","",INT((B226-Settings!$B$4)/7)+1)</f>
        <v/>
      </c>
      <c r="D226" s="40"/>
      <c r="E226" s="40"/>
      <c r="F226" s="40"/>
      <c r="G226" s="40"/>
      <c r="H226" s="40"/>
      <c r="I226" s="40"/>
      <c r="J226" s="40"/>
      <c r="K226" s="40"/>
      <c r="L226" s="40"/>
      <c r="M226" s="38" t="str">
        <f aca="false">IF(B226="","",IF(COUNTIF(H226:L226,"Y")=5,"Yes","No"))</f>
        <v/>
      </c>
      <c r="N226" s="41"/>
      <c r="O226" s="42"/>
      <c r="P226" s="42"/>
      <c r="Q226" s="43" t="str">
        <f aca="false">IF(OR(O226="",P226=""),"",IF(F226="Long",O226+Settings!$B$7*(O226-P226),O226-Settings!$B$7*(P226-O226)))</f>
        <v/>
      </c>
      <c r="R226" s="42"/>
      <c r="S226" s="40"/>
      <c r="T226" s="44" t="str">
        <f aca="false">IF(OR(R226="",O226="",P226="",O226=P226),"",ROUND(IF(F226="Long",(R226-O226)/(O226-P226),(O226-R226)/(P226-O226)),2))</f>
        <v/>
      </c>
      <c r="U226" s="38" t="str">
        <f aca="false">IF(T226="","",IF(T226&gt;=Settings!$B$20,"Win",IF(T226&lt;=-Settings!$B$20,"Loss","BE")))</f>
        <v/>
      </c>
      <c r="V226" s="45" t="str">
        <f aca="false">IF(B226="","",Settings!$B$6)</f>
        <v/>
      </c>
      <c r="W226" s="46" t="str">
        <f aca="false">IF(B226="","",(Settings!$B$5+SUM(X$4:X225))*V226)</f>
        <v/>
      </c>
      <c r="X226" s="46" t="str">
        <f aca="false">IF(T226="","",ROUND(T226*W226,2))</f>
        <v/>
      </c>
      <c r="Y226" s="46" t="str">
        <f aca="false">IF(T226="","",Settings!$B$5+SUM(X$5:X226))</f>
        <v/>
      </c>
      <c r="Z226" s="43" t="str">
        <f aca="false">IF(T226="","",SUM(T$5:T226))</f>
        <v/>
      </c>
      <c r="AA226" s="43" t="str">
        <f aca="false">IF(T226="","",MAX(0,MAX(Z$5:Z226)))</f>
        <v/>
      </c>
      <c r="AB226" s="43" t="str">
        <f aca="false">IF(T226="","",Z226-AA226)</f>
        <v/>
      </c>
      <c r="AC226" s="38" t="str">
        <f aca="false">IF(U226="","",IF(U226="Loss",N(AC225)+1,0))</f>
        <v/>
      </c>
      <c r="AD226" s="40"/>
      <c r="AE226" s="38" t="str">
        <f aca="false">IF(B226="","",IF(AND(M226="Yes",OR(AD226="None",AD226="")),"Yes","No"))</f>
        <v/>
      </c>
      <c r="AF226" s="40"/>
      <c r="AG226" s="40"/>
      <c r="AH226" s="47"/>
      <c r="AI226" s="47"/>
    </row>
    <row r="227" customFormat="false" ht="15" hidden="false" customHeight="false" outlineLevel="0" collapsed="false">
      <c r="A227" s="38" t="str">
        <f aca="false">IF(B227="","",ROW()-4)</f>
        <v/>
      </c>
      <c r="B227" s="39"/>
      <c r="C227" s="38" t="str">
        <f aca="false">IF(B227="","",INT((B227-Settings!$B$4)/7)+1)</f>
        <v/>
      </c>
      <c r="D227" s="40"/>
      <c r="E227" s="40"/>
      <c r="F227" s="40"/>
      <c r="G227" s="40"/>
      <c r="H227" s="40"/>
      <c r="I227" s="40"/>
      <c r="J227" s="40"/>
      <c r="K227" s="40"/>
      <c r="L227" s="40"/>
      <c r="M227" s="38" t="str">
        <f aca="false">IF(B227="","",IF(COUNTIF(H227:L227,"Y")=5,"Yes","No"))</f>
        <v/>
      </c>
      <c r="N227" s="41"/>
      <c r="O227" s="42"/>
      <c r="P227" s="42"/>
      <c r="Q227" s="43" t="str">
        <f aca="false">IF(OR(O227="",P227=""),"",IF(F227="Long",O227+Settings!$B$7*(O227-P227),O227-Settings!$B$7*(P227-O227)))</f>
        <v/>
      </c>
      <c r="R227" s="42"/>
      <c r="S227" s="40"/>
      <c r="T227" s="44" t="str">
        <f aca="false">IF(OR(R227="",O227="",P227="",O227=P227),"",ROUND(IF(F227="Long",(R227-O227)/(O227-P227),(O227-R227)/(P227-O227)),2))</f>
        <v/>
      </c>
      <c r="U227" s="38" t="str">
        <f aca="false">IF(T227="","",IF(T227&gt;=Settings!$B$20,"Win",IF(T227&lt;=-Settings!$B$20,"Loss","BE")))</f>
        <v/>
      </c>
      <c r="V227" s="45" t="str">
        <f aca="false">IF(B227="","",Settings!$B$6)</f>
        <v/>
      </c>
      <c r="W227" s="46" t="str">
        <f aca="false">IF(B227="","",(Settings!$B$5+SUM(X$4:X226))*V227)</f>
        <v/>
      </c>
      <c r="X227" s="46" t="str">
        <f aca="false">IF(T227="","",ROUND(T227*W227,2))</f>
        <v/>
      </c>
      <c r="Y227" s="46" t="str">
        <f aca="false">IF(T227="","",Settings!$B$5+SUM(X$5:X227))</f>
        <v/>
      </c>
      <c r="Z227" s="43" t="str">
        <f aca="false">IF(T227="","",SUM(T$5:T227))</f>
        <v/>
      </c>
      <c r="AA227" s="43" t="str">
        <f aca="false">IF(T227="","",MAX(0,MAX(Z$5:Z227)))</f>
        <v/>
      </c>
      <c r="AB227" s="43" t="str">
        <f aca="false">IF(T227="","",Z227-AA227)</f>
        <v/>
      </c>
      <c r="AC227" s="38" t="str">
        <f aca="false">IF(U227="","",IF(U227="Loss",N(AC226)+1,0))</f>
        <v/>
      </c>
      <c r="AD227" s="40"/>
      <c r="AE227" s="38" t="str">
        <f aca="false">IF(B227="","",IF(AND(M227="Yes",OR(AD227="None",AD227="")),"Yes","No"))</f>
        <v/>
      </c>
      <c r="AF227" s="40"/>
      <c r="AG227" s="40"/>
      <c r="AH227" s="47"/>
      <c r="AI227" s="47"/>
    </row>
    <row r="228" customFormat="false" ht="15" hidden="false" customHeight="false" outlineLevel="0" collapsed="false">
      <c r="A228" s="38" t="str">
        <f aca="false">IF(B228="","",ROW()-4)</f>
        <v/>
      </c>
      <c r="B228" s="39"/>
      <c r="C228" s="38" t="str">
        <f aca="false">IF(B228="","",INT((B228-Settings!$B$4)/7)+1)</f>
        <v/>
      </c>
      <c r="D228" s="40"/>
      <c r="E228" s="40"/>
      <c r="F228" s="40"/>
      <c r="G228" s="40"/>
      <c r="H228" s="40"/>
      <c r="I228" s="40"/>
      <c r="J228" s="40"/>
      <c r="K228" s="40"/>
      <c r="L228" s="40"/>
      <c r="M228" s="38" t="str">
        <f aca="false">IF(B228="","",IF(COUNTIF(H228:L228,"Y")=5,"Yes","No"))</f>
        <v/>
      </c>
      <c r="N228" s="41"/>
      <c r="O228" s="42"/>
      <c r="P228" s="42"/>
      <c r="Q228" s="43" t="str">
        <f aca="false">IF(OR(O228="",P228=""),"",IF(F228="Long",O228+Settings!$B$7*(O228-P228),O228-Settings!$B$7*(P228-O228)))</f>
        <v/>
      </c>
      <c r="R228" s="42"/>
      <c r="S228" s="40"/>
      <c r="T228" s="44" t="str">
        <f aca="false">IF(OR(R228="",O228="",P228="",O228=P228),"",ROUND(IF(F228="Long",(R228-O228)/(O228-P228),(O228-R228)/(P228-O228)),2))</f>
        <v/>
      </c>
      <c r="U228" s="38" t="str">
        <f aca="false">IF(T228="","",IF(T228&gt;=Settings!$B$20,"Win",IF(T228&lt;=-Settings!$B$20,"Loss","BE")))</f>
        <v/>
      </c>
      <c r="V228" s="45" t="str">
        <f aca="false">IF(B228="","",Settings!$B$6)</f>
        <v/>
      </c>
      <c r="W228" s="46" t="str">
        <f aca="false">IF(B228="","",(Settings!$B$5+SUM(X$4:X227))*V228)</f>
        <v/>
      </c>
      <c r="X228" s="46" t="str">
        <f aca="false">IF(T228="","",ROUND(T228*W228,2))</f>
        <v/>
      </c>
      <c r="Y228" s="46" t="str">
        <f aca="false">IF(T228="","",Settings!$B$5+SUM(X$5:X228))</f>
        <v/>
      </c>
      <c r="Z228" s="43" t="str">
        <f aca="false">IF(T228="","",SUM(T$5:T228))</f>
        <v/>
      </c>
      <c r="AA228" s="43" t="str">
        <f aca="false">IF(T228="","",MAX(0,MAX(Z$5:Z228)))</f>
        <v/>
      </c>
      <c r="AB228" s="43" t="str">
        <f aca="false">IF(T228="","",Z228-AA228)</f>
        <v/>
      </c>
      <c r="AC228" s="38" t="str">
        <f aca="false">IF(U228="","",IF(U228="Loss",N(AC227)+1,0))</f>
        <v/>
      </c>
      <c r="AD228" s="40"/>
      <c r="AE228" s="38" t="str">
        <f aca="false">IF(B228="","",IF(AND(M228="Yes",OR(AD228="None",AD228="")),"Yes","No"))</f>
        <v/>
      </c>
      <c r="AF228" s="40"/>
      <c r="AG228" s="40"/>
      <c r="AH228" s="47"/>
      <c r="AI228" s="47"/>
    </row>
    <row r="229" customFormat="false" ht="15" hidden="false" customHeight="false" outlineLevel="0" collapsed="false">
      <c r="A229" s="38" t="str">
        <f aca="false">IF(B229="","",ROW()-4)</f>
        <v/>
      </c>
      <c r="B229" s="39"/>
      <c r="C229" s="38" t="str">
        <f aca="false">IF(B229="","",INT((B229-Settings!$B$4)/7)+1)</f>
        <v/>
      </c>
      <c r="D229" s="40"/>
      <c r="E229" s="40"/>
      <c r="F229" s="40"/>
      <c r="G229" s="40"/>
      <c r="H229" s="40"/>
      <c r="I229" s="40"/>
      <c r="J229" s="40"/>
      <c r="K229" s="40"/>
      <c r="L229" s="40"/>
      <c r="M229" s="38" t="str">
        <f aca="false">IF(B229="","",IF(COUNTIF(H229:L229,"Y")=5,"Yes","No"))</f>
        <v/>
      </c>
      <c r="N229" s="41"/>
      <c r="O229" s="42"/>
      <c r="P229" s="42"/>
      <c r="Q229" s="43" t="str">
        <f aca="false">IF(OR(O229="",P229=""),"",IF(F229="Long",O229+Settings!$B$7*(O229-P229),O229-Settings!$B$7*(P229-O229)))</f>
        <v/>
      </c>
      <c r="R229" s="42"/>
      <c r="S229" s="40"/>
      <c r="T229" s="44" t="str">
        <f aca="false">IF(OR(R229="",O229="",P229="",O229=P229),"",ROUND(IF(F229="Long",(R229-O229)/(O229-P229),(O229-R229)/(P229-O229)),2))</f>
        <v/>
      </c>
      <c r="U229" s="38" t="str">
        <f aca="false">IF(T229="","",IF(T229&gt;=Settings!$B$20,"Win",IF(T229&lt;=-Settings!$B$20,"Loss","BE")))</f>
        <v/>
      </c>
      <c r="V229" s="45" t="str">
        <f aca="false">IF(B229="","",Settings!$B$6)</f>
        <v/>
      </c>
      <c r="W229" s="46" t="str">
        <f aca="false">IF(B229="","",(Settings!$B$5+SUM(X$4:X228))*V229)</f>
        <v/>
      </c>
      <c r="X229" s="46" t="str">
        <f aca="false">IF(T229="","",ROUND(T229*W229,2))</f>
        <v/>
      </c>
      <c r="Y229" s="46" t="str">
        <f aca="false">IF(T229="","",Settings!$B$5+SUM(X$5:X229))</f>
        <v/>
      </c>
      <c r="Z229" s="43" t="str">
        <f aca="false">IF(T229="","",SUM(T$5:T229))</f>
        <v/>
      </c>
      <c r="AA229" s="43" t="str">
        <f aca="false">IF(T229="","",MAX(0,MAX(Z$5:Z229)))</f>
        <v/>
      </c>
      <c r="AB229" s="43" t="str">
        <f aca="false">IF(T229="","",Z229-AA229)</f>
        <v/>
      </c>
      <c r="AC229" s="38" t="str">
        <f aca="false">IF(U229="","",IF(U229="Loss",N(AC228)+1,0))</f>
        <v/>
      </c>
      <c r="AD229" s="40"/>
      <c r="AE229" s="38" t="str">
        <f aca="false">IF(B229="","",IF(AND(M229="Yes",OR(AD229="None",AD229="")),"Yes","No"))</f>
        <v/>
      </c>
      <c r="AF229" s="40"/>
      <c r="AG229" s="40"/>
      <c r="AH229" s="47"/>
      <c r="AI229" s="47"/>
    </row>
    <row r="230" customFormat="false" ht="15" hidden="false" customHeight="false" outlineLevel="0" collapsed="false">
      <c r="A230" s="38" t="str">
        <f aca="false">IF(B230="","",ROW()-4)</f>
        <v/>
      </c>
      <c r="B230" s="39"/>
      <c r="C230" s="38" t="str">
        <f aca="false">IF(B230="","",INT((B230-Settings!$B$4)/7)+1)</f>
        <v/>
      </c>
      <c r="D230" s="40"/>
      <c r="E230" s="40"/>
      <c r="F230" s="40"/>
      <c r="G230" s="40"/>
      <c r="H230" s="40"/>
      <c r="I230" s="40"/>
      <c r="J230" s="40"/>
      <c r="K230" s="40"/>
      <c r="L230" s="40"/>
      <c r="M230" s="38" t="str">
        <f aca="false">IF(B230="","",IF(COUNTIF(H230:L230,"Y")=5,"Yes","No"))</f>
        <v/>
      </c>
      <c r="N230" s="41"/>
      <c r="O230" s="42"/>
      <c r="P230" s="42"/>
      <c r="Q230" s="43" t="str">
        <f aca="false">IF(OR(O230="",P230=""),"",IF(F230="Long",O230+Settings!$B$7*(O230-P230),O230-Settings!$B$7*(P230-O230)))</f>
        <v/>
      </c>
      <c r="R230" s="42"/>
      <c r="S230" s="40"/>
      <c r="T230" s="44" t="str">
        <f aca="false">IF(OR(R230="",O230="",P230="",O230=P230),"",ROUND(IF(F230="Long",(R230-O230)/(O230-P230),(O230-R230)/(P230-O230)),2))</f>
        <v/>
      </c>
      <c r="U230" s="38" t="str">
        <f aca="false">IF(T230="","",IF(T230&gt;=Settings!$B$20,"Win",IF(T230&lt;=-Settings!$B$20,"Loss","BE")))</f>
        <v/>
      </c>
      <c r="V230" s="45" t="str">
        <f aca="false">IF(B230="","",Settings!$B$6)</f>
        <v/>
      </c>
      <c r="W230" s="46" t="str">
        <f aca="false">IF(B230="","",(Settings!$B$5+SUM(X$4:X229))*V230)</f>
        <v/>
      </c>
      <c r="X230" s="46" t="str">
        <f aca="false">IF(T230="","",ROUND(T230*W230,2))</f>
        <v/>
      </c>
      <c r="Y230" s="46" t="str">
        <f aca="false">IF(T230="","",Settings!$B$5+SUM(X$5:X230))</f>
        <v/>
      </c>
      <c r="Z230" s="43" t="str">
        <f aca="false">IF(T230="","",SUM(T$5:T230))</f>
        <v/>
      </c>
      <c r="AA230" s="43" t="str">
        <f aca="false">IF(T230="","",MAX(0,MAX(Z$5:Z230)))</f>
        <v/>
      </c>
      <c r="AB230" s="43" t="str">
        <f aca="false">IF(T230="","",Z230-AA230)</f>
        <v/>
      </c>
      <c r="AC230" s="38" t="str">
        <f aca="false">IF(U230="","",IF(U230="Loss",N(AC229)+1,0))</f>
        <v/>
      </c>
      <c r="AD230" s="40"/>
      <c r="AE230" s="38" t="str">
        <f aca="false">IF(B230="","",IF(AND(M230="Yes",OR(AD230="None",AD230="")),"Yes","No"))</f>
        <v/>
      </c>
      <c r="AF230" s="40"/>
      <c r="AG230" s="40"/>
      <c r="AH230" s="47"/>
      <c r="AI230" s="47"/>
    </row>
    <row r="231" customFormat="false" ht="15" hidden="false" customHeight="false" outlineLevel="0" collapsed="false">
      <c r="A231" s="38" t="str">
        <f aca="false">IF(B231="","",ROW()-4)</f>
        <v/>
      </c>
      <c r="B231" s="39"/>
      <c r="C231" s="38" t="str">
        <f aca="false">IF(B231="","",INT((B231-Settings!$B$4)/7)+1)</f>
        <v/>
      </c>
      <c r="D231" s="40"/>
      <c r="E231" s="40"/>
      <c r="F231" s="40"/>
      <c r="G231" s="40"/>
      <c r="H231" s="40"/>
      <c r="I231" s="40"/>
      <c r="J231" s="40"/>
      <c r="K231" s="40"/>
      <c r="L231" s="40"/>
      <c r="M231" s="38" t="str">
        <f aca="false">IF(B231="","",IF(COUNTIF(H231:L231,"Y")=5,"Yes","No"))</f>
        <v/>
      </c>
      <c r="N231" s="41"/>
      <c r="O231" s="42"/>
      <c r="P231" s="42"/>
      <c r="Q231" s="43" t="str">
        <f aca="false">IF(OR(O231="",P231=""),"",IF(F231="Long",O231+Settings!$B$7*(O231-P231),O231-Settings!$B$7*(P231-O231)))</f>
        <v/>
      </c>
      <c r="R231" s="42"/>
      <c r="S231" s="40"/>
      <c r="T231" s="44" t="str">
        <f aca="false">IF(OR(R231="",O231="",P231="",O231=P231),"",ROUND(IF(F231="Long",(R231-O231)/(O231-P231),(O231-R231)/(P231-O231)),2))</f>
        <v/>
      </c>
      <c r="U231" s="38" t="str">
        <f aca="false">IF(T231="","",IF(T231&gt;=Settings!$B$20,"Win",IF(T231&lt;=-Settings!$B$20,"Loss","BE")))</f>
        <v/>
      </c>
      <c r="V231" s="45" t="str">
        <f aca="false">IF(B231="","",Settings!$B$6)</f>
        <v/>
      </c>
      <c r="W231" s="46" t="str">
        <f aca="false">IF(B231="","",(Settings!$B$5+SUM(X$4:X230))*V231)</f>
        <v/>
      </c>
      <c r="X231" s="46" t="str">
        <f aca="false">IF(T231="","",ROUND(T231*W231,2))</f>
        <v/>
      </c>
      <c r="Y231" s="46" t="str">
        <f aca="false">IF(T231="","",Settings!$B$5+SUM(X$5:X231))</f>
        <v/>
      </c>
      <c r="Z231" s="43" t="str">
        <f aca="false">IF(T231="","",SUM(T$5:T231))</f>
        <v/>
      </c>
      <c r="AA231" s="43" t="str">
        <f aca="false">IF(T231="","",MAX(0,MAX(Z$5:Z231)))</f>
        <v/>
      </c>
      <c r="AB231" s="43" t="str">
        <f aca="false">IF(T231="","",Z231-AA231)</f>
        <v/>
      </c>
      <c r="AC231" s="38" t="str">
        <f aca="false">IF(U231="","",IF(U231="Loss",N(AC230)+1,0))</f>
        <v/>
      </c>
      <c r="AD231" s="40"/>
      <c r="AE231" s="38" t="str">
        <f aca="false">IF(B231="","",IF(AND(M231="Yes",OR(AD231="None",AD231="")),"Yes","No"))</f>
        <v/>
      </c>
      <c r="AF231" s="40"/>
      <c r="AG231" s="40"/>
      <c r="AH231" s="47"/>
      <c r="AI231" s="47"/>
    </row>
    <row r="232" customFormat="false" ht="15" hidden="false" customHeight="false" outlineLevel="0" collapsed="false">
      <c r="A232" s="38" t="str">
        <f aca="false">IF(B232="","",ROW()-4)</f>
        <v/>
      </c>
      <c r="B232" s="39"/>
      <c r="C232" s="38" t="str">
        <f aca="false">IF(B232="","",INT((B232-Settings!$B$4)/7)+1)</f>
        <v/>
      </c>
      <c r="D232" s="40"/>
      <c r="E232" s="40"/>
      <c r="F232" s="40"/>
      <c r="G232" s="40"/>
      <c r="H232" s="40"/>
      <c r="I232" s="40"/>
      <c r="J232" s="40"/>
      <c r="K232" s="40"/>
      <c r="L232" s="40"/>
      <c r="M232" s="38" t="str">
        <f aca="false">IF(B232="","",IF(COUNTIF(H232:L232,"Y")=5,"Yes","No"))</f>
        <v/>
      </c>
      <c r="N232" s="41"/>
      <c r="O232" s="42"/>
      <c r="P232" s="42"/>
      <c r="Q232" s="43" t="str">
        <f aca="false">IF(OR(O232="",P232=""),"",IF(F232="Long",O232+Settings!$B$7*(O232-P232),O232-Settings!$B$7*(P232-O232)))</f>
        <v/>
      </c>
      <c r="R232" s="42"/>
      <c r="S232" s="40"/>
      <c r="T232" s="44" t="str">
        <f aca="false">IF(OR(R232="",O232="",P232="",O232=P232),"",ROUND(IF(F232="Long",(R232-O232)/(O232-P232),(O232-R232)/(P232-O232)),2))</f>
        <v/>
      </c>
      <c r="U232" s="38" t="str">
        <f aca="false">IF(T232="","",IF(T232&gt;=Settings!$B$20,"Win",IF(T232&lt;=-Settings!$B$20,"Loss","BE")))</f>
        <v/>
      </c>
      <c r="V232" s="45" t="str">
        <f aca="false">IF(B232="","",Settings!$B$6)</f>
        <v/>
      </c>
      <c r="W232" s="46" t="str">
        <f aca="false">IF(B232="","",(Settings!$B$5+SUM(X$4:X231))*V232)</f>
        <v/>
      </c>
      <c r="X232" s="46" t="str">
        <f aca="false">IF(T232="","",ROUND(T232*W232,2))</f>
        <v/>
      </c>
      <c r="Y232" s="46" t="str">
        <f aca="false">IF(T232="","",Settings!$B$5+SUM(X$5:X232))</f>
        <v/>
      </c>
      <c r="Z232" s="43" t="str">
        <f aca="false">IF(T232="","",SUM(T$5:T232))</f>
        <v/>
      </c>
      <c r="AA232" s="43" t="str">
        <f aca="false">IF(T232="","",MAX(0,MAX(Z$5:Z232)))</f>
        <v/>
      </c>
      <c r="AB232" s="43" t="str">
        <f aca="false">IF(T232="","",Z232-AA232)</f>
        <v/>
      </c>
      <c r="AC232" s="38" t="str">
        <f aca="false">IF(U232="","",IF(U232="Loss",N(AC231)+1,0))</f>
        <v/>
      </c>
      <c r="AD232" s="40"/>
      <c r="AE232" s="38" t="str">
        <f aca="false">IF(B232="","",IF(AND(M232="Yes",OR(AD232="None",AD232="")),"Yes","No"))</f>
        <v/>
      </c>
      <c r="AF232" s="40"/>
      <c r="AG232" s="40"/>
      <c r="AH232" s="47"/>
      <c r="AI232" s="47"/>
    </row>
    <row r="233" customFormat="false" ht="15" hidden="false" customHeight="false" outlineLevel="0" collapsed="false">
      <c r="A233" s="38" t="str">
        <f aca="false">IF(B233="","",ROW()-4)</f>
        <v/>
      </c>
      <c r="B233" s="39"/>
      <c r="C233" s="38" t="str">
        <f aca="false">IF(B233="","",INT((B233-Settings!$B$4)/7)+1)</f>
        <v/>
      </c>
      <c r="D233" s="40"/>
      <c r="E233" s="40"/>
      <c r="F233" s="40"/>
      <c r="G233" s="40"/>
      <c r="H233" s="40"/>
      <c r="I233" s="40"/>
      <c r="J233" s="40"/>
      <c r="K233" s="40"/>
      <c r="L233" s="40"/>
      <c r="M233" s="38" t="str">
        <f aca="false">IF(B233="","",IF(COUNTIF(H233:L233,"Y")=5,"Yes","No"))</f>
        <v/>
      </c>
      <c r="N233" s="41"/>
      <c r="O233" s="42"/>
      <c r="P233" s="42"/>
      <c r="Q233" s="43" t="str">
        <f aca="false">IF(OR(O233="",P233=""),"",IF(F233="Long",O233+Settings!$B$7*(O233-P233),O233-Settings!$B$7*(P233-O233)))</f>
        <v/>
      </c>
      <c r="R233" s="42"/>
      <c r="S233" s="40"/>
      <c r="T233" s="44" t="str">
        <f aca="false">IF(OR(R233="",O233="",P233="",O233=P233),"",ROUND(IF(F233="Long",(R233-O233)/(O233-P233),(O233-R233)/(P233-O233)),2))</f>
        <v/>
      </c>
      <c r="U233" s="38" t="str">
        <f aca="false">IF(T233="","",IF(T233&gt;=Settings!$B$20,"Win",IF(T233&lt;=-Settings!$B$20,"Loss","BE")))</f>
        <v/>
      </c>
      <c r="V233" s="45" t="str">
        <f aca="false">IF(B233="","",Settings!$B$6)</f>
        <v/>
      </c>
      <c r="W233" s="46" t="str">
        <f aca="false">IF(B233="","",(Settings!$B$5+SUM(X$4:X232))*V233)</f>
        <v/>
      </c>
      <c r="X233" s="46" t="str">
        <f aca="false">IF(T233="","",ROUND(T233*W233,2))</f>
        <v/>
      </c>
      <c r="Y233" s="46" t="str">
        <f aca="false">IF(T233="","",Settings!$B$5+SUM(X$5:X233))</f>
        <v/>
      </c>
      <c r="Z233" s="43" t="str">
        <f aca="false">IF(T233="","",SUM(T$5:T233))</f>
        <v/>
      </c>
      <c r="AA233" s="43" t="str">
        <f aca="false">IF(T233="","",MAX(0,MAX(Z$5:Z233)))</f>
        <v/>
      </c>
      <c r="AB233" s="43" t="str">
        <f aca="false">IF(T233="","",Z233-AA233)</f>
        <v/>
      </c>
      <c r="AC233" s="38" t="str">
        <f aca="false">IF(U233="","",IF(U233="Loss",N(AC232)+1,0))</f>
        <v/>
      </c>
      <c r="AD233" s="40"/>
      <c r="AE233" s="38" t="str">
        <f aca="false">IF(B233="","",IF(AND(M233="Yes",OR(AD233="None",AD233="")),"Yes","No"))</f>
        <v/>
      </c>
      <c r="AF233" s="40"/>
      <c r="AG233" s="40"/>
      <c r="AH233" s="47"/>
      <c r="AI233" s="47"/>
    </row>
    <row r="234" customFormat="false" ht="15" hidden="false" customHeight="false" outlineLevel="0" collapsed="false">
      <c r="A234" s="38" t="str">
        <f aca="false">IF(B234="","",ROW()-4)</f>
        <v/>
      </c>
      <c r="B234" s="39"/>
      <c r="C234" s="38" t="str">
        <f aca="false">IF(B234="","",INT((B234-Settings!$B$4)/7)+1)</f>
        <v/>
      </c>
      <c r="D234" s="40"/>
      <c r="E234" s="40"/>
      <c r="F234" s="40"/>
      <c r="G234" s="40"/>
      <c r="H234" s="40"/>
      <c r="I234" s="40"/>
      <c r="J234" s="40"/>
      <c r="K234" s="40"/>
      <c r="L234" s="40"/>
      <c r="M234" s="38" t="str">
        <f aca="false">IF(B234="","",IF(COUNTIF(H234:L234,"Y")=5,"Yes","No"))</f>
        <v/>
      </c>
      <c r="N234" s="41"/>
      <c r="O234" s="42"/>
      <c r="P234" s="42"/>
      <c r="Q234" s="43" t="str">
        <f aca="false">IF(OR(O234="",P234=""),"",IF(F234="Long",O234+Settings!$B$7*(O234-P234),O234-Settings!$B$7*(P234-O234)))</f>
        <v/>
      </c>
      <c r="R234" s="42"/>
      <c r="S234" s="40"/>
      <c r="T234" s="44" t="str">
        <f aca="false">IF(OR(R234="",O234="",P234="",O234=P234),"",ROUND(IF(F234="Long",(R234-O234)/(O234-P234),(O234-R234)/(P234-O234)),2))</f>
        <v/>
      </c>
      <c r="U234" s="38" t="str">
        <f aca="false">IF(T234="","",IF(T234&gt;=Settings!$B$20,"Win",IF(T234&lt;=-Settings!$B$20,"Loss","BE")))</f>
        <v/>
      </c>
      <c r="V234" s="45" t="str">
        <f aca="false">IF(B234="","",Settings!$B$6)</f>
        <v/>
      </c>
      <c r="W234" s="46" t="str">
        <f aca="false">IF(B234="","",(Settings!$B$5+SUM(X$4:X233))*V234)</f>
        <v/>
      </c>
      <c r="X234" s="46" t="str">
        <f aca="false">IF(T234="","",ROUND(T234*W234,2))</f>
        <v/>
      </c>
      <c r="Y234" s="46" t="str">
        <f aca="false">IF(T234="","",Settings!$B$5+SUM(X$5:X234))</f>
        <v/>
      </c>
      <c r="Z234" s="43" t="str">
        <f aca="false">IF(T234="","",SUM(T$5:T234))</f>
        <v/>
      </c>
      <c r="AA234" s="43" t="str">
        <f aca="false">IF(T234="","",MAX(0,MAX(Z$5:Z234)))</f>
        <v/>
      </c>
      <c r="AB234" s="43" t="str">
        <f aca="false">IF(T234="","",Z234-AA234)</f>
        <v/>
      </c>
      <c r="AC234" s="38" t="str">
        <f aca="false">IF(U234="","",IF(U234="Loss",N(AC233)+1,0))</f>
        <v/>
      </c>
      <c r="AD234" s="40"/>
      <c r="AE234" s="38" t="str">
        <f aca="false">IF(B234="","",IF(AND(M234="Yes",OR(AD234="None",AD234="")),"Yes","No"))</f>
        <v/>
      </c>
      <c r="AF234" s="40"/>
      <c r="AG234" s="40"/>
      <c r="AH234" s="47"/>
      <c r="AI234" s="47"/>
    </row>
    <row r="235" customFormat="false" ht="15" hidden="false" customHeight="false" outlineLevel="0" collapsed="false">
      <c r="A235" s="38" t="str">
        <f aca="false">IF(B235="","",ROW()-4)</f>
        <v/>
      </c>
      <c r="B235" s="39"/>
      <c r="C235" s="38" t="str">
        <f aca="false">IF(B235="","",INT((B235-Settings!$B$4)/7)+1)</f>
        <v/>
      </c>
      <c r="D235" s="40"/>
      <c r="E235" s="40"/>
      <c r="F235" s="40"/>
      <c r="G235" s="40"/>
      <c r="H235" s="40"/>
      <c r="I235" s="40"/>
      <c r="J235" s="40"/>
      <c r="K235" s="40"/>
      <c r="L235" s="40"/>
      <c r="M235" s="38" t="str">
        <f aca="false">IF(B235="","",IF(COUNTIF(H235:L235,"Y")=5,"Yes","No"))</f>
        <v/>
      </c>
      <c r="N235" s="41"/>
      <c r="O235" s="42"/>
      <c r="P235" s="42"/>
      <c r="Q235" s="43" t="str">
        <f aca="false">IF(OR(O235="",P235=""),"",IF(F235="Long",O235+Settings!$B$7*(O235-P235),O235-Settings!$B$7*(P235-O235)))</f>
        <v/>
      </c>
      <c r="R235" s="42"/>
      <c r="S235" s="40"/>
      <c r="T235" s="44" t="str">
        <f aca="false">IF(OR(R235="",O235="",P235="",O235=P235),"",ROUND(IF(F235="Long",(R235-O235)/(O235-P235),(O235-R235)/(P235-O235)),2))</f>
        <v/>
      </c>
      <c r="U235" s="38" t="str">
        <f aca="false">IF(T235="","",IF(T235&gt;=Settings!$B$20,"Win",IF(T235&lt;=-Settings!$B$20,"Loss","BE")))</f>
        <v/>
      </c>
      <c r="V235" s="45" t="str">
        <f aca="false">IF(B235="","",Settings!$B$6)</f>
        <v/>
      </c>
      <c r="W235" s="46" t="str">
        <f aca="false">IF(B235="","",(Settings!$B$5+SUM(X$4:X234))*V235)</f>
        <v/>
      </c>
      <c r="X235" s="46" t="str">
        <f aca="false">IF(T235="","",ROUND(T235*W235,2))</f>
        <v/>
      </c>
      <c r="Y235" s="46" t="str">
        <f aca="false">IF(T235="","",Settings!$B$5+SUM(X$5:X235))</f>
        <v/>
      </c>
      <c r="Z235" s="43" t="str">
        <f aca="false">IF(T235="","",SUM(T$5:T235))</f>
        <v/>
      </c>
      <c r="AA235" s="43" t="str">
        <f aca="false">IF(T235="","",MAX(0,MAX(Z$5:Z235)))</f>
        <v/>
      </c>
      <c r="AB235" s="43" t="str">
        <f aca="false">IF(T235="","",Z235-AA235)</f>
        <v/>
      </c>
      <c r="AC235" s="38" t="str">
        <f aca="false">IF(U235="","",IF(U235="Loss",N(AC234)+1,0))</f>
        <v/>
      </c>
      <c r="AD235" s="40"/>
      <c r="AE235" s="38" t="str">
        <f aca="false">IF(B235="","",IF(AND(M235="Yes",OR(AD235="None",AD235="")),"Yes","No"))</f>
        <v/>
      </c>
      <c r="AF235" s="40"/>
      <c r="AG235" s="40"/>
      <c r="AH235" s="47"/>
      <c r="AI235" s="47"/>
    </row>
    <row r="236" customFormat="false" ht="15" hidden="false" customHeight="false" outlineLevel="0" collapsed="false">
      <c r="A236" s="38" t="str">
        <f aca="false">IF(B236="","",ROW()-4)</f>
        <v/>
      </c>
      <c r="B236" s="39"/>
      <c r="C236" s="38" t="str">
        <f aca="false">IF(B236="","",INT((B236-Settings!$B$4)/7)+1)</f>
        <v/>
      </c>
      <c r="D236" s="40"/>
      <c r="E236" s="40"/>
      <c r="F236" s="40"/>
      <c r="G236" s="40"/>
      <c r="H236" s="40"/>
      <c r="I236" s="40"/>
      <c r="J236" s="40"/>
      <c r="K236" s="40"/>
      <c r="L236" s="40"/>
      <c r="M236" s="38" t="str">
        <f aca="false">IF(B236="","",IF(COUNTIF(H236:L236,"Y")=5,"Yes","No"))</f>
        <v/>
      </c>
      <c r="N236" s="41"/>
      <c r="O236" s="42"/>
      <c r="P236" s="42"/>
      <c r="Q236" s="43" t="str">
        <f aca="false">IF(OR(O236="",P236=""),"",IF(F236="Long",O236+Settings!$B$7*(O236-P236),O236-Settings!$B$7*(P236-O236)))</f>
        <v/>
      </c>
      <c r="R236" s="42"/>
      <c r="S236" s="40"/>
      <c r="T236" s="44" t="str">
        <f aca="false">IF(OR(R236="",O236="",P236="",O236=P236),"",ROUND(IF(F236="Long",(R236-O236)/(O236-P236),(O236-R236)/(P236-O236)),2))</f>
        <v/>
      </c>
      <c r="U236" s="38" t="str">
        <f aca="false">IF(T236="","",IF(T236&gt;=Settings!$B$20,"Win",IF(T236&lt;=-Settings!$B$20,"Loss","BE")))</f>
        <v/>
      </c>
      <c r="V236" s="45" t="str">
        <f aca="false">IF(B236="","",Settings!$B$6)</f>
        <v/>
      </c>
      <c r="W236" s="46" t="str">
        <f aca="false">IF(B236="","",(Settings!$B$5+SUM(X$4:X235))*V236)</f>
        <v/>
      </c>
      <c r="X236" s="46" t="str">
        <f aca="false">IF(T236="","",ROUND(T236*W236,2))</f>
        <v/>
      </c>
      <c r="Y236" s="46" t="str">
        <f aca="false">IF(T236="","",Settings!$B$5+SUM(X$5:X236))</f>
        <v/>
      </c>
      <c r="Z236" s="43" t="str">
        <f aca="false">IF(T236="","",SUM(T$5:T236))</f>
        <v/>
      </c>
      <c r="AA236" s="43" t="str">
        <f aca="false">IF(T236="","",MAX(0,MAX(Z$5:Z236)))</f>
        <v/>
      </c>
      <c r="AB236" s="43" t="str">
        <f aca="false">IF(T236="","",Z236-AA236)</f>
        <v/>
      </c>
      <c r="AC236" s="38" t="str">
        <f aca="false">IF(U236="","",IF(U236="Loss",N(AC235)+1,0))</f>
        <v/>
      </c>
      <c r="AD236" s="40"/>
      <c r="AE236" s="38" t="str">
        <f aca="false">IF(B236="","",IF(AND(M236="Yes",OR(AD236="None",AD236="")),"Yes","No"))</f>
        <v/>
      </c>
      <c r="AF236" s="40"/>
      <c r="AG236" s="40"/>
      <c r="AH236" s="47"/>
      <c r="AI236" s="47"/>
    </row>
    <row r="237" customFormat="false" ht="15" hidden="false" customHeight="false" outlineLevel="0" collapsed="false">
      <c r="A237" s="38" t="str">
        <f aca="false">IF(B237="","",ROW()-4)</f>
        <v/>
      </c>
      <c r="B237" s="39"/>
      <c r="C237" s="38" t="str">
        <f aca="false">IF(B237="","",INT((B237-Settings!$B$4)/7)+1)</f>
        <v/>
      </c>
      <c r="D237" s="40"/>
      <c r="E237" s="40"/>
      <c r="F237" s="40"/>
      <c r="G237" s="40"/>
      <c r="H237" s="40"/>
      <c r="I237" s="40"/>
      <c r="J237" s="40"/>
      <c r="K237" s="40"/>
      <c r="L237" s="40"/>
      <c r="M237" s="38" t="str">
        <f aca="false">IF(B237="","",IF(COUNTIF(H237:L237,"Y")=5,"Yes","No"))</f>
        <v/>
      </c>
      <c r="N237" s="41"/>
      <c r="O237" s="42"/>
      <c r="P237" s="42"/>
      <c r="Q237" s="43" t="str">
        <f aca="false">IF(OR(O237="",P237=""),"",IF(F237="Long",O237+Settings!$B$7*(O237-P237),O237-Settings!$B$7*(P237-O237)))</f>
        <v/>
      </c>
      <c r="R237" s="42"/>
      <c r="S237" s="40"/>
      <c r="T237" s="44" t="str">
        <f aca="false">IF(OR(R237="",O237="",P237="",O237=P237),"",ROUND(IF(F237="Long",(R237-O237)/(O237-P237),(O237-R237)/(P237-O237)),2))</f>
        <v/>
      </c>
      <c r="U237" s="38" t="str">
        <f aca="false">IF(T237="","",IF(T237&gt;=Settings!$B$20,"Win",IF(T237&lt;=-Settings!$B$20,"Loss","BE")))</f>
        <v/>
      </c>
      <c r="V237" s="45" t="str">
        <f aca="false">IF(B237="","",Settings!$B$6)</f>
        <v/>
      </c>
      <c r="W237" s="46" t="str">
        <f aca="false">IF(B237="","",(Settings!$B$5+SUM(X$4:X236))*V237)</f>
        <v/>
      </c>
      <c r="X237" s="46" t="str">
        <f aca="false">IF(T237="","",ROUND(T237*W237,2))</f>
        <v/>
      </c>
      <c r="Y237" s="46" t="str">
        <f aca="false">IF(T237="","",Settings!$B$5+SUM(X$5:X237))</f>
        <v/>
      </c>
      <c r="Z237" s="43" t="str">
        <f aca="false">IF(T237="","",SUM(T$5:T237))</f>
        <v/>
      </c>
      <c r="AA237" s="43" t="str">
        <f aca="false">IF(T237="","",MAX(0,MAX(Z$5:Z237)))</f>
        <v/>
      </c>
      <c r="AB237" s="43" t="str">
        <f aca="false">IF(T237="","",Z237-AA237)</f>
        <v/>
      </c>
      <c r="AC237" s="38" t="str">
        <f aca="false">IF(U237="","",IF(U237="Loss",N(AC236)+1,0))</f>
        <v/>
      </c>
      <c r="AD237" s="40"/>
      <c r="AE237" s="38" t="str">
        <f aca="false">IF(B237="","",IF(AND(M237="Yes",OR(AD237="None",AD237="")),"Yes","No"))</f>
        <v/>
      </c>
      <c r="AF237" s="40"/>
      <c r="AG237" s="40"/>
      <c r="AH237" s="47"/>
      <c r="AI237" s="47"/>
    </row>
    <row r="238" customFormat="false" ht="15" hidden="false" customHeight="false" outlineLevel="0" collapsed="false">
      <c r="A238" s="38" t="str">
        <f aca="false">IF(B238="","",ROW()-4)</f>
        <v/>
      </c>
      <c r="B238" s="39"/>
      <c r="C238" s="38" t="str">
        <f aca="false">IF(B238="","",INT((B238-Settings!$B$4)/7)+1)</f>
        <v/>
      </c>
      <c r="D238" s="40"/>
      <c r="E238" s="40"/>
      <c r="F238" s="40"/>
      <c r="G238" s="40"/>
      <c r="H238" s="40"/>
      <c r="I238" s="40"/>
      <c r="J238" s="40"/>
      <c r="K238" s="40"/>
      <c r="L238" s="40"/>
      <c r="M238" s="38" t="str">
        <f aca="false">IF(B238="","",IF(COUNTIF(H238:L238,"Y")=5,"Yes","No"))</f>
        <v/>
      </c>
      <c r="N238" s="41"/>
      <c r="O238" s="42"/>
      <c r="P238" s="42"/>
      <c r="Q238" s="43" t="str">
        <f aca="false">IF(OR(O238="",P238=""),"",IF(F238="Long",O238+Settings!$B$7*(O238-P238),O238-Settings!$B$7*(P238-O238)))</f>
        <v/>
      </c>
      <c r="R238" s="42"/>
      <c r="S238" s="40"/>
      <c r="T238" s="44" t="str">
        <f aca="false">IF(OR(R238="",O238="",P238="",O238=P238),"",ROUND(IF(F238="Long",(R238-O238)/(O238-P238),(O238-R238)/(P238-O238)),2))</f>
        <v/>
      </c>
      <c r="U238" s="38" t="str">
        <f aca="false">IF(T238="","",IF(T238&gt;=Settings!$B$20,"Win",IF(T238&lt;=-Settings!$B$20,"Loss","BE")))</f>
        <v/>
      </c>
      <c r="V238" s="45" t="str">
        <f aca="false">IF(B238="","",Settings!$B$6)</f>
        <v/>
      </c>
      <c r="W238" s="46" t="str">
        <f aca="false">IF(B238="","",(Settings!$B$5+SUM(X$4:X237))*V238)</f>
        <v/>
      </c>
      <c r="X238" s="46" t="str">
        <f aca="false">IF(T238="","",ROUND(T238*W238,2))</f>
        <v/>
      </c>
      <c r="Y238" s="46" t="str">
        <f aca="false">IF(T238="","",Settings!$B$5+SUM(X$5:X238))</f>
        <v/>
      </c>
      <c r="Z238" s="43" t="str">
        <f aca="false">IF(T238="","",SUM(T$5:T238))</f>
        <v/>
      </c>
      <c r="AA238" s="43" t="str">
        <f aca="false">IF(T238="","",MAX(0,MAX(Z$5:Z238)))</f>
        <v/>
      </c>
      <c r="AB238" s="43" t="str">
        <f aca="false">IF(T238="","",Z238-AA238)</f>
        <v/>
      </c>
      <c r="AC238" s="38" t="str">
        <f aca="false">IF(U238="","",IF(U238="Loss",N(AC237)+1,0))</f>
        <v/>
      </c>
      <c r="AD238" s="40"/>
      <c r="AE238" s="38" t="str">
        <f aca="false">IF(B238="","",IF(AND(M238="Yes",OR(AD238="None",AD238="")),"Yes","No"))</f>
        <v/>
      </c>
      <c r="AF238" s="40"/>
      <c r="AG238" s="40"/>
      <c r="AH238" s="47"/>
      <c r="AI238" s="47"/>
    </row>
    <row r="239" customFormat="false" ht="15" hidden="false" customHeight="false" outlineLevel="0" collapsed="false">
      <c r="A239" s="38" t="str">
        <f aca="false">IF(B239="","",ROW()-4)</f>
        <v/>
      </c>
      <c r="B239" s="39"/>
      <c r="C239" s="38" t="str">
        <f aca="false">IF(B239="","",INT((B239-Settings!$B$4)/7)+1)</f>
        <v/>
      </c>
      <c r="D239" s="40"/>
      <c r="E239" s="40"/>
      <c r="F239" s="40"/>
      <c r="G239" s="40"/>
      <c r="H239" s="40"/>
      <c r="I239" s="40"/>
      <c r="J239" s="40"/>
      <c r="K239" s="40"/>
      <c r="L239" s="40"/>
      <c r="M239" s="38" t="str">
        <f aca="false">IF(B239="","",IF(COUNTIF(H239:L239,"Y")=5,"Yes","No"))</f>
        <v/>
      </c>
      <c r="N239" s="41"/>
      <c r="O239" s="42"/>
      <c r="P239" s="42"/>
      <c r="Q239" s="43" t="str">
        <f aca="false">IF(OR(O239="",P239=""),"",IF(F239="Long",O239+Settings!$B$7*(O239-P239),O239-Settings!$B$7*(P239-O239)))</f>
        <v/>
      </c>
      <c r="R239" s="42"/>
      <c r="S239" s="40"/>
      <c r="T239" s="44" t="str">
        <f aca="false">IF(OR(R239="",O239="",P239="",O239=P239),"",ROUND(IF(F239="Long",(R239-O239)/(O239-P239),(O239-R239)/(P239-O239)),2))</f>
        <v/>
      </c>
      <c r="U239" s="38" t="str">
        <f aca="false">IF(T239="","",IF(T239&gt;=Settings!$B$20,"Win",IF(T239&lt;=-Settings!$B$20,"Loss","BE")))</f>
        <v/>
      </c>
      <c r="V239" s="45" t="str">
        <f aca="false">IF(B239="","",Settings!$B$6)</f>
        <v/>
      </c>
      <c r="W239" s="46" t="str">
        <f aca="false">IF(B239="","",(Settings!$B$5+SUM(X$4:X238))*V239)</f>
        <v/>
      </c>
      <c r="X239" s="46" t="str">
        <f aca="false">IF(T239="","",ROUND(T239*W239,2))</f>
        <v/>
      </c>
      <c r="Y239" s="46" t="str">
        <f aca="false">IF(T239="","",Settings!$B$5+SUM(X$5:X239))</f>
        <v/>
      </c>
      <c r="Z239" s="43" t="str">
        <f aca="false">IF(T239="","",SUM(T$5:T239))</f>
        <v/>
      </c>
      <c r="AA239" s="43" t="str">
        <f aca="false">IF(T239="","",MAX(0,MAX(Z$5:Z239)))</f>
        <v/>
      </c>
      <c r="AB239" s="43" t="str">
        <f aca="false">IF(T239="","",Z239-AA239)</f>
        <v/>
      </c>
      <c r="AC239" s="38" t="str">
        <f aca="false">IF(U239="","",IF(U239="Loss",N(AC238)+1,0))</f>
        <v/>
      </c>
      <c r="AD239" s="40"/>
      <c r="AE239" s="38" t="str">
        <f aca="false">IF(B239="","",IF(AND(M239="Yes",OR(AD239="None",AD239="")),"Yes","No"))</f>
        <v/>
      </c>
      <c r="AF239" s="40"/>
      <c r="AG239" s="40"/>
      <c r="AH239" s="47"/>
      <c r="AI239" s="47"/>
    </row>
    <row r="240" customFormat="false" ht="15" hidden="false" customHeight="false" outlineLevel="0" collapsed="false">
      <c r="A240" s="38" t="str">
        <f aca="false">IF(B240="","",ROW()-4)</f>
        <v/>
      </c>
      <c r="B240" s="39"/>
      <c r="C240" s="38" t="str">
        <f aca="false">IF(B240="","",INT((B240-Settings!$B$4)/7)+1)</f>
        <v/>
      </c>
      <c r="D240" s="40"/>
      <c r="E240" s="40"/>
      <c r="F240" s="40"/>
      <c r="G240" s="40"/>
      <c r="H240" s="40"/>
      <c r="I240" s="40"/>
      <c r="J240" s="40"/>
      <c r="K240" s="40"/>
      <c r="L240" s="40"/>
      <c r="M240" s="38" t="str">
        <f aca="false">IF(B240="","",IF(COUNTIF(H240:L240,"Y")=5,"Yes","No"))</f>
        <v/>
      </c>
      <c r="N240" s="41"/>
      <c r="O240" s="42"/>
      <c r="P240" s="42"/>
      <c r="Q240" s="43" t="str">
        <f aca="false">IF(OR(O240="",P240=""),"",IF(F240="Long",O240+Settings!$B$7*(O240-P240),O240-Settings!$B$7*(P240-O240)))</f>
        <v/>
      </c>
      <c r="R240" s="42"/>
      <c r="S240" s="40"/>
      <c r="T240" s="44" t="str">
        <f aca="false">IF(OR(R240="",O240="",P240="",O240=P240),"",ROUND(IF(F240="Long",(R240-O240)/(O240-P240),(O240-R240)/(P240-O240)),2))</f>
        <v/>
      </c>
      <c r="U240" s="38" t="str">
        <f aca="false">IF(T240="","",IF(T240&gt;=Settings!$B$20,"Win",IF(T240&lt;=-Settings!$B$20,"Loss","BE")))</f>
        <v/>
      </c>
      <c r="V240" s="45" t="str">
        <f aca="false">IF(B240="","",Settings!$B$6)</f>
        <v/>
      </c>
      <c r="W240" s="46" t="str">
        <f aca="false">IF(B240="","",(Settings!$B$5+SUM(X$4:X239))*V240)</f>
        <v/>
      </c>
      <c r="X240" s="46" t="str">
        <f aca="false">IF(T240="","",ROUND(T240*W240,2))</f>
        <v/>
      </c>
      <c r="Y240" s="46" t="str">
        <f aca="false">IF(T240="","",Settings!$B$5+SUM(X$5:X240))</f>
        <v/>
      </c>
      <c r="Z240" s="43" t="str">
        <f aca="false">IF(T240="","",SUM(T$5:T240))</f>
        <v/>
      </c>
      <c r="AA240" s="43" t="str">
        <f aca="false">IF(T240="","",MAX(0,MAX(Z$5:Z240)))</f>
        <v/>
      </c>
      <c r="AB240" s="43" t="str">
        <f aca="false">IF(T240="","",Z240-AA240)</f>
        <v/>
      </c>
      <c r="AC240" s="38" t="str">
        <f aca="false">IF(U240="","",IF(U240="Loss",N(AC239)+1,0))</f>
        <v/>
      </c>
      <c r="AD240" s="40"/>
      <c r="AE240" s="38" t="str">
        <f aca="false">IF(B240="","",IF(AND(M240="Yes",OR(AD240="None",AD240="")),"Yes","No"))</f>
        <v/>
      </c>
      <c r="AF240" s="40"/>
      <c r="AG240" s="40"/>
      <c r="AH240" s="47"/>
      <c r="AI240" s="47"/>
    </row>
    <row r="241" customFormat="false" ht="15" hidden="false" customHeight="false" outlineLevel="0" collapsed="false">
      <c r="A241" s="38" t="str">
        <f aca="false">IF(B241="","",ROW()-4)</f>
        <v/>
      </c>
      <c r="B241" s="39"/>
      <c r="C241" s="38" t="str">
        <f aca="false">IF(B241="","",INT((B241-Settings!$B$4)/7)+1)</f>
        <v/>
      </c>
      <c r="D241" s="40"/>
      <c r="E241" s="40"/>
      <c r="F241" s="40"/>
      <c r="G241" s="40"/>
      <c r="H241" s="40"/>
      <c r="I241" s="40"/>
      <c r="J241" s="40"/>
      <c r="K241" s="40"/>
      <c r="L241" s="40"/>
      <c r="M241" s="38" t="str">
        <f aca="false">IF(B241="","",IF(COUNTIF(H241:L241,"Y")=5,"Yes","No"))</f>
        <v/>
      </c>
      <c r="N241" s="41"/>
      <c r="O241" s="42"/>
      <c r="P241" s="42"/>
      <c r="Q241" s="43" t="str">
        <f aca="false">IF(OR(O241="",P241=""),"",IF(F241="Long",O241+Settings!$B$7*(O241-P241),O241-Settings!$B$7*(P241-O241)))</f>
        <v/>
      </c>
      <c r="R241" s="42"/>
      <c r="S241" s="40"/>
      <c r="T241" s="44" t="str">
        <f aca="false">IF(OR(R241="",O241="",P241="",O241=P241),"",ROUND(IF(F241="Long",(R241-O241)/(O241-P241),(O241-R241)/(P241-O241)),2))</f>
        <v/>
      </c>
      <c r="U241" s="38" t="str">
        <f aca="false">IF(T241="","",IF(T241&gt;=Settings!$B$20,"Win",IF(T241&lt;=-Settings!$B$20,"Loss","BE")))</f>
        <v/>
      </c>
      <c r="V241" s="45" t="str">
        <f aca="false">IF(B241="","",Settings!$B$6)</f>
        <v/>
      </c>
      <c r="W241" s="46" t="str">
        <f aca="false">IF(B241="","",(Settings!$B$5+SUM(X$4:X240))*V241)</f>
        <v/>
      </c>
      <c r="X241" s="46" t="str">
        <f aca="false">IF(T241="","",ROUND(T241*W241,2))</f>
        <v/>
      </c>
      <c r="Y241" s="46" t="str">
        <f aca="false">IF(T241="","",Settings!$B$5+SUM(X$5:X241))</f>
        <v/>
      </c>
      <c r="Z241" s="43" t="str">
        <f aca="false">IF(T241="","",SUM(T$5:T241))</f>
        <v/>
      </c>
      <c r="AA241" s="43" t="str">
        <f aca="false">IF(T241="","",MAX(0,MAX(Z$5:Z241)))</f>
        <v/>
      </c>
      <c r="AB241" s="43" t="str">
        <f aca="false">IF(T241="","",Z241-AA241)</f>
        <v/>
      </c>
      <c r="AC241" s="38" t="str">
        <f aca="false">IF(U241="","",IF(U241="Loss",N(AC240)+1,0))</f>
        <v/>
      </c>
      <c r="AD241" s="40"/>
      <c r="AE241" s="38" t="str">
        <f aca="false">IF(B241="","",IF(AND(M241="Yes",OR(AD241="None",AD241="")),"Yes","No"))</f>
        <v/>
      </c>
      <c r="AF241" s="40"/>
      <c r="AG241" s="40"/>
      <c r="AH241" s="47"/>
      <c r="AI241" s="47"/>
    </row>
    <row r="242" customFormat="false" ht="15" hidden="false" customHeight="false" outlineLevel="0" collapsed="false">
      <c r="A242" s="38" t="str">
        <f aca="false">IF(B242="","",ROW()-4)</f>
        <v/>
      </c>
      <c r="B242" s="39"/>
      <c r="C242" s="38" t="str">
        <f aca="false">IF(B242="","",INT((B242-Settings!$B$4)/7)+1)</f>
        <v/>
      </c>
      <c r="D242" s="40"/>
      <c r="E242" s="40"/>
      <c r="F242" s="40"/>
      <c r="G242" s="40"/>
      <c r="H242" s="40"/>
      <c r="I242" s="40"/>
      <c r="J242" s="40"/>
      <c r="K242" s="40"/>
      <c r="L242" s="40"/>
      <c r="M242" s="38" t="str">
        <f aca="false">IF(B242="","",IF(COUNTIF(H242:L242,"Y")=5,"Yes","No"))</f>
        <v/>
      </c>
      <c r="N242" s="41"/>
      <c r="O242" s="42"/>
      <c r="P242" s="42"/>
      <c r="Q242" s="43" t="str">
        <f aca="false">IF(OR(O242="",P242=""),"",IF(F242="Long",O242+Settings!$B$7*(O242-P242),O242-Settings!$B$7*(P242-O242)))</f>
        <v/>
      </c>
      <c r="R242" s="42"/>
      <c r="S242" s="40"/>
      <c r="T242" s="44" t="str">
        <f aca="false">IF(OR(R242="",O242="",P242="",O242=P242),"",ROUND(IF(F242="Long",(R242-O242)/(O242-P242),(O242-R242)/(P242-O242)),2))</f>
        <v/>
      </c>
      <c r="U242" s="38" t="str">
        <f aca="false">IF(T242="","",IF(T242&gt;=Settings!$B$20,"Win",IF(T242&lt;=-Settings!$B$20,"Loss","BE")))</f>
        <v/>
      </c>
      <c r="V242" s="45" t="str">
        <f aca="false">IF(B242="","",Settings!$B$6)</f>
        <v/>
      </c>
      <c r="W242" s="46" t="str">
        <f aca="false">IF(B242="","",(Settings!$B$5+SUM(X$4:X241))*V242)</f>
        <v/>
      </c>
      <c r="X242" s="46" t="str">
        <f aca="false">IF(T242="","",ROUND(T242*W242,2))</f>
        <v/>
      </c>
      <c r="Y242" s="46" t="str">
        <f aca="false">IF(T242="","",Settings!$B$5+SUM(X$5:X242))</f>
        <v/>
      </c>
      <c r="Z242" s="43" t="str">
        <f aca="false">IF(T242="","",SUM(T$5:T242))</f>
        <v/>
      </c>
      <c r="AA242" s="43" t="str">
        <f aca="false">IF(T242="","",MAX(0,MAX(Z$5:Z242)))</f>
        <v/>
      </c>
      <c r="AB242" s="43" t="str">
        <f aca="false">IF(T242="","",Z242-AA242)</f>
        <v/>
      </c>
      <c r="AC242" s="38" t="str">
        <f aca="false">IF(U242="","",IF(U242="Loss",N(AC241)+1,0))</f>
        <v/>
      </c>
      <c r="AD242" s="40"/>
      <c r="AE242" s="38" t="str">
        <f aca="false">IF(B242="","",IF(AND(M242="Yes",OR(AD242="None",AD242="")),"Yes","No"))</f>
        <v/>
      </c>
      <c r="AF242" s="40"/>
      <c r="AG242" s="40"/>
      <c r="AH242" s="47"/>
      <c r="AI242" s="47"/>
    </row>
    <row r="243" customFormat="false" ht="15" hidden="false" customHeight="false" outlineLevel="0" collapsed="false">
      <c r="A243" s="38" t="str">
        <f aca="false">IF(B243="","",ROW()-4)</f>
        <v/>
      </c>
      <c r="B243" s="39"/>
      <c r="C243" s="38" t="str">
        <f aca="false">IF(B243="","",INT((B243-Settings!$B$4)/7)+1)</f>
        <v/>
      </c>
      <c r="D243" s="40"/>
      <c r="E243" s="40"/>
      <c r="F243" s="40"/>
      <c r="G243" s="40"/>
      <c r="H243" s="40"/>
      <c r="I243" s="40"/>
      <c r="J243" s="40"/>
      <c r="K243" s="40"/>
      <c r="L243" s="40"/>
      <c r="M243" s="38" t="str">
        <f aca="false">IF(B243="","",IF(COUNTIF(H243:L243,"Y")=5,"Yes","No"))</f>
        <v/>
      </c>
      <c r="N243" s="41"/>
      <c r="O243" s="42"/>
      <c r="P243" s="42"/>
      <c r="Q243" s="43" t="str">
        <f aca="false">IF(OR(O243="",P243=""),"",IF(F243="Long",O243+Settings!$B$7*(O243-P243),O243-Settings!$B$7*(P243-O243)))</f>
        <v/>
      </c>
      <c r="R243" s="42"/>
      <c r="S243" s="40"/>
      <c r="T243" s="44" t="str">
        <f aca="false">IF(OR(R243="",O243="",P243="",O243=P243),"",ROUND(IF(F243="Long",(R243-O243)/(O243-P243),(O243-R243)/(P243-O243)),2))</f>
        <v/>
      </c>
      <c r="U243" s="38" t="str">
        <f aca="false">IF(T243="","",IF(T243&gt;=Settings!$B$20,"Win",IF(T243&lt;=-Settings!$B$20,"Loss","BE")))</f>
        <v/>
      </c>
      <c r="V243" s="45" t="str">
        <f aca="false">IF(B243="","",Settings!$B$6)</f>
        <v/>
      </c>
      <c r="W243" s="46" t="str">
        <f aca="false">IF(B243="","",(Settings!$B$5+SUM(X$4:X242))*V243)</f>
        <v/>
      </c>
      <c r="X243" s="46" t="str">
        <f aca="false">IF(T243="","",ROUND(T243*W243,2))</f>
        <v/>
      </c>
      <c r="Y243" s="46" t="str">
        <f aca="false">IF(T243="","",Settings!$B$5+SUM(X$5:X243))</f>
        <v/>
      </c>
      <c r="Z243" s="43" t="str">
        <f aca="false">IF(T243="","",SUM(T$5:T243))</f>
        <v/>
      </c>
      <c r="AA243" s="43" t="str">
        <f aca="false">IF(T243="","",MAX(0,MAX(Z$5:Z243)))</f>
        <v/>
      </c>
      <c r="AB243" s="43" t="str">
        <f aca="false">IF(T243="","",Z243-AA243)</f>
        <v/>
      </c>
      <c r="AC243" s="38" t="str">
        <f aca="false">IF(U243="","",IF(U243="Loss",N(AC242)+1,0))</f>
        <v/>
      </c>
      <c r="AD243" s="40"/>
      <c r="AE243" s="38" t="str">
        <f aca="false">IF(B243="","",IF(AND(M243="Yes",OR(AD243="None",AD243="")),"Yes","No"))</f>
        <v/>
      </c>
      <c r="AF243" s="40"/>
      <c r="AG243" s="40"/>
      <c r="AH243" s="47"/>
      <c r="AI243" s="47"/>
    </row>
    <row r="244" customFormat="false" ht="15" hidden="false" customHeight="false" outlineLevel="0" collapsed="false">
      <c r="A244" s="38" t="str">
        <f aca="false">IF(B244="","",ROW()-4)</f>
        <v/>
      </c>
      <c r="B244" s="39"/>
      <c r="C244" s="38" t="str">
        <f aca="false">IF(B244="","",INT((B244-Settings!$B$4)/7)+1)</f>
        <v/>
      </c>
      <c r="D244" s="40"/>
      <c r="E244" s="40"/>
      <c r="F244" s="40"/>
      <c r="G244" s="40"/>
      <c r="H244" s="40"/>
      <c r="I244" s="40"/>
      <c r="J244" s="40"/>
      <c r="K244" s="40"/>
      <c r="L244" s="40"/>
      <c r="M244" s="38" t="str">
        <f aca="false">IF(B244="","",IF(COUNTIF(H244:L244,"Y")=5,"Yes","No"))</f>
        <v/>
      </c>
      <c r="N244" s="41"/>
      <c r="O244" s="42"/>
      <c r="P244" s="42"/>
      <c r="Q244" s="43" t="str">
        <f aca="false">IF(OR(O244="",P244=""),"",IF(F244="Long",O244+Settings!$B$7*(O244-P244),O244-Settings!$B$7*(P244-O244)))</f>
        <v/>
      </c>
      <c r="R244" s="42"/>
      <c r="S244" s="40"/>
      <c r="T244" s="44" t="str">
        <f aca="false">IF(OR(R244="",O244="",P244="",O244=P244),"",ROUND(IF(F244="Long",(R244-O244)/(O244-P244),(O244-R244)/(P244-O244)),2))</f>
        <v/>
      </c>
      <c r="U244" s="38" t="str">
        <f aca="false">IF(T244="","",IF(T244&gt;=Settings!$B$20,"Win",IF(T244&lt;=-Settings!$B$20,"Loss","BE")))</f>
        <v/>
      </c>
      <c r="V244" s="45" t="str">
        <f aca="false">IF(B244="","",Settings!$B$6)</f>
        <v/>
      </c>
      <c r="W244" s="46" t="str">
        <f aca="false">IF(B244="","",(Settings!$B$5+SUM(X$4:X243))*V244)</f>
        <v/>
      </c>
      <c r="X244" s="46" t="str">
        <f aca="false">IF(T244="","",ROUND(T244*W244,2))</f>
        <v/>
      </c>
      <c r="Y244" s="46" t="str">
        <f aca="false">IF(T244="","",Settings!$B$5+SUM(X$5:X244))</f>
        <v/>
      </c>
      <c r="Z244" s="43" t="str">
        <f aca="false">IF(T244="","",SUM(T$5:T244))</f>
        <v/>
      </c>
      <c r="AA244" s="43" t="str">
        <f aca="false">IF(T244="","",MAX(0,MAX(Z$5:Z244)))</f>
        <v/>
      </c>
      <c r="AB244" s="43" t="str">
        <f aca="false">IF(T244="","",Z244-AA244)</f>
        <v/>
      </c>
      <c r="AC244" s="38" t="str">
        <f aca="false">IF(U244="","",IF(U244="Loss",N(AC243)+1,0))</f>
        <v/>
      </c>
      <c r="AD244" s="40"/>
      <c r="AE244" s="38" t="str">
        <f aca="false">IF(B244="","",IF(AND(M244="Yes",OR(AD244="None",AD244="")),"Yes","No"))</f>
        <v/>
      </c>
      <c r="AF244" s="40"/>
      <c r="AG244" s="40"/>
      <c r="AH244" s="47"/>
      <c r="AI244" s="47"/>
    </row>
    <row r="245" customFormat="false" ht="15" hidden="false" customHeight="false" outlineLevel="0" collapsed="false">
      <c r="A245" s="38" t="str">
        <f aca="false">IF(B245="","",ROW()-4)</f>
        <v/>
      </c>
      <c r="B245" s="39"/>
      <c r="C245" s="38" t="str">
        <f aca="false">IF(B245="","",INT((B245-Settings!$B$4)/7)+1)</f>
        <v/>
      </c>
      <c r="D245" s="40"/>
      <c r="E245" s="40"/>
      <c r="F245" s="40"/>
      <c r="G245" s="40"/>
      <c r="H245" s="40"/>
      <c r="I245" s="40"/>
      <c r="J245" s="40"/>
      <c r="K245" s="40"/>
      <c r="L245" s="40"/>
      <c r="M245" s="38" t="str">
        <f aca="false">IF(B245="","",IF(COUNTIF(H245:L245,"Y")=5,"Yes","No"))</f>
        <v/>
      </c>
      <c r="N245" s="41"/>
      <c r="O245" s="42"/>
      <c r="P245" s="42"/>
      <c r="Q245" s="43" t="str">
        <f aca="false">IF(OR(O245="",P245=""),"",IF(F245="Long",O245+Settings!$B$7*(O245-P245),O245-Settings!$B$7*(P245-O245)))</f>
        <v/>
      </c>
      <c r="R245" s="42"/>
      <c r="S245" s="40"/>
      <c r="T245" s="44" t="str">
        <f aca="false">IF(OR(R245="",O245="",P245="",O245=P245),"",ROUND(IF(F245="Long",(R245-O245)/(O245-P245),(O245-R245)/(P245-O245)),2))</f>
        <v/>
      </c>
      <c r="U245" s="38" t="str">
        <f aca="false">IF(T245="","",IF(T245&gt;=Settings!$B$20,"Win",IF(T245&lt;=-Settings!$B$20,"Loss","BE")))</f>
        <v/>
      </c>
      <c r="V245" s="45" t="str">
        <f aca="false">IF(B245="","",Settings!$B$6)</f>
        <v/>
      </c>
      <c r="W245" s="46" t="str">
        <f aca="false">IF(B245="","",(Settings!$B$5+SUM(X$4:X244))*V245)</f>
        <v/>
      </c>
      <c r="X245" s="46" t="str">
        <f aca="false">IF(T245="","",ROUND(T245*W245,2))</f>
        <v/>
      </c>
      <c r="Y245" s="46" t="str">
        <f aca="false">IF(T245="","",Settings!$B$5+SUM(X$5:X245))</f>
        <v/>
      </c>
      <c r="Z245" s="43" t="str">
        <f aca="false">IF(T245="","",SUM(T$5:T245))</f>
        <v/>
      </c>
      <c r="AA245" s="43" t="str">
        <f aca="false">IF(T245="","",MAX(0,MAX(Z$5:Z245)))</f>
        <v/>
      </c>
      <c r="AB245" s="43" t="str">
        <f aca="false">IF(T245="","",Z245-AA245)</f>
        <v/>
      </c>
      <c r="AC245" s="38" t="str">
        <f aca="false">IF(U245="","",IF(U245="Loss",N(AC244)+1,0))</f>
        <v/>
      </c>
      <c r="AD245" s="40"/>
      <c r="AE245" s="38" t="str">
        <f aca="false">IF(B245="","",IF(AND(M245="Yes",OR(AD245="None",AD245="")),"Yes","No"))</f>
        <v/>
      </c>
      <c r="AF245" s="40"/>
      <c r="AG245" s="40"/>
      <c r="AH245" s="47"/>
      <c r="AI245" s="47"/>
    </row>
    <row r="246" customFormat="false" ht="15" hidden="false" customHeight="false" outlineLevel="0" collapsed="false">
      <c r="A246" s="38" t="str">
        <f aca="false">IF(B246="","",ROW()-4)</f>
        <v/>
      </c>
      <c r="B246" s="39"/>
      <c r="C246" s="38" t="str">
        <f aca="false">IF(B246="","",INT((B246-Settings!$B$4)/7)+1)</f>
        <v/>
      </c>
      <c r="D246" s="40"/>
      <c r="E246" s="40"/>
      <c r="F246" s="40"/>
      <c r="G246" s="40"/>
      <c r="H246" s="40"/>
      <c r="I246" s="40"/>
      <c r="J246" s="40"/>
      <c r="K246" s="40"/>
      <c r="L246" s="40"/>
      <c r="M246" s="38" t="str">
        <f aca="false">IF(B246="","",IF(COUNTIF(H246:L246,"Y")=5,"Yes","No"))</f>
        <v/>
      </c>
      <c r="N246" s="41"/>
      <c r="O246" s="42"/>
      <c r="P246" s="42"/>
      <c r="Q246" s="43" t="str">
        <f aca="false">IF(OR(O246="",P246=""),"",IF(F246="Long",O246+Settings!$B$7*(O246-P246),O246-Settings!$B$7*(P246-O246)))</f>
        <v/>
      </c>
      <c r="R246" s="42"/>
      <c r="S246" s="40"/>
      <c r="T246" s="44" t="str">
        <f aca="false">IF(OR(R246="",O246="",P246="",O246=P246),"",ROUND(IF(F246="Long",(R246-O246)/(O246-P246),(O246-R246)/(P246-O246)),2))</f>
        <v/>
      </c>
      <c r="U246" s="38" t="str">
        <f aca="false">IF(T246="","",IF(T246&gt;=Settings!$B$20,"Win",IF(T246&lt;=-Settings!$B$20,"Loss","BE")))</f>
        <v/>
      </c>
      <c r="V246" s="45" t="str">
        <f aca="false">IF(B246="","",Settings!$B$6)</f>
        <v/>
      </c>
      <c r="W246" s="46" t="str">
        <f aca="false">IF(B246="","",(Settings!$B$5+SUM(X$4:X245))*V246)</f>
        <v/>
      </c>
      <c r="X246" s="46" t="str">
        <f aca="false">IF(T246="","",ROUND(T246*W246,2))</f>
        <v/>
      </c>
      <c r="Y246" s="46" t="str">
        <f aca="false">IF(T246="","",Settings!$B$5+SUM(X$5:X246))</f>
        <v/>
      </c>
      <c r="Z246" s="43" t="str">
        <f aca="false">IF(T246="","",SUM(T$5:T246))</f>
        <v/>
      </c>
      <c r="AA246" s="43" t="str">
        <f aca="false">IF(T246="","",MAX(0,MAX(Z$5:Z246)))</f>
        <v/>
      </c>
      <c r="AB246" s="43" t="str">
        <f aca="false">IF(T246="","",Z246-AA246)</f>
        <v/>
      </c>
      <c r="AC246" s="38" t="str">
        <f aca="false">IF(U246="","",IF(U246="Loss",N(AC245)+1,0))</f>
        <v/>
      </c>
      <c r="AD246" s="40"/>
      <c r="AE246" s="38" t="str">
        <f aca="false">IF(B246="","",IF(AND(M246="Yes",OR(AD246="None",AD246="")),"Yes","No"))</f>
        <v/>
      </c>
      <c r="AF246" s="40"/>
      <c r="AG246" s="40"/>
      <c r="AH246" s="47"/>
      <c r="AI246" s="47"/>
    </row>
    <row r="247" customFormat="false" ht="15" hidden="false" customHeight="false" outlineLevel="0" collapsed="false">
      <c r="A247" s="38" t="str">
        <f aca="false">IF(B247="","",ROW()-4)</f>
        <v/>
      </c>
      <c r="B247" s="39"/>
      <c r="C247" s="38" t="str">
        <f aca="false">IF(B247="","",INT((B247-Settings!$B$4)/7)+1)</f>
        <v/>
      </c>
      <c r="D247" s="40"/>
      <c r="E247" s="40"/>
      <c r="F247" s="40"/>
      <c r="G247" s="40"/>
      <c r="H247" s="40"/>
      <c r="I247" s="40"/>
      <c r="J247" s="40"/>
      <c r="K247" s="40"/>
      <c r="L247" s="40"/>
      <c r="M247" s="38" t="str">
        <f aca="false">IF(B247="","",IF(COUNTIF(H247:L247,"Y")=5,"Yes","No"))</f>
        <v/>
      </c>
      <c r="N247" s="41"/>
      <c r="O247" s="42"/>
      <c r="P247" s="42"/>
      <c r="Q247" s="43" t="str">
        <f aca="false">IF(OR(O247="",P247=""),"",IF(F247="Long",O247+Settings!$B$7*(O247-P247),O247-Settings!$B$7*(P247-O247)))</f>
        <v/>
      </c>
      <c r="R247" s="42"/>
      <c r="S247" s="40"/>
      <c r="T247" s="44" t="str">
        <f aca="false">IF(OR(R247="",O247="",P247="",O247=P247),"",ROUND(IF(F247="Long",(R247-O247)/(O247-P247),(O247-R247)/(P247-O247)),2))</f>
        <v/>
      </c>
      <c r="U247" s="38" t="str">
        <f aca="false">IF(T247="","",IF(T247&gt;=Settings!$B$20,"Win",IF(T247&lt;=-Settings!$B$20,"Loss","BE")))</f>
        <v/>
      </c>
      <c r="V247" s="45" t="str">
        <f aca="false">IF(B247="","",Settings!$B$6)</f>
        <v/>
      </c>
      <c r="W247" s="46" t="str">
        <f aca="false">IF(B247="","",(Settings!$B$5+SUM(X$4:X246))*V247)</f>
        <v/>
      </c>
      <c r="X247" s="46" t="str">
        <f aca="false">IF(T247="","",ROUND(T247*W247,2))</f>
        <v/>
      </c>
      <c r="Y247" s="46" t="str">
        <f aca="false">IF(T247="","",Settings!$B$5+SUM(X$5:X247))</f>
        <v/>
      </c>
      <c r="Z247" s="43" t="str">
        <f aca="false">IF(T247="","",SUM(T$5:T247))</f>
        <v/>
      </c>
      <c r="AA247" s="43" t="str">
        <f aca="false">IF(T247="","",MAX(0,MAX(Z$5:Z247)))</f>
        <v/>
      </c>
      <c r="AB247" s="43" t="str">
        <f aca="false">IF(T247="","",Z247-AA247)</f>
        <v/>
      </c>
      <c r="AC247" s="38" t="str">
        <f aca="false">IF(U247="","",IF(U247="Loss",N(AC246)+1,0))</f>
        <v/>
      </c>
      <c r="AD247" s="40"/>
      <c r="AE247" s="38" t="str">
        <f aca="false">IF(B247="","",IF(AND(M247="Yes",OR(AD247="None",AD247="")),"Yes","No"))</f>
        <v/>
      </c>
      <c r="AF247" s="40"/>
      <c r="AG247" s="40"/>
      <c r="AH247" s="47"/>
      <c r="AI247" s="47"/>
    </row>
    <row r="248" customFormat="false" ht="15" hidden="false" customHeight="false" outlineLevel="0" collapsed="false">
      <c r="A248" s="38" t="str">
        <f aca="false">IF(B248="","",ROW()-4)</f>
        <v/>
      </c>
      <c r="B248" s="39"/>
      <c r="C248" s="38" t="str">
        <f aca="false">IF(B248="","",INT((B248-Settings!$B$4)/7)+1)</f>
        <v/>
      </c>
      <c r="D248" s="40"/>
      <c r="E248" s="40"/>
      <c r="F248" s="40"/>
      <c r="G248" s="40"/>
      <c r="H248" s="40"/>
      <c r="I248" s="40"/>
      <c r="J248" s="40"/>
      <c r="K248" s="40"/>
      <c r="L248" s="40"/>
      <c r="M248" s="38" t="str">
        <f aca="false">IF(B248="","",IF(COUNTIF(H248:L248,"Y")=5,"Yes","No"))</f>
        <v/>
      </c>
      <c r="N248" s="41"/>
      <c r="O248" s="42"/>
      <c r="P248" s="42"/>
      <c r="Q248" s="43" t="str">
        <f aca="false">IF(OR(O248="",P248=""),"",IF(F248="Long",O248+Settings!$B$7*(O248-P248),O248-Settings!$B$7*(P248-O248)))</f>
        <v/>
      </c>
      <c r="R248" s="42"/>
      <c r="S248" s="40"/>
      <c r="T248" s="44" t="str">
        <f aca="false">IF(OR(R248="",O248="",P248="",O248=P248),"",ROUND(IF(F248="Long",(R248-O248)/(O248-P248),(O248-R248)/(P248-O248)),2))</f>
        <v/>
      </c>
      <c r="U248" s="38" t="str">
        <f aca="false">IF(T248="","",IF(T248&gt;=Settings!$B$20,"Win",IF(T248&lt;=-Settings!$B$20,"Loss","BE")))</f>
        <v/>
      </c>
      <c r="V248" s="45" t="str">
        <f aca="false">IF(B248="","",Settings!$B$6)</f>
        <v/>
      </c>
      <c r="W248" s="46" t="str">
        <f aca="false">IF(B248="","",(Settings!$B$5+SUM(X$4:X247))*V248)</f>
        <v/>
      </c>
      <c r="X248" s="46" t="str">
        <f aca="false">IF(T248="","",ROUND(T248*W248,2))</f>
        <v/>
      </c>
      <c r="Y248" s="46" t="str">
        <f aca="false">IF(T248="","",Settings!$B$5+SUM(X$5:X248))</f>
        <v/>
      </c>
      <c r="Z248" s="43" t="str">
        <f aca="false">IF(T248="","",SUM(T$5:T248))</f>
        <v/>
      </c>
      <c r="AA248" s="43" t="str">
        <f aca="false">IF(T248="","",MAX(0,MAX(Z$5:Z248)))</f>
        <v/>
      </c>
      <c r="AB248" s="43" t="str">
        <f aca="false">IF(T248="","",Z248-AA248)</f>
        <v/>
      </c>
      <c r="AC248" s="38" t="str">
        <f aca="false">IF(U248="","",IF(U248="Loss",N(AC247)+1,0))</f>
        <v/>
      </c>
      <c r="AD248" s="40"/>
      <c r="AE248" s="38" t="str">
        <f aca="false">IF(B248="","",IF(AND(M248="Yes",OR(AD248="None",AD248="")),"Yes","No"))</f>
        <v/>
      </c>
      <c r="AF248" s="40"/>
      <c r="AG248" s="40"/>
      <c r="AH248" s="47"/>
      <c r="AI248" s="47"/>
    </row>
    <row r="249" customFormat="false" ht="15" hidden="false" customHeight="false" outlineLevel="0" collapsed="false">
      <c r="A249" s="38" t="str">
        <f aca="false">IF(B249="","",ROW()-4)</f>
        <v/>
      </c>
      <c r="B249" s="39"/>
      <c r="C249" s="38" t="str">
        <f aca="false">IF(B249="","",INT((B249-Settings!$B$4)/7)+1)</f>
        <v/>
      </c>
      <c r="D249" s="40"/>
      <c r="E249" s="40"/>
      <c r="F249" s="40"/>
      <c r="G249" s="40"/>
      <c r="H249" s="40"/>
      <c r="I249" s="40"/>
      <c r="J249" s="40"/>
      <c r="K249" s="40"/>
      <c r="L249" s="40"/>
      <c r="M249" s="38" t="str">
        <f aca="false">IF(B249="","",IF(COUNTIF(H249:L249,"Y")=5,"Yes","No"))</f>
        <v/>
      </c>
      <c r="N249" s="41"/>
      <c r="O249" s="42"/>
      <c r="P249" s="42"/>
      <c r="Q249" s="43" t="str">
        <f aca="false">IF(OR(O249="",P249=""),"",IF(F249="Long",O249+Settings!$B$7*(O249-P249),O249-Settings!$B$7*(P249-O249)))</f>
        <v/>
      </c>
      <c r="R249" s="42"/>
      <c r="S249" s="40"/>
      <c r="T249" s="44" t="str">
        <f aca="false">IF(OR(R249="",O249="",P249="",O249=P249),"",ROUND(IF(F249="Long",(R249-O249)/(O249-P249),(O249-R249)/(P249-O249)),2))</f>
        <v/>
      </c>
      <c r="U249" s="38" t="str">
        <f aca="false">IF(T249="","",IF(T249&gt;=Settings!$B$20,"Win",IF(T249&lt;=-Settings!$B$20,"Loss","BE")))</f>
        <v/>
      </c>
      <c r="V249" s="45" t="str">
        <f aca="false">IF(B249="","",Settings!$B$6)</f>
        <v/>
      </c>
      <c r="W249" s="46" t="str">
        <f aca="false">IF(B249="","",(Settings!$B$5+SUM(X$4:X248))*V249)</f>
        <v/>
      </c>
      <c r="X249" s="46" t="str">
        <f aca="false">IF(T249="","",ROUND(T249*W249,2))</f>
        <v/>
      </c>
      <c r="Y249" s="46" t="str">
        <f aca="false">IF(T249="","",Settings!$B$5+SUM(X$5:X249))</f>
        <v/>
      </c>
      <c r="Z249" s="43" t="str">
        <f aca="false">IF(T249="","",SUM(T$5:T249))</f>
        <v/>
      </c>
      <c r="AA249" s="43" t="str">
        <f aca="false">IF(T249="","",MAX(0,MAX(Z$5:Z249)))</f>
        <v/>
      </c>
      <c r="AB249" s="43" t="str">
        <f aca="false">IF(T249="","",Z249-AA249)</f>
        <v/>
      </c>
      <c r="AC249" s="38" t="str">
        <f aca="false">IF(U249="","",IF(U249="Loss",N(AC248)+1,0))</f>
        <v/>
      </c>
      <c r="AD249" s="40"/>
      <c r="AE249" s="38" t="str">
        <f aca="false">IF(B249="","",IF(AND(M249="Yes",OR(AD249="None",AD249="")),"Yes","No"))</f>
        <v/>
      </c>
      <c r="AF249" s="40"/>
      <c r="AG249" s="40"/>
      <c r="AH249" s="47"/>
      <c r="AI249" s="47"/>
    </row>
    <row r="250" customFormat="false" ht="15" hidden="false" customHeight="false" outlineLevel="0" collapsed="false">
      <c r="A250" s="38" t="str">
        <f aca="false">IF(B250="","",ROW()-4)</f>
        <v/>
      </c>
      <c r="B250" s="39"/>
      <c r="C250" s="38" t="str">
        <f aca="false">IF(B250="","",INT((B250-Settings!$B$4)/7)+1)</f>
        <v/>
      </c>
      <c r="D250" s="40"/>
      <c r="E250" s="40"/>
      <c r="F250" s="40"/>
      <c r="G250" s="40"/>
      <c r="H250" s="40"/>
      <c r="I250" s="40"/>
      <c r="J250" s="40"/>
      <c r="K250" s="40"/>
      <c r="L250" s="40"/>
      <c r="M250" s="38" t="str">
        <f aca="false">IF(B250="","",IF(COUNTIF(H250:L250,"Y")=5,"Yes","No"))</f>
        <v/>
      </c>
      <c r="N250" s="41"/>
      <c r="O250" s="42"/>
      <c r="P250" s="42"/>
      <c r="Q250" s="43" t="str">
        <f aca="false">IF(OR(O250="",P250=""),"",IF(F250="Long",O250+Settings!$B$7*(O250-P250),O250-Settings!$B$7*(P250-O250)))</f>
        <v/>
      </c>
      <c r="R250" s="42"/>
      <c r="S250" s="40"/>
      <c r="T250" s="44" t="str">
        <f aca="false">IF(OR(R250="",O250="",P250="",O250=P250),"",ROUND(IF(F250="Long",(R250-O250)/(O250-P250),(O250-R250)/(P250-O250)),2))</f>
        <v/>
      </c>
      <c r="U250" s="38" t="str">
        <f aca="false">IF(T250="","",IF(T250&gt;=Settings!$B$20,"Win",IF(T250&lt;=-Settings!$B$20,"Loss","BE")))</f>
        <v/>
      </c>
      <c r="V250" s="45" t="str">
        <f aca="false">IF(B250="","",Settings!$B$6)</f>
        <v/>
      </c>
      <c r="W250" s="46" t="str">
        <f aca="false">IF(B250="","",(Settings!$B$5+SUM(X$4:X249))*V250)</f>
        <v/>
      </c>
      <c r="X250" s="46" t="str">
        <f aca="false">IF(T250="","",ROUND(T250*W250,2))</f>
        <v/>
      </c>
      <c r="Y250" s="46" t="str">
        <f aca="false">IF(T250="","",Settings!$B$5+SUM(X$5:X250))</f>
        <v/>
      </c>
      <c r="Z250" s="43" t="str">
        <f aca="false">IF(T250="","",SUM(T$5:T250))</f>
        <v/>
      </c>
      <c r="AA250" s="43" t="str">
        <f aca="false">IF(T250="","",MAX(0,MAX(Z$5:Z250)))</f>
        <v/>
      </c>
      <c r="AB250" s="43" t="str">
        <f aca="false">IF(T250="","",Z250-AA250)</f>
        <v/>
      </c>
      <c r="AC250" s="38" t="str">
        <f aca="false">IF(U250="","",IF(U250="Loss",N(AC249)+1,0))</f>
        <v/>
      </c>
      <c r="AD250" s="40"/>
      <c r="AE250" s="38" t="str">
        <f aca="false">IF(B250="","",IF(AND(M250="Yes",OR(AD250="None",AD250="")),"Yes","No"))</f>
        <v/>
      </c>
      <c r="AF250" s="40"/>
      <c r="AG250" s="40"/>
      <c r="AH250" s="47"/>
      <c r="AI250" s="47"/>
    </row>
    <row r="251" customFormat="false" ht="15" hidden="false" customHeight="false" outlineLevel="0" collapsed="false">
      <c r="A251" s="38" t="str">
        <f aca="false">IF(B251="","",ROW()-4)</f>
        <v/>
      </c>
      <c r="B251" s="39"/>
      <c r="C251" s="38" t="str">
        <f aca="false">IF(B251="","",INT((B251-Settings!$B$4)/7)+1)</f>
        <v/>
      </c>
      <c r="D251" s="40"/>
      <c r="E251" s="40"/>
      <c r="F251" s="40"/>
      <c r="G251" s="40"/>
      <c r="H251" s="40"/>
      <c r="I251" s="40"/>
      <c r="J251" s="40"/>
      <c r="K251" s="40"/>
      <c r="L251" s="40"/>
      <c r="M251" s="38" t="str">
        <f aca="false">IF(B251="","",IF(COUNTIF(H251:L251,"Y")=5,"Yes","No"))</f>
        <v/>
      </c>
      <c r="N251" s="41"/>
      <c r="O251" s="42"/>
      <c r="P251" s="42"/>
      <c r="Q251" s="43" t="str">
        <f aca="false">IF(OR(O251="",P251=""),"",IF(F251="Long",O251+Settings!$B$7*(O251-P251),O251-Settings!$B$7*(P251-O251)))</f>
        <v/>
      </c>
      <c r="R251" s="42"/>
      <c r="S251" s="40"/>
      <c r="T251" s="44" t="str">
        <f aca="false">IF(OR(R251="",O251="",P251="",O251=P251),"",ROUND(IF(F251="Long",(R251-O251)/(O251-P251),(O251-R251)/(P251-O251)),2))</f>
        <v/>
      </c>
      <c r="U251" s="38" t="str">
        <f aca="false">IF(T251="","",IF(T251&gt;=Settings!$B$20,"Win",IF(T251&lt;=-Settings!$B$20,"Loss","BE")))</f>
        <v/>
      </c>
      <c r="V251" s="45" t="str">
        <f aca="false">IF(B251="","",Settings!$B$6)</f>
        <v/>
      </c>
      <c r="W251" s="46" t="str">
        <f aca="false">IF(B251="","",(Settings!$B$5+SUM(X$4:X250))*V251)</f>
        <v/>
      </c>
      <c r="X251" s="46" t="str">
        <f aca="false">IF(T251="","",ROUND(T251*W251,2))</f>
        <v/>
      </c>
      <c r="Y251" s="46" t="str">
        <f aca="false">IF(T251="","",Settings!$B$5+SUM(X$5:X251))</f>
        <v/>
      </c>
      <c r="Z251" s="43" t="str">
        <f aca="false">IF(T251="","",SUM(T$5:T251))</f>
        <v/>
      </c>
      <c r="AA251" s="43" t="str">
        <f aca="false">IF(T251="","",MAX(0,MAX(Z$5:Z251)))</f>
        <v/>
      </c>
      <c r="AB251" s="43" t="str">
        <f aca="false">IF(T251="","",Z251-AA251)</f>
        <v/>
      </c>
      <c r="AC251" s="38" t="str">
        <f aca="false">IF(U251="","",IF(U251="Loss",N(AC250)+1,0))</f>
        <v/>
      </c>
      <c r="AD251" s="40"/>
      <c r="AE251" s="38" t="str">
        <f aca="false">IF(B251="","",IF(AND(M251="Yes",OR(AD251="None",AD251="")),"Yes","No"))</f>
        <v/>
      </c>
      <c r="AF251" s="40"/>
      <c r="AG251" s="40"/>
      <c r="AH251" s="47"/>
      <c r="AI251" s="47"/>
    </row>
    <row r="252" customFormat="false" ht="15" hidden="false" customHeight="false" outlineLevel="0" collapsed="false">
      <c r="A252" s="38" t="str">
        <f aca="false">IF(B252="","",ROW()-4)</f>
        <v/>
      </c>
      <c r="B252" s="39"/>
      <c r="C252" s="38" t="str">
        <f aca="false">IF(B252="","",INT((B252-Settings!$B$4)/7)+1)</f>
        <v/>
      </c>
      <c r="D252" s="40"/>
      <c r="E252" s="40"/>
      <c r="F252" s="40"/>
      <c r="G252" s="40"/>
      <c r="H252" s="40"/>
      <c r="I252" s="40"/>
      <c r="J252" s="40"/>
      <c r="K252" s="40"/>
      <c r="L252" s="40"/>
      <c r="M252" s="38" t="str">
        <f aca="false">IF(B252="","",IF(COUNTIF(H252:L252,"Y")=5,"Yes","No"))</f>
        <v/>
      </c>
      <c r="N252" s="41"/>
      <c r="O252" s="42"/>
      <c r="P252" s="42"/>
      <c r="Q252" s="43" t="str">
        <f aca="false">IF(OR(O252="",P252=""),"",IF(F252="Long",O252+Settings!$B$7*(O252-P252),O252-Settings!$B$7*(P252-O252)))</f>
        <v/>
      </c>
      <c r="R252" s="42"/>
      <c r="S252" s="40"/>
      <c r="T252" s="44" t="str">
        <f aca="false">IF(OR(R252="",O252="",P252="",O252=P252),"",ROUND(IF(F252="Long",(R252-O252)/(O252-P252),(O252-R252)/(P252-O252)),2))</f>
        <v/>
      </c>
      <c r="U252" s="38" t="str">
        <f aca="false">IF(T252="","",IF(T252&gt;=Settings!$B$20,"Win",IF(T252&lt;=-Settings!$B$20,"Loss","BE")))</f>
        <v/>
      </c>
      <c r="V252" s="45" t="str">
        <f aca="false">IF(B252="","",Settings!$B$6)</f>
        <v/>
      </c>
      <c r="W252" s="46" t="str">
        <f aca="false">IF(B252="","",(Settings!$B$5+SUM(X$4:X251))*V252)</f>
        <v/>
      </c>
      <c r="X252" s="46" t="str">
        <f aca="false">IF(T252="","",ROUND(T252*W252,2))</f>
        <v/>
      </c>
      <c r="Y252" s="46" t="str">
        <f aca="false">IF(T252="","",Settings!$B$5+SUM(X$5:X252))</f>
        <v/>
      </c>
      <c r="Z252" s="43" t="str">
        <f aca="false">IF(T252="","",SUM(T$5:T252))</f>
        <v/>
      </c>
      <c r="AA252" s="43" t="str">
        <f aca="false">IF(T252="","",MAX(0,MAX(Z$5:Z252)))</f>
        <v/>
      </c>
      <c r="AB252" s="43" t="str">
        <f aca="false">IF(T252="","",Z252-AA252)</f>
        <v/>
      </c>
      <c r="AC252" s="38" t="str">
        <f aca="false">IF(U252="","",IF(U252="Loss",N(AC251)+1,0))</f>
        <v/>
      </c>
      <c r="AD252" s="40"/>
      <c r="AE252" s="38" t="str">
        <f aca="false">IF(B252="","",IF(AND(M252="Yes",OR(AD252="None",AD252="")),"Yes","No"))</f>
        <v/>
      </c>
      <c r="AF252" s="40"/>
      <c r="AG252" s="40"/>
      <c r="AH252" s="47"/>
      <c r="AI252" s="47"/>
    </row>
    <row r="253" customFormat="false" ht="15" hidden="false" customHeight="false" outlineLevel="0" collapsed="false">
      <c r="A253" s="38" t="str">
        <f aca="false">IF(B253="","",ROW()-4)</f>
        <v/>
      </c>
      <c r="B253" s="39"/>
      <c r="C253" s="38" t="str">
        <f aca="false">IF(B253="","",INT((B253-Settings!$B$4)/7)+1)</f>
        <v/>
      </c>
      <c r="D253" s="40"/>
      <c r="E253" s="40"/>
      <c r="F253" s="40"/>
      <c r="G253" s="40"/>
      <c r="H253" s="40"/>
      <c r="I253" s="40"/>
      <c r="J253" s="40"/>
      <c r="K253" s="40"/>
      <c r="L253" s="40"/>
      <c r="M253" s="38" t="str">
        <f aca="false">IF(B253="","",IF(COUNTIF(H253:L253,"Y")=5,"Yes","No"))</f>
        <v/>
      </c>
      <c r="N253" s="41"/>
      <c r="O253" s="42"/>
      <c r="P253" s="42"/>
      <c r="Q253" s="43" t="str">
        <f aca="false">IF(OR(O253="",P253=""),"",IF(F253="Long",O253+Settings!$B$7*(O253-P253),O253-Settings!$B$7*(P253-O253)))</f>
        <v/>
      </c>
      <c r="R253" s="42"/>
      <c r="S253" s="40"/>
      <c r="T253" s="44" t="str">
        <f aca="false">IF(OR(R253="",O253="",P253="",O253=P253),"",ROUND(IF(F253="Long",(R253-O253)/(O253-P253),(O253-R253)/(P253-O253)),2))</f>
        <v/>
      </c>
      <c r="U253" s="38" t="str">
        <f aca="false">IF(T253="","",IF(T253&gt;=Settings!$B$20,"Win",IF(T253&lt;=-Settings!$B$20,"Loss","BE")))</f>
        <v/>
      </c>
      <c r="V253" s="45" t="str">
        <f aca="false">IF(B253="","",Settings!$B$6)</f>
        <v/>
      </c>
      <c r="W253" s="46" t="str">
        <f aca="false">IF(B253="","",(Settings!$B$5+SUM(X$4:X252))*V253)</f>
        <v/>
      </c>
      <c r="X253" s="46" t="str">
        <f aca="false">IF(T253="","",ROUND(T253*W253,2))</f>
        <v/>
      </c>
      <c r="Y253" s="46" t="str">
        <f aca="false">IF(T253="","",Settings!$B$5+SUM(X$5:X253))</f>
        <v/>
      </c>
      <c r="Z253" s="43" t="str">
        <f aca="false">IF(T253="","",SUM(T$5:T253))</f>
        <v/>
      </c>
      <c r="AA253" s="43" t="str">
        <f aca="false">IF(T253="","",MAX(0,MAX(Z$5:Z253)))</f>
        <v/>
      </c>
      <c r="AB253" s="43" t="str">
        <f aca="false">IF(T253="","",Z253-AA253)</f>
        <v/>
      </c>
      <c r="AC253" s="38" t="str">
        <f aca="false">IF(U253="","",IF(U253="Loss",N(AC252)+1,0))</f>
        <v/>
      </c>
      <c r="AD253" s="40"/>
      <c r="AE253" s="38" t="str">
        <f aca="false">IF(B253="","",IF(AND(M253="Yes",OR(AD253="None",AD253="")),"Yes","No"))</f>
        <v/>
      </c>
      <c r="AF253" s="40"/>
      <c r="AG253" s="40"/>
      <c r="AH253" s="47"/>
      <c r="AI253" s="47"/>
    </row>
    <row r="254" customFormat="false" ht="15" hidden="false" customHeight="false" outlineLevel="0" collapsed="false">
      <c r="A254" s="38" t="str">
        <f aca="false">IF(B254="","",ROW()-4)</f>
        <v/>
      </c>
      <c r="B254" s="39"/>
      <c r="C254" s="38" t="str">
        <f aca="false">IF(B254="","",INT((B254-Settings!$B$4)/7)+1)</f>
        <v/>
      </c>
      <c r="D254" s="40"/>
      <c r="E254" s="40"/>
      <c r="F254" s="40"/>
      <c r="G254" s="40"/>
      <c r="H254" s="40"/>
      <c r="I254" s="40"/>
      <c r="J254" s="40"/>
      <c r="K254" s="40"/>
      <c r="L254" s="40"/>
      <c r="M254" s="38" t="str">
        <f aca="false">IF(B254="","",IF(COUNTIF(H254:L254,"Y")=5,"Yes","No"))</f>
        <v/>
      </c>
      <c r="N254" s="41"/>
      <c r="O254" s="42"/>
      <c r="P254" s="42"/>
      <c r="Q254" s="43" t="str">
        <f aca="false">IF(OR(O254="",P254=""),"",IF(F254="Long",O254+Settings!$B$7*(O254-P254),O254-Settings!$B$7*(P254-O254)))</f>
        <v/>
      </c>
      <c r="R254" s="42"/>
      <c r="S254" s="40"/>
      <c r="T254" s="44" t="str">
        <f aca="false">IF(OR(R254="",O254="",P254="",O254=P254),"",ROUND(IF(F254="Long",(R254-O254)/(O254-P254),(O254-R254)/(P254-O254)),2))</f>
        <v/>
      </c>
      <c r="U254" s="38" t="str">
        <f aca="false">IF(T254="","",IF(T254&gt;=Settings!$B$20,"Win",IF(T254&lt;=-Settings!$B$20,"Loss","BE")))</f>
        <v/>
      </c>
      <c r="V254" s="45" t="str">
        <f aca="false">IF(B254="","",Settings!$B$6)</f>
        <v/>
      </c>
      <c r="W254" s="46" t="str">
        <f aca="false">IF(B254="","",(Settings!$B$5+SUM(X$4:X253))*V254)</f>
        <v/>
      </c>
      <c r="X254" s="46" t="str">
        <f aca="false">IF(T254="","",ROUND(T254*W254,2))</f>
        <v/>
      </c>
      <c r="Y254" s="46" t="str">
        <f aca="false">IF(T254="","",Settings!$B$5+SUM(X$5:X254))</f>
        <v/>
      </c>
      <c r="Z254" s="43" t="str">
        <f aca="false">IF(T254="","",SUM(T$5:T254))</f>
        <v/>
      </c>
      <c r="AA254" s="43" t="str">
        <f aca="false">IF(T254="","",MAX(0,MAX(Z$5:Z254)))</f>
        <v/>
      </c>
      <c r="AB254" s="43" t="str">
        <f aca="false">IF(T254="","",Z254-AA254)</f>
        <v/>
      </c>
      <c r="AC254" s="38" t="str">
        <f aca="false">IF(U254="","",IF(U254="Loss",N(AC253)+1,0))</f>
        <v/>
      </c>
      <c r="AD254" s="40"/>
      <c r="AE254" s="38" t="str">
        <f aca="false">IF(B254="","",IF(AND(M254="Yes",OR(AD254="None",AD254="")),"Yes","No"))</f>
        <v/>
      </c>
      <c r="AF254" s="40"/>
      <c r="AG254" s="40"/>
      <c r="AH254" s="47"/>
      <c r="AI254" s="47"/>
    </row>
    <row r="255" customFormat="false" ht="15" hidden="false" customHeight="false" outlineLevel="0" collapsed="false">
      <c r="A255" s="38" t="str">
        <f aca="false">IF(B255="","",ROW()-4)</f>
        <v/>
      </c>
      <c r="B255" s="39"/>
      <c r="C255" s="38" t="str">
        <f aca="false">IF(B255="","",INT((B255-Settings!$B$4)/7)+1)</f>
        <v/>
      </c>
      <c r="D255" s="40"/>
      <c r="E255" s="40"/>
      <c r="F255" s="40"/>
      <c r="G255" s="40"/>
      <c r="H255" s="40"/>
      <c r="I255" s="40"/>
      <c r="J255" s="40"/>
      <c r="K255" s="40"/>
      <c r="L255" s="40"/>
      <c r="M255" s="38" t="str">
        <f aca="false">IF(B255="","",IF(COUNTIF(H255:L255,"Y")=5,"Yes","No"))</f>
        <v/>
      </c>
      <c r="N255" s="41"/>
      <c r="O255" s="42"/>
      <c r="P255" s="42"/>
      <c r="Q255" s="43" t="str">
        <f aca="false">IF(OR(O255="",P255=""),"",IF(F255="Long",O255+Settings!$B$7*(O255-P255),O255-Settings!$B$7*(P255-O255)))</f>
        <v/>
      </c>
      <c r="R255" s="42"/>
      <c r="S255" s="40"/>
      <c r="T255" s="44" t="str">
        <f aca="false">IF(OR(R255="",O255="",P255="",O255=P255),"",ROUND(IF(F255="Long",(R255-O255)/(O255-P255),(O255-R255)/(P255-O255)),2))</f>
        <v/>
      </c>
      <c r="U255" s="38" t="str">
        <f aca="false">IF(T255="","",IF(T255&gt;=Settings!$B$20,"Win",IF(T255&lt;=-Settings!$B$20,"Loss","BE")))</f>
        <v/>
      </c>
      <c r="V255" s="45" t="str">
        <f aca="false">IF(B255="","",Settings!$B$6)</f>
        <v/>
      </c>
      <c r="W255" s="46" t="str">
        <f aca="false">IF(B255="","",(Settings!$B$5+SUM(X$4:X254))*V255)</f>
        <v/>
      </c>
      <c r="X255" s="46" t="str">
        <f aca="false">IF(T255="","",ROUND(T255*W255,2))</f>
        <v/>
      </c>
      <c r="Y255" s="46" t="str">
        <f aca="false">IF(T255="","",Settings!$B$5+SUM(X$5:X255))</f>
        <v/>
      </c>
      <c r="Z255" s="43" t="str">
        <f aca="false">IF(T255="","",SUM(T$5:T255))</f>
        <v/>
      </c>
      <c r="AA255" s="43" t="str">
        <f aca="false">IF(T255="","",MAX(0,MAX(Z$5:Z255)))</f>
        <v/>
      </c>
      <c r="AB255" s="43" t="str">
        <f aca="false">IF(T255="","",Z255-AA255)</f>
        <v/>
      </c>
      <c r="AC255" s="38" t="str">
        <f aca="false">IF(U255="","",IF(U255="Loss",N(AC254)+1,0))</f>
        <v/>
      </c>
      <c r="AD255" s="40"/>
      <c r="AE255" s="38" t="str">
        <f aca="false">IF(B255="","",IF(AND(M255="Yes",OR(AD255="None",AD255="")),"Yes","No"))</f>
        <v/>
      </c>
      <c r="AF255" s="40"/>
      <c r="AG255" s="40"/>
      <c r="AH255" s="47"/>
      <c r="AI255" s="47"/>
    </row>
    <row r="256" customFormat="false" ht="15" hidden="false" customHeight="false" outlineLevel="0" collapsed="false">
      <c r="A256" s="38" t="str">
        <f aca="false">IF(B256="","",ROW()-4)</f>
        <v/>
      </c>
      <c r="B256" s="39"/>
      <c r="C256" s="38" t="str">
        <f aca="false">IF(B256="","",INT((B256-Settings!$B$4)/7)+1)</f>
        <v/>
      </c>
      <c r="D256" s="40"/>
      <c r="E256" s="40"/>
      <c r="F256" s="40"/>
      <c r="G256" s="40"/>
      <c r="H256" s="40"/>
      <c r="I256" s="40"/>
      <c r="J256" s="40"/>
      <c r="K256" s="40"/>
      <c r="L256" s="40"/>
      <c r="M256" s="38" t="str">
        <f aca="false">IF(B256="","",IF(COUNTIF(H256:L256,"Y")=5,"Yes","No"))</f>
        <v/>
      </c>
      <c r="N256" s="41"/>
      <c r="O256" s="42"/>
      <c r="P256" s="42"/>
      <c r="Q256" s="43" t="str">
        <f aca="false">IF(OR(O256="",P256=""),"",IF(F256="Long",O256+Settings!$B$7*(O256-P256),O256-Settings!$B$7*(P256-O256)))</f>
        <v/>
      </c>
      <c r="R256" s="42"/>
      <c r="S256" s="40"/>
      <c r="T256" s="44" t="str">
        <f aca="false">IF(OR(R256="",O256="",P256="",O256=P256),"",ROUND(IF(F256="Long",(R256-O256)/(O256-P256),(O256-R256)/(P256-O256)),2))</f>
        <v/>
      </c>
      <c r="U256" s="38" t="str">
        <f aca="false">IF(T256="","",IF(T256&gt;=Settings!$B$20,"Win",IF(T256&lt;=-Settings!$B$20,"Loss","BE")))</f>
        <v/>
      </c>
      <c r="V256" s="45" t="str">
        <f aca="false">IF(B256="","",Settings!$B$6)</f>
        <v/>
      </c>
      <c r="W256" s="46" t="str">
        <f aca="false">IF(B256="","",(Settings!$B$5+SUM(X$4:X255))*V256)</f>
        <v/>
      </c>
      <c r="X256" s="46" t="str">
        <f aca="false">IF(T256="","",ROUND(T256*W256,2))</f>
        <v/>
      </c>
      <c r="Y256" s="46" t="str">
        <f aca="false">IF(T256="","",Settings!$B$5+SUM(X$5:X256))</f>
        <v/>
      </c>
      <c r="Z256" s="43" t="str">
        <f aca="false">IF(T256="","",SUM(T$5:T256))</f>
        <v/>
      </c>
      <c r="AA256" s="43" t="str">
        <f aca="false">IF(T256="","",MAX(0,MAX(Z$5:Z256)))</f>
        <v/>
      </c>
      <c r="AB256" s="43" t="str">
        <f aca="false">IF(T256="","",Z256-AA256)</f>
        <v/>
      </c>
      <c r="AC256" s="38" t="str">
        <f aca="false">IF(U256="","",IF(U256="Loss",N(AC255)+1,0))</f>
        <v/>
      </c>
      <c r="AD256" s="40"/>
      <c r="AE256" s="38" t="str">
        <f aca="false">IF(B256="","",IF(AND(M256="Yes",OR(AD256="None",AD256="")),"Yes","No"))</f>
        <v/>
      </c>
      <c r="AF256" s="40"/>
      <c r="AG256" s="40"/>
      <c r="AH256" s="47"/>
      <c r="AI256" s="47"/>
    </row>
    <row r="257" customFormat="false" ht="15" hidden="false" customHeight="false" outlineLevel="0" collapsed="false">
      <c r="A257" s="38" t="str">
        <f aca="false">IF(B257="","",ROW()-4)</f>
        <v/>
      </c>
      <c r="B257" s="39"/>
      <c r="C257" s="38" t="str">
        <f aca="false">IF(B257="","",INT((B257-Settings!$B$4)/7)+1)</f>
        <v/>
      </c>
      <c r="D257" s="40"/>
      <c r="E257" s="40"/>
      <c r="F257" s="40"/>
      <c r="G257" s="40"/>
      <c r="H257" s="40"/>
      <c r="I257" s="40"/>
      <c r="J257" s="40"/>
      <c r="K257" s="40"/>
      <c r="L257" s="40"/>
      <c r="M257" s="38" t="str">
        <f aca="false">IF(B257="","",IF(COUNTIF(H257:L257,"Y")=5,"Yes","No"))</f>
        <v/>
      </c>
      <c r="N257" s="41"/>
      <c r="O257" s="42"/>
      <c r="P257" s="42"/>
      <c r="Q257" s="43" t="str">
        <f aca="false">IF(OR(O257="",P257=""),"",IF(F257="Long",O257+Settings!$B$7*(O257-P257),O257-Settings!$B$7*(P257-O257)))</f>
        <v/>
      </c>
      <c r="R257" s="42"/>
      <c r="S257" s="40"/>
      <c r="T257" s="44" t="str">
        <f aca="false">IF(OR(R257="",O257="",P257="",O257=P257),"",ROUND(IF(F257="Long",(R257-O257)/(O257-P257),(O257-R257)/(P257-O257)),2))</f>
        <v/>
      </c>
      <c r="U257" s="38" t="str">
        <f aca="false">IF(T257="","",IF(T257&gt;=Settings!$B$20,"Win",IF(T257&lt;=-Settings!$B$20,"Loss","BE")))</f>
        <v/>
      </c>
      <c r="V257" s="45" t="str">
        <f aca="false">IF(B257="","",Settings!$B$6)</f>
        <v/>
      </c>
      <c r="W257" s="46" t="str">
        <f aca="false">IF(B257="","",(Settings!$B$5+SUM(X$4:X256))*V257)</f>
        <v/>
      </c>
      <c r="X257" s="46" t="str">
        <f aca="false">IF(T257="","",ROUND(T257*W257,2))</f>
        <v/>
      </c>
      <c r="Y257" s="46" t="str">
        <f aca="false">IF(T257="","",Settings!$B$5+SUM(X$5:X257))</f>
        <v/>
      </c>
      <c r="Z257" s="43" t="str">
        <f aca="false">IF(T257="","",SUM(T$5:T257))</f>
        <v/>
      </c>
      <c r="AA257" s="43" t="str">
        <f aca="false">IF(T257="","",MAX(0,MAX(Z$5:Z257)))</f>
        <v/>
      </c>
      <c r="AB257" s="43" t="str">
        <f aca="false">IF(T257="","",Z257-AA257)</f>
        <v/>
      </c>
      <c r="AC257" s="38" t="str">
        <f aca="false">IF(U257="","",IF(U257="Loss",N(AC256)+1,0))</f>
        <v/>
      </c>
      <c r="AD257" s="40"/>
      <c r="AE257" s="38" t="str">
        <f aca="false">IF(B257="","",IF(AND(M257="Yes",OR(AD257="None",AD257="")),"Yes","No"))</f>
        <v/>
      </c>
      <c r="AF257" s="40"/>
      <c r="AG257" s="40"/>
      <c r="AH257" s="47"/>
      <c r="AI257" s="47"/>
    </row>
    <row r="258" customFormat="false" ht="15" hidden="false" customHeight="false" outlineLevel="0" collapsed="false">
      <c r="A258" s="38" t="str">
        <f aca="false">IF(B258="","",ROW()-4)</f>
        <v/>
      </c>
      <c r="B258" s="39"/>
      <c r="C258" s="38" t="str">
        <f aca="false">IF(B258="","",INT((B258-Settings!$B$4)/7)+1)</f>
        <v/>
      </c>
      <c r="D258" s="40"/>
      <c r="E258" s="40"/>
      <c r="F258" s="40"/>
      <c r="G258" s="40"/>
      <c r="H258" s="40"/>
      <c r="I258" s="40"/>
      <c r="J258" s="40"/>
      <c r="K258" s="40"/>
      <c r="L258" s="40"/>
      <c r="M258" s="38" t="str">
        <f aca="false">IF(B258="","",IF(COUNTIF(H258:L258,"Y")=5,"Yes","No"))</f>
        <v/>
      </c>
      <c r="N258" s="41"/>
      <c r="O258" s="42"/>
      <c r="P258" s="42"/>
      <c r="Q258" s="43" t="str">
        <f aca="false">IF(OR(O258="",P258=""),"",IF(F258="Long",O258+Settings!$B$7*(O258-P258),O258-Settings!$B$7*(P258-O258)))</f>
        <v/>
      </c>
      <c r="R258" s="42"/>
      <c r="S258" s="40"/>
      <c r="T258" s="44" t="str">
        <f aca="false">IF(OR(R258="",O258="",P258="",O258=P258),"",ROUND(IF(F258="Long",(R258-O258)/(O258-P258),(O258-R258)/(P258-O258)),2))</f>
        <v/>
      </c>
      <c r="U258" s="38" t="str">
        <f aca="false">IF(T258="","",IF(T258&gt;=Settings!$B$20,"Win",IF(T258&lt;=-Settings!$B$20,"Loss","BE")))</f>
        <v/>
      </c>
      <c r="V258" s="45" t="str">
        <f aca="false">IF(B258="","",Settings!$B$6)</f>
        <v/>
      </c>
      <c r="W258" s="46" t="str">
        <f aca="false">IF(B258="","",(Settings!$B$5+SUM(X$4:X257))*V258)</f>
        <v/>
      </c>
      <c r="X258" s="46" t="str">
        <f aca="false">IF(T258="","",ROUND(T258*W258,2))</f>
        <v/>
      </c>
      <c r="Y258" s="46" t="str">
        <f aca="false">IF(T258="","",Settings!$B$5+SUM(X$5:X258))</f>
        <v/>
      </c>
      <c r="Z258" s="43" t="str">
        <f aca="false">IF(T258="","",SUM(T$5:T258))</f>
        <v/>
      </c>
      <c r="AA258" s="43" t="str">
        <f aca="false">IF(T258="","",MAX(0,MAX(Z$5:Z258)))</f>
        <v/>
      </c>
      <c r="AB258" s="43" t="str">
        <f aca="false">IF(T258="","",Z258-AA258)</f>
        <v/>
      </c>
      <c r="AC258" s="38" t="str">
        <f aca="false">IF(U258="","",IF(U258="Loss",N(AC257)+1,0))</f>
        <v/>
      </c>
      <c r="AD258" s="40"/>
      <c r="AE258" s="38" t="str">
        <f aca="false">IF(B258="","",IF(AND(M258="Yes",OR(AD258="None",AD258="")),"Yes","No"))</f>
        <v/>
      </c>
      <c r="AF258" s="40"/>
      <c r="AG258" s="40"/>
      <c r="AH258" s="47"/>
      <c r="AI258" s="47"/>
    </row>
    <row r="259" customFormat="false" ht="15" hidden="false" customHeight="false" outlineLevel="0" collapsed="false">
      <c r="A259" s="38" t="str">
        <f aca="false">IF(B259="","",ROW()-4)</f>
        <v/>
      </c>
      <c r="B259" s="39"/>
      <c r="C259" s="38" t="str">
        <f aca="false">IF(B259="","",INT((B259-Settings!$B$4)/7)+1)</f>
        <v/>
      </c>
      <c r="D259" s="40"/>
      <c r="E259" s="40"/>
      <c r="F259" s="40"/>
      <c r="G259" s="40"/>
      <c r="H259" s="40"/>
      <c r="I259" s="40"/>
      <c r="J259" s="40"/>
      <c r="K259" s="40"/>
      <c r="L259" s="40"/>
      <c r="M259" s="38" t="str">
        <f aca="false">IF(B259="","",IF(COUNTIF(H259:L259,"Y")=5,"Yes","No"))</f>
        <v/>
      </c>
      <c r="N259" s="41"/>
      <c r="O259" s="42"/>
      <c r="P259" s="42"/>
      <c r="Q259" s="43" t="str">
        <f aca="false">IF(OR(O259="",P259=""),"",IF(F259="Long",O259+Settings!$B$7*(O259-P259),O259-Settings!$B$7*(P259-O259)))</f>
        <v/>
      </c>
      <c r="R259" s="42"/>
      <c r="S259" s="40"/>
      <c r="T259" s="44" t="str">
        <f aca="false">IF(OR(R259="",O259="",P259="",O259=P259),"",ROUND(IF(F259="Long",(R259-O259)/(O259-P259),(O259-R259)/(P259-O259)),2))</f>
        <v/>
      </c>
      <c r="U259" s="38" t="str">
        <f aca="false">IF(T259="","",IF(T259&gt;=Settings!$B$20,"Win",IF(T259&lt;=-Settings!$B$20,"Loss","BE")))</f>
        <v/>
      </c>
      <c r="V259" s="45" t="str">
        <f aca="false">IF(B259="","",Settings!$B$6)</f>
        <v/>
      </c>
      <c r="W259" s="46" t="str">
        <f aca="false">IF(B259="","",(Settings!$B$5+SUM(X$4:X258))*V259)</f>
        <v/>
      </c>
      <c r="X259" s="46" t="str">
        <f aca="false">IF(T259="","",ROUND(T259*W259,2))</f>
        <v/>
      </c>
      <c r="Y259" s="46" t="str">
        <f aca="false">IF(T259="","",Settings!$B$5+SUM(X$5:X259))</f>
        <v/>
      </c>
      <c r="Z259" s="43" t="str">
        <f aca="false">IF(T259="","",SUM(T$5:T259))</f>
        <v/>
      </c>
      <c r="AA259" s="43" t="str">
        <f aca="false">IF(T259="","",MAX(0,MAX(Z$5:Z259)))</f>
        <v/>
      </c>
      <c r="AB259" s="43" t="str">
        <f aca="false">IF(T259="","",Z259-AA259)</f>
        <v/>
      </c>
      <c r="AC259" s="38" t="str">
        <f aca="false">IF(U259="","",IF(U259="Loss",N(AC258)+1,0))</f>
        <v/>
      </c>
      <c r="AD259" s="40"/>
      <c r="AE259" s="38" t="str">
        <f aca="false">IF(B259="","",IF(AND(M259="Yes",OR(AD259="None",AD259="")),"Yes","No"))</f>
        <v/>
      </c>
      <c r="AF259" s="40"/>
      <c r="AG259" s="40"/>
      <c r="AH259" s="47"/>
      <c r="AI259" s="47"/>
    </row>
    <row r="260" customFormat="false" ht="15" hidden="false" customHeight="false" outlineLevel="0" collapsed="false">
      <c r="A260" s="38" t="str">
        <f aca="false">IF(B260="","",ROW()-4)</f>
        <v/>
      </c>
      <c r="B260" s="39"/>
      <c r="C260" s="38" t="str">
        <f aca="false">IF(B260="","",INT((B260-Settings!$B$4)/7)+1)</f>
        <v/>
      </c>
      <c r="D260" s="40"/>
      <c r="E260" s="40"/>
      <c r="F260" s="40"/>
      <c r="G260" s="40"/>
      <c r="H260" s="40"/>
      <c r="I260" s="40"/>
      <c r="J260" s="40"/>
      <c r="K260" s="40"/>
      <c r="L260" s="40"/>
      <c r="M260" s="38" t="str">
        <f aca="false">IF(B260="","",IF(COUNTIF(H260:L260,"Y")=5,"Yes","No"))</f>
        <v/>
      </c>
      <c r="N260" s="41"/>
      <c r="O260" s="42"/>
      <c r="P260" s="42"/>
      <c r="Q260" s="43" t="str">
        <f aca="false">IF(OR(O260="",P260=""),"",IF(F260="Long",O260+Settings!$B$7*(O260-P260),O260-Settings!$B$7*(P260-O260)))</f>
        <v/>
      </c>
      <c r="R260" s="42"/>
      <c r="S260" s="40"/>
      <c r="T260" s="44" t="str">
        <f aca="false">IF(OR(R260="",O260="",P260="",O260=P260),"",ROUND(IF(F260="Long",(R260-O260)/(O260-P260),(O260-R260)/(P260-O260)),2))</f>
        <v/>
      </c>
      <c r="U260" s="38" t="str">
        <f aca="false">IF(T260="","",IF(T260&gt;=Settings!$B$20,"Win",IF(T260&lt;=-Settings!$B$20,"Loss","BE")))</f>
        <v/>
      </c>
      <c r="V260" s="45" t="str">
        <f aca="false">IF(B260="","",Settings!$B$6)</f>
        <v/>
      </c>
      <c r="W260" s="46" t="str">
        <f aca="false">IF(B260="","",(Settings!$B$5+SUM(X$4:X259))*V260)</f>
        <v/>
      </c>
      <c r="X260" s="46" t="str">
        <f aca="false">IF(T260="","",ROUND(T260*W260,2))</f>
        <v/>
      </c>
      <c r="Y260" s="46" t="str">
        <f aca="false">IF(T260="","",Settings!$B$5+SUM(X$5:X260))</f>
        <v/>
      </c>
      <c r="Z260" s="43" t="str">
        <f aca="false">IF(T260="","",SUM(T$5:T260))</f>
        <v/>
      </c>
      <c r="AA260" s="43" t="str">
        <f aca="false">IF(T260="","",MAX(0,MAX(Z$5:Z260)))</f>
        <v/>
      </c>
      <c r="AB260" s="43" t="str">
        <f aca="false">IF(T260="","",Z260-AA260)</f>
        <v/>
      </c>
      <c r="AC260" s="38" t="str">
        <f aca="false">IF(U260="","",IF(U260="Loss",N(AC259)+1,0))</f>
        <v/>
      </c>
      <c r="AD260" s="40"/>
      <c r="AE260" s="38" t="str">
        <f aca="false">IF(B260="","",IF(AND(M260="Yes",OR(AD260="None",AD260="")),"Yes","No"))</f>
        <v/>
      </c>
      <c r="AF260" s="40"/>
      <c r="AG260" s="40"/>
      <c r="AH260" s="47"/>
      <c r="AI260" s="47"/>
    </row>
    <row r="261" customFormat="false" ht="15" hidden="false" customHeight="false" outlineLevel="0" collapsed="false">
      <c r="A261" s="38" t="str">
        <f aca="false">IF(B261="","",ROW()-4)</f>
        <v/>
      </c>
      <c r="B261" s="39"/>
      <c r="C261" s="38" t="str">
        <f aca="false">IF(B261="","",INT((B261-Settings!$B$4)/7)+1)</f>
        <v/>
      </c>
      <c r="D261" s="40"/>
      <c r="E261" s="40"/>
      <c r="F261" s="40"/>
      <c r="G261" s="40"/>
      <c r="H261" s="40"/>
      <c r="I261" s="40"/>
      <c r="J261" s="40"/>
      <c r="K261" s="40"/>
      <c r="L261" s="40"/>
      <c r="M261" s="38" t="str">
        <f aca="false">IF(B261="","",IF(COUNTIF(H261:L261,"Y")=5,"Yes","No"))</f>
        <v/>
      </c>
      <c r="N261" s="41"/>
      <c r="O261" s="42"/>
      <c r="P261" s="42"/>
      <c r="Q261" s="43" t="str">
        <f aca="false">IF(OR(O261="",P261=""),"",IF(F261="Long",O261+Settings!$B$7*(O261-P261),O261-Settings!$B$7*(P261-O261)))</f>
        <v/>
      </c>
      <c r="R261" s="42"/>
      <c r="S261" s="40"/>
      <c r="T261" s="44" t="str">
        <f aca="false">IF(OR(R261="",O261="",P261="",O261=P261),"",ROUND(IF(F261="Long",(R261-O261)/(O261-P261),(O261-R261)/(P261-O261)),2))</f>
        <v/>
      </c>
      <c r="U261" s="38" t="str">
        <f aca="false">IF(T261="","",IF(T261&gt;=Settings!$B$20,"Win",IF(T261&lt;=-Settings!$B$20,"Loss","BE")))</f>
        <v/>
      </c>
      <c r="V261" s="45" t="str">
        <f aca="false">IF(B261="","",Settings!$B$6)</f>
        <v/>
      </c>
      <c r="W261" s="46" t="str">
        <f aca="false">IF(B261="","",(Settings!$B$5+SUM(X$4:X260))*V261)</f>
        <v/>
      </c>
      <c r="X261" s="46" t="str">
        <f aca="false">IF(T261="","",ROUND(T261*W261,2))</f>
        <v/>
      </c>
      <c r="Y261" s="46" t="str">
        <f aca="false">IF(T261="","",Settings!$B$5+SUM(X$5:X261))</f>
        <v/>
      </c>
      <c r="Z261" s="43" t="str">
        <f aca="false">IF(T261="","",SUM(T$5:T261))</f>
        <v/>
      </c>
      <c r="AA261" s="43" t="str">
        <f aca="false">IF(T261="","",MAX(0,MAX(Z$5:Z261)))</f>
        <v/>
      </c>
      <c r="AB261" s="43" t="str">
        <f aca="false">IF(T261="","",Z261-AA261)</f>
        <v/>
      </c>
      <c r="AC261" s="38" t="str">
        <f aca="false">IF(U261="","",IF(U261="Loss",N(AC260)+1,0))</f>
        <v/>
      </c>
      <c r="AD261" s="40"/>
      <c r="AE261" s="38" t="str">
        <f aca="false">IF(B261="","",IF(AND(M261="Yes",OR(AD261="None",AD261="")),"Yes","No"))</f>
        <v/>
      </c>
      <c r="AF261" s="40"/>
      <c r="AG261" s="40"/>
      <c r="AH261" s="47"/>
      <c r="AI261" s="47"/>
    </row>
    <row r="262" customFormat="false" ht="15" hidden="false" customHeight="false" outlineLevel="0" collapsed="false">
      <c r="A262" s="38" t="str">
        <f aca="false">IF(B262="","",ROW()-4)</f>
        <v/>
      </c>
      <c r="B262" s="39"/>
      <c r="C262" s="38" t="str">
        <f aca="false">IF(B262="","",INT((B262-Settings!$B$4)/7)+1)</f>
        <v/>
      </c>
      <c r="D262" s="40"/>
      <c r="E262" s="40"/>
      <c r="F262" s="40"/>
      <c r="G262" s="40"/>
      <c r="H262" s="40"/>
      <c r="I262" s="40"/>
      <c r="J262" s="40"/>
      <c r="K262" s="40"/>
      <c r="L262" s="40"/>
      <c r="M262" s="38" t="str">
        <f aca="false">IF(B262="","",IF(COUNTIF(H262:L262,"Y")=5,"Yes","No"))</f>
        <v/>
      </c>
      <c r="N262" s="41"/>
      <c r="O262" s="42"/>
      <c r="P262" s="42"/>
      <c r="Q262" s="43" t="str">
        <f aca="false">IF(OR(O262="",P262=""),"",IF(F262="Long",O262+Settings!$B$7*(O262-P262),O262-Settings!$B$7*(P262-O262)))</f>
        <v/>
      </c>
      <c r="R262" s="42"/>
      <c r="S262" s="40"/>
      <c r="T262" s="44" t="str">
        <f aca="false">IF(OR(R262="",O262="",P262="",O262=P262),"",ROUND(IF(F262="Long",(R262-O262)/(O262-P262),(O262-R262)/(P262-O262)),2))</f>
        <v/>
      </c>
      <c r="U262" s="38" t="str">
        <f aca="false">IF(T262="","",IF(T262&gt;=Settings!$B$20,"Win",IF(T262&lt;=-Settings!$B$20,"Loss","BE")))</f>
        <v/>
      </c>
      <c r="V262" s="45" t="str">
        <f aca="false">IF(B262="","",Settings!$B$6)</f>
        <v/>
      </c>
      <c r="W262" s="46" t="str">
        <f aca="false">IF(B262="","",(Settings!$B$5+SUM(X$4:X261))*V262)</f>
        <v/>
      </c>
      <c r="X262" s="46" t="str">
        <f aca="false">IF(T262="","",ROUND(T262*W262,2))</f>
        <v/>
      </c>
      <c r="Y262" s="46" t="str">
        <f aca="false">IF(T262="","",Settings!$B$5+SUM(X$5:X262))</f>
        <v/>
      </c>
      <c r="Z262" s="43" t="str">
        <f aca="false">IF(T262="","",SUM(T$5:T262))</f>
        <v/>
      </c>
      <c r="AA262" s="43" t="str">
        <f aca="false">IF(T262="","",MAX(0,MAX(Z$5:Z262)))</f>
        <v/>
      </c>
      <c r="AB262" s="43" t="str">
        <f aca="false">IF(T262="","",Z262-AA262)</f>
        <v/>
      </c>
      <c r="AC262" s="38" t="str">
        <f aca="false">IF(U262="","",IF(U262="Loss",N(AC261)+1,0))</f>
        <v/>
      </c>
      <c r="AD262" s="40"/>
      <c r="AE262" s="38" t="str">
        <f aca="false">IF(B262="","",IF(AND(M262="Yes",OR(AD262="None",AD262="")),"Yes","No"))</f>
        <v/>
      </c>
      <c r="AF262" s="40"/>
      <c r="AG262" s="40"/>
      <c r="AH262" s="47"/>
      <c r="AI262" s="47"/>
    </row>
    <row r="263" customFormat="false" ht="15" hidden="false" customHeight="false" outlineLevel="0" collapsed="false">
      <c r="A263" s="38" t="str">
        <f aca="false">IF(B263="","",ROW()-4)</f>
        <v/>
      </c>
      <c r="B263" s="39"/>
      <c r="C263" s="38" t="str">
        <f aca="false">IF(B263="","",INT((B263-Settings!$B$4)/7)+1)</f>
        <v/>
      </c>
      <c r="D263" s="40"/>
      <c r="E263" s="40"/>
      <c r="F263" s="40"/>
      <c r="G263" s="40"/>
      <c r="H263" s="40"/>
      <c r="I263" s="40"/>
      <c r="J263" s="40"/>
      <c r="K263" s="40"/>
      <c r="L263" s="40"/>
      <c r="M263" s="38" t="str">
        <f aca="false">IF(B263="","",IF(COUNTIF(H263:L263,"Y")=5,"Yes","No"))</f>
        <v/>
      </c>
      <c r="N263" s="41"/>
      <c r="O263" s="42"/>
      <c r="P263" s="42"/>
      <c r="Q263" s="43" t="str">
        <f aca="false">IF(OR(O263="",P263=""),"",IF(F263="Long",O263+Settings!$B$7*(O263-P263),O263-Settings!$B$7*(P263-O263)))</f>
        <v/>
      </c>
      <c r="R263" s="42"/>
      <c r="S263" s="40"/>
      <c r="T263" s="44" t="str">
        <f aca="false">IF(OR(R263="",O263="",P263="",O263=P263),"",ROUND(IF(F263="Long",(R263-O263)/(O263-P263),(O263-R263)/(P263-O263)),2))</f>
        <v/>
      </c>
      <c r="U263" s="38" t="str">
        <f aca="false">IF(T263="","",IF(T263&gt;=Settings!$B$20,"Win",IF(T263&lt;=-Settings!$B$20,"Loss","BE")))</f>
        <v/>
      </c>
      <c r="V263" s="45" t="str">
        <f aca="false">IF(B263="","",Settings!$B$6)</f>
        <v/>
      </c>
      <c r="W263" s="46" t="str">
        <f aca="false">IF(B263="","",(Settings!$B$5+SUM(X$4:X262))*V263)</f>
        <v/>
      </c>
      <c r="X263" s="46" t="str">
        <f aca="false">IF(T263="","",ROUND(T263*W263,2))</f>
        <v/>
      </c>
      <c r="Y263" s="46" t="str">
        <f aca="false">IF(T263="","",Settings!$B$5+SUM(X$5:X263))</f>
        <v/>
      </c>
      <c r="Z263" s="43" t="str">
        <f aca="false">IF(T263="","",SUM(T$5:T263))</f>
        <v/>
      </c>
      <c r="AA263" s="43" t="str">
        <f aca="false">IF(T263="","",MAX(0,MAX(Z$5:Z263)))</f>
        <v/>
      </c>
      <c r="AB263" s="43" t="str">
        <f aca="false">IF(T263="","",Z263-AA263)</f>
        <v/>
      </c>
      <c r="AC263" s="38" t="str">
        <f aca="false">IF(U263="","",IF(U263="Loss",N(AC262)+1,0))</f>
        <v/>
      </c>
      <c r="AD263" s="40"/>
      <c r="AE263" s="38" t="str">
        <f aca="false">IF(B263="","",IF(AND(M263="Yes",OR(AD263="None",AD263="")),"Yes","No"))</f>
        <v/>
      </c>
      <c r="AF263" s="40"/>
      <c r="AG263" s="40"/>
      <c r="AH263" s="47"/>
      <c r="AI263" s="47"/>
    </row>
    <row r="264" customFormat="false" ht="15" hidden="false" customHeight="false" outlineLevel="0" collapsed="false">
      <c r="A264" s="38" t="str">
        <f aca="false">IF(B264="","",ROW()-4)</f>
        <v/>
      </c>
      <c r="B264" s="39"/>
      <c r="C264" s="38" t="str">
        <f aca="false">IF(B264="","",INT((B264-Settings!$B$4)/7)+1)</f>
        <v/>
      </c>
      <c r="D264" s="40"/>
      <c r="E264" s="40"/>
      <c r="F264" s="40"/>
      <c r="G264" s="40"/>
      <c r="H264" s="40"/>
      <c r="I264" s="40"/>
      <c r="J264" s="40"/>
      <c r="K264" s="40"/>
      <c r="L264" s="40"/>
      <c r="M264" s="38" t="str">
        <f aca="false">IF(B264="","",IF(COUNTIF(H264:L264,"Y")=5,"Yes","No"))</f>
        <v/>
      </c>
      <c r="N264" s="41"/>
      <c r="O264" s="42"/>
      <c r="P264" s="42"/>
      <c r="Q264" s="43" t="str">
        <f aca="false">IF(OR(O264="",P264=""),"",IF(F264="Long",O264+Settings!$B$7*(O264-P264),O264-Settings!$B$7*(P264-O264)))</f>
        <v/>
      </c>
      <c r="R264" s="42"/>
      <c r="S264" s="40"/>
      <c r="T264" s="44" t="str">
        <f aca="false">IF(OR(R264="",O264="",P264="",O264=P264),"",ROUND(IF(F264="Long",(R264-O264)/(O264-P264),(O264-R264)/(P264-O264)),2))</f>
        <v/>
      </c>
      <c r="U264" s="38" t="str">
        <f aca="false">IF(T264="","",IF(T264&gt;=Settings!$B$20,"Win",IF(T264&lt;=-Settings!$B$20,"Loss","BE")))</f>
        <v/>
      </c>
      <c r="V264" s="45" t="str">
        <f aca="false">IF(B264="","",Settings!$B$6)</f>
        <v/>
      </c>
      <c r="W264" s="46" t="str">
        <f aca="false">IF(B264="","",(Settings!$B$5+SUM(X$4:X263))*V264)</f>
        <v/>
      </c>
      <c r="X264" s="46" t="str">
        <f aca="false">IF(T264="","",ROUND(T264*W264,2))</f>
        <v/>
      </c>
      <c r="Y264" s="46" t="str">
        <f aca="false">IF(T264="","",Settings!$B$5+SUM(X$5:X264))</f>
        <v/>
      </c>
      <c r="Z264" s="43" t="str">
        <f aca="false">IF(T264="","",SUM(T$5:T264))</f>
        <v/>
      </c>
      <c r="AA264" s="43" t="str">
        <f aca="false">IF(T264="","",MAX(0,MAX(Z$5:Z264)))</f>
        <v/>
      </c>
      <c r="AB264" s="43" t="str">
        <f aca="false">IF(T264="","",Z264-AA264)</f>
        <v/>
      </c>
      <c r="AC264" s="38" t="str">
        <f aca="false">IF(U264="","",IF(U264="Loss",N(AC263)+1,0))</f>
        <v/>
      </c>
      <c r="AD264" s="40"/>
      <c r="AE264" s="38" t="str">
        <f aca="false">IF(B264="","",IF(AND(M264="Yes",OR(AD264="None",AD264="")),"Yes","No"))</f>
        <v/>
      </c>
      <c r="AF264" s="40"/>
      <c r="AG264" s="40"/>
      <c r="AH264" s="47"/>
      <c r="AI264" s="47"/>
    </row>
    <row r="265" customFormat="false" ht="15" hidden="false" customHeight="false" outlineLevel="0" collapsed="false">
      <c r="A265" s="38" t="str">
        <f aca="false">IF(B265="","",ROW()-4)</f>
        <v/>
      </c>
      <c r="B265" s="39"/>
      <c r="C265" s="38" t="str">
        <f aca="false">IF(B265="","",INT((B265-Settings!$B$4)/7)+1)</f>
        <v/>
      </c>
      <c r="D265" s="40"/>
      <c r="E265" s="40"/>
      <c r="F265" s="40"/>
      <c r="G265" s="40"/>
      <c r="H265" s="40"/>
      <c r="I265" s="40"/>
      <c r="J265" s="40"/>
      <c r="K265" s="40"/>
      <c r="L265" s="40"/>
      <c r="M265" s="38" t="str">
        <f aca="false">IF(B265="","",IF(COUNTIF(H265:L265,"Y")=5,"Yes","No"))</f>
        <v/>
      </c>
      <c r="N265" s="41"/>
      <c r="O265" s="42"/>
      <c r="P265" s="42"/>
      <c r="Q265" s="43" t="str">
        <f aca="false">IF(OR(O265="",P265=""),"",IF(F265="Long",O265+Settings!$B$7*(O265-P265),O265-Settings!$B$7*(P265-O265)))</f>
        <v/>
      </c>
      <c r="R265" s="42"/>
      <c r="S265" s="40"/>
      <c r="T265" s="44" t="str">
        <f aca="false">IF(OR(R265="",O265="",P265="",O265=P265),"",ROUND(IF(F265="Long",(R265-O265)/(O265-P265),(O265-R265)/(P265-O265)),2))</f>
        <v/>
      </c>
      <c r="U265" s="38" t="str">
        <f aca="false">IF(T265="","",IF(T265&gt;=Settings!$B$20,"Win",IF(T265&lt;=-Settings!$B$20,"Loss","BE")))</f>
        <v/>
      </c>
      <c r="V265" s="45" t="str">
        <f aca="false">IF(B265="","",Settings!$B$6)</f>
        <v/>
      </c>
      <c r="W265" s="46" t="str">
        <f aca="false">IF(B265="","",(Settings!$B$5+SUM(X$4:X264))*V265)</f>
        <v/>
      </c>
      <c r="X265" s="46" t="str">
        <f aca="false">IF(T265="","",ROUND(T265*W265,2))</f>
        <v/>
      </c>
      <c r="Y265" s="46" t="str">
        <f aca="false">IF(T265="","",Settings!$B$5+SUM(X$5:X265))</f>
        <v/>
      </c>
      <c r="Z265" s="43" t="str">
        <f aca="false">IF(T265="","",SUM(T$5:T265))</f>
        <v/>
      </c>
      <c r="AA265" s="43" t="str">
        <f aca="false">IF(T265="","",MAX(0,MAX(Z$5:Z265)))</f>
        <v/>
      </c>
      <c r="AB265" s="43" t="str">
        <f aca="false">IF(T265="","",Z265-AA265)</f>
        <v/>
      </c>
      <c r="AC265" s="38" t="str">
        <f aca="false">IF(U265="","",IF(U265="Loss",N(AC264)+1,0))</f>
        <v/>
      </c>
      <c r="AD265" s="40"/>
      <c r="AE265" s="38" t="str">
        <f aca="false">IF(B265="","",IF(AND(M265="Yes",OR(AD265="None",AD265="")),"Yes","No"))</f>
        <v/>
      </c>
      <c r="AF265" s="40"/>
      <c r="AG265" s="40"/>
      <c r="AH265" s="47"/>
      <c r="AI265" s="47"/>
    </row>
    <row r="266" customFormat="false" ht="15" hidden="false" customHeight="false" outlineLevel="0" collapsed="false">
      <c r="A266" s="38" t="str">
        <f aca="false">IF(B266="","",ROW()-4)</f>
        <v/>
      </c>
      <c r="B266" s="39"/>
      <c r="C266" s="38" t="str">
        <f aca="false">IF(B266="","",INT((B266-Settings!$B$4)/7)+1)</f>
        <v/>
      </c>
      <c r="D266" s="40"/>
      <c r="E266" s="40"/>
      <c r="F266" s="40"/>
      <c r="G266" s="40"/>
      <c r="H266" s="40"/>
      <c r="I266" s="40"/>
      <c r="J266" s="40"/>
      <c r="K266" s="40"/>
      <c r="L266" s="40"/>
      <c r="M266" s="38" t="str">
        <f aca="false">IF(B266="","",IF(COUNTIF(H266:L266,"Y")=5,"Yes","No"))</f>
        <v/>
      </c>
      <c r="N266" s="41"/>
      <c r="O266" s="42"/>
      <c r="P266" s="42"/>
      <c r="Q266" s="43" t="str">
        <f aca="false">IF(OR(O266="",P266=""),"",IF(F266="Long",O266+Settings!$B$7*(O266-P266),O266-Settings!$B$7*(P266-O266)))</f>
        <v/>
      </c>
      <c r="R266" s="42"/>
      <c r="S266" s="40"/>
      <c r="T266" s="44" t="str">
        <f aca="false">IF(OR(R266="",O266="",P266="",O266=P266),"",ROUND(IF(F266="Long",(R266-O266)/(O266-P266),(O266-R266)/(P266-O266)),2))</f>
        <v/>
      </c>
      <c r="U266" s="38" t="str">
        <f aca="false">IF(T266="","",IF(T266&gt;=Settings!$B$20,"Win",IF(T266&lt;=-Settings!$B$20,"Loss","BE")))</f>
        <v/>
      </c>
      <c r="V266" s="45" t="str">
        <f aca="false">IF(B266="","",Settings!$B$6)</f>
        <v/>
      </c>
      <c r="W266" s="46" t="str">
        <f aca="false">IF(B266="","",(Settings!$B$5+SUM(X$4:X265))*V266)</f>
        <v/>
      </c>
      <c r="X266" s="46" t="str">
        <f aca="false">IF(T266="","",ROUND(T266*W266,2))</f>
        <v/>
      </c>
      <c r="Y266" s="46" t="str">
        <f aca="false">IF(T266="","",Settings!$B$5+SUM(X$5:X266))</f>
        <v/>
      </c>
      <c r="Z266" s="43" t="str">
        <f aca="false">IF(T266="","",SUM(T$5:T266))</f>
        <v/>
      </c>
      <c r="AA266" s="43" t="str">
        <f aca="false">IF(T266="","",MAX(0,MAX(Z$5:Z266)))</f>
        <v/>
      </c>
      <c r="AB266" s="43" t="str">
        <f aca="false">IF(T266="","",Z266-AA266)</f>
        <v/>
      </c>
      <c r="AC266" s="38" t="str">
        <f aca="false">IF(U266="","",IF(U266="Loss",N(AC265)+1,0))</f>
        <v/>
      </c>
      <c r="AD266" s="40"/>
      <c r="AE266" s="38" t="str">
        <f aca="false">IF(B266="","",IF(AND(M266="Yes",OR(AD266="None",AD266="")),"Yes","No"))</f>
        <v/>
      </c>
      <c r="AF266" s="40"/>
      <c r="AG266" s="40"/>
      <c r="AH266" s="47"/>
      <c r="AI266" s="47"/>
    </row>
    <row r="267" customFormat="false" ht="15" hidden="false" customHeight="false" outlineLevel="0" collapsed="false">
      <c r="A267" s="38" t="str">
        <f aca="false">IF(B267="","",ROW()-4)</f>
        <v/>
      </c>
      <c r="B267" s="39"/>
      <c r="C267" s="38" t="str">
        <f aca="false">IF(B267="","",INT((B267-Settings!$B$4)/7)+1)</f>
        <v/>
      </c>
      <c r="D267" s="40"/>
      <c r="E267" s="40"/>
      <c r="F267" s="40"/>
      <c r="G267" s="40"/>
      <c r="H267" s="40"/>
      <c r="I267" s="40"/>
      <c r="J267" s="40"/>
      <c r="K267" s="40"/>
      <c r="L267" s="40"/>
      <c r="M267" s="38" t="str">
        <f aca="false">IF(B267="","",IF(COUNTIF(H267:L267,"Y")=5,"Yes","No"))</f>
        <v/>
      </c>
      <c r="N267" s="41"/>
      <c r="O267" s="42"/>
      <c r="P267" s="42"/>
      <c r="Q267" s="43" t="str">
        <f aca="false">IF(OR(O267="",P267=""),"",IF(F267="Long",O267+Settings!$B$7*(O267-P267),O267-Settings!$B$7*(P267-O267)))</f>
        <v/>
      </c>
      <c r="R267" s="42"/>
      <c r="S267" s="40"/>
      <c r="T267" s="44" t="str">
        <f aca="false">IF(OR(R267="",O267="",P267="",O267=P267),"",ROUND(IF(F267="Long",(R267-O267)/(O267-P267),(O267-R267)/(P267-O267)),2))</f>
        <v/>
      </c>
      <c r="U267" s="38" t="str">
        <f aca="false">IF(T267="","",IF(T267&gt;=Settings!$B$20,"Win",IF(T267&lt;=-Settings!$B$20,"Loss","BE")))</f>
        <v/>
      </c>
      <c r="V267" s="45" t="str">
        <f aca="false">IF(B267="","",Settings!$B$6)</f>
        <v/>
      </c>
      <c r="W267" s="46" t="str">
        <f aca="false">IF(B267="","",(Settings!$B$5+SUM(X$4:X266))*V267)</f>
        <v/>
      </c>
      <c r="X267" s="46" t="str">
        <f aca="false">IF(T267="","",ROUND(T267*W267,2))</f>
        <v/>
      </c>
      <c r="Y267" s="46" t="str">
        <f aca="false">IF(T267="","",Settings!$B$5+SUM(X$5:X267))</f>
        <v/>
      </c>
      <c r="Z267" s="43" t="str">
        <f aca="false">IF(T267="","",SUM(T$5:T267))</f>
        <v/>
      </c>
      <c r="AA267" s="43" t="str">
        <f aca="false">IF(T267="","",MAX(0,MAX(Z$5:Z267)))</f>
        <v/>
      </c>
      <c r="AB267" s="43" t="str">
        <f aca="false">IF(T267="","",Z267-AA267)</f>
        <v/>
      </c>
      <c r="AC267" s="38" t="str">
        <f aca="false">IF(U267="","",IF(U267="Loss",N(AC266)+1,0))</f>
        <v/>
      </c>
      <c r="AD267" s="40"/>
      <c r="AE267" s="38" t="str">
        <f aca="false">IF(B267="","",IF(AND(M267="Yes",OR(AD267="None",AD267="")),"Yes","No"))</f>
        <v/>
      </c>
      <c r="AF267" s="40"/>
      <c r="AG267" s="40"/>
      <c r="AH267" s="47"/>
      <c r="AI267" s="47"/>
    </row>
    <row r="268" customFormat="false" ht="15" hidden="false" customHeight="false" outlineLevel="0" collapsed="false">
      <c r="A268" s="38" t="str">
        <f aca="false">IF(B268="","",ROW()-4)</f>
        <v/>
      </c>
      <c r="B268" s="39"/>
      <c r="C268" s="38" t="str">
        <f aca="false">IF(B268="","",INT((B268-Settings!$B$4)/7)+1)</f>
        <v/>
      </c>
      <c r="D268" s="40"/>
      <c r="E268" s="40"/>
      <c r="F268" s="40"/>
      <c r="G268" s="40"/>
      <c r="H268" s="40"/>
      <c r="I268" s="40"/>
      <c r="J268" s="40"/>
      <c r="K268" s="40"/>
      <c r="L268" s="40"/>
      <c r="M268" s="38" t="str">
        <f aca="false">IF(B268="","",IF(COUNTIF(H268:L268,"Y")=5,"Yes","No"))</f>
        <v/>
      </c>
      <c r="N268" s="41"/>
      <c r="O268" s="42"/>
      <c r="P268" s="42"/>
      <c r="Q268" s="43" t="str">
        <f aca="false">IF(OR(O268="",P268=""),"",IF(F268="Long",O268+Settings!$B$7*(O268-P268),O268-Settings!$B$7*(P268-O268)))</f>
        <v/>
      </c>
      <c r="R268" s="42"/>
      <c r="S268" s="40"/>
      <c r="T268" s="44" t="str">
        <f aca="false">IF(OR(R268="",O268="",P268="",O268=P268),"",ROUND(IF(F268="Long",(R268-O268)/(O268-P268),(O268-R268)/(P268-O268)),2))</f>
        <v/>
      </c>
      <c r="U268" s="38" t="str">
        <f aca="false">IF(T268="","",IF(T268&gt;=Settings!$B$20,"Win",IF(T268&lt;=-Settings!$B$20,"Loss","BE")))</f>
        <v/>
      </c>
      <c r="V268" s="45" t="str">
        <f aca="false">IF(B268="","",Settings!$B$6)</f>
        <v/>
      </c>
      <c r="W268" s="46" t="str">
        <f aca="false">IF(B268="","",(Settings!$B$5+SUM(X$4:X267))*V268)</f>
        <v/>
      </c>
      <c r="X268" s="46" t="str">
        <f aca="false">IF(T268="","",ROUND(T268*W268,2))</f>
        <v/>
      </c>
      <c r="Y268" s="46" t="str">
        <f aca="false">IF(T268="","",Settings!$B$5+SUM(X$5:X268))</f>
        <v/>
      </c>
      <c r="Z268" s="43" t="str">
        <f aca="false">IF(T268="","",SUM(T$5:T268))</f>
        <v/>
      </c>
      <c r="AA268" s="43" t="str">
        <f aca="false">IF(T268="","",MAX(0,MAX(Z$5:Z268)))</f>
        <v/>
      </c>
      <c r="AB268" s="43" t="str">
        <f aca="false">IF(T268="","",Z268-AA268)</f>
        <v/>
      </c>
      <c r="AC268" s="38" t="str">
        <f aca="false">IF(U268="","",IF(U268="Loss",N(AC267)+1,0))</f>
        <v/>
      </c>
      <c r="AD268" s="40"/>
      <c r="AE268" s="38" t="str">
        <f aca="false">IF(B268="","",IF(AND(M268="Yes",OR(AD268="None",AD268="")),"Yes","No"))</f>
        <v/>
      </c>
      <c r="AF268" s="40"/>
      <c r="AG268" s="40"/>
      <c r="AH268" s="47"/>
      <c r="AI268" s="47"/>
    </row>
    <row r="269" customFormat="false" ht="15" hidden="false" customHeight="false" outlineLevel="0" collapsed="false">
      <c r="A269" s="38" t="str">
        <f aca="false">IF(B269="","",ROW()-4)</f>
        <v/>
      </c>
      <c r="B269" s="39"/>
      <c r="C269" s="38" t="str">
        <f aca="false">IF(B269="","",INT((B269-Settings!$B$4)/7)+1)</f>
        <v/>
      </c>
      <c r="D269" s="40"/>
      <c r="E269" s="40"/>
      <c r="F269" s="40"/>
      <c r="G269" s="40"/>
      <c r="H269" s="40"/>
      <c r="I269" s="40"/>
      <c r="J269" s="40"/>
      <c r="K269" s="40"/>
      <c r="L269" s="40"/>
      <c r="M269" s="38" t="str">
        <f aca="false">IF(B269="","",IF(COUNTIF(H269:L269,"Y")=5,"Yes","No"))</f>
        <v/>
      </c>
      <c r="N269" s="41"/>
      <c r="O269" s="42"/>
      <c r="P269" s="42"/>
      <c r="Q269" s="43" t="str">
        <f aca="false">IF(OR(O269="",P269=""),"",IF(F269="Long",O269+Settings!$B$7*(O269-P269),O269-Settings!$B$7*(P269-O269)))</f>
        <v/>
      </c>
      <c r="R269" s="42"/>
      <c r="S269" s="40"/>
      <c r="T269" s="44" t="str">
        <f aca="false">IF(OR(R269="",O269="",P269="",O269=P269),"",ROUND(IF(F269="Long",(R269-O269)/(O269-P269),(O269-R269)/(P269-O269)),2))</f>
        <v/>
      </c>
      <c r="U269" s="38" t="str">
        <f aca="false">IF(T269="","",IF(T269&gt;=Settings!$B$20,"Win",IF(T269&lt;=-Settings!$B$20,"Loss","BE")))</f>
        <v/>
      </c>
      <c r="V269" s="45" t="str">
        <f aca="false">IF(B269="","",Settings!$B$6)</f>
        <v/>
      </c>
      <c r="W269" s="46" t="str">
        <f aca="false">IF(B269="","",(Settings!$B$5+SUM(X$4:X268))*V269)</f>
        <v/>
      </c>
      <c r="X269" s="46" t="str">
        <f aca="false">IF(T269="","",ROUND(T269*W269,2))</f>
        <v/>
      </c>
      <c r="Y269" s="46" t="str">
        <f aca="false">IF(T269="","",Settings!$B$5+SUM(X$5:X269))</f>
        <v/>
      </c>
      <c r="Z269" s="43" t="str">
        <f aca="false">IF(T269="","",SUM(T$5:T269))</f>
        <v/>
      </c>
      <c r="AA269" s="43" t="str">
        <f aca="false">IF(T269="","",MAX(0,MAX(Z$5:Z269)))</f>
        <v/>
      </c>
      <c r="AB269" s="43" t="str">
        <f aca="false">IF(T269="","",Z269-AA269)</f>
        <v/>
      </c>
      <c r="AC269" s="38" t="str">
        <f aca="false">IF(U269="","",IF(U269="Loss",N(AC268)+1,0))</f>
        <v/>
      </c>
      <c r="AD269" s="40"/>
      <c r="AE269" s="38" t="str">
        <f aca="false">IF(B269="","",IF(AND(M269="Yes",OR(AD269="None",AD269="")),"Yes","No"))</f>
        <v/>
      </c>
      <c r="AF269" s="40"/>
      <c r="AG269" s="40"/>
      <c r="AH269" s="47"/>
      <c r="AI269" s="47"/>
    </row>
    <row r="270" customFormat="false" ht="15" hidden="false" customHeight="false" outlineLevel="0" collapsed="false">
      <c r="A270" s="38" t="str">
        <f aca="false">IF(B270="","",ROW()-4)</f>
        <v/>
      </c>
      <c r="B270" s="39"/>
      <c r="C270" s="38" t="str">
        <f aca="false">IF(B270="","",INT((B270-Settings!$B$4)/7)+1)</f>
        <v/>
      </c>
      <c r="D270" s="40"/>
      <c r="E270" s="40"/>
      <c r="F270" s="40"/>
      <c r="G270" s="40"/>
      <c r="H270" s="40"/>
      <c r="I270" s="40"/>
      <c r="J270" s="40"/>
      <c r="K270" s="40"/>
      <c r="L270" s="40"/>
      <c r="M270" s="38" t="str">
        <f aca="false">IF(B270="","",IF(COUNTIF(H270:L270,"Y")=5,"Yes","No"))</f>
        <v/>
      </c>
      <c r="N270" s="41"/>
      <c r="O270" s="42"/>
      <c r="P270" s="42"/>
      <c r="Q270" s="43" t="str">
        <f aca="false">IF(OR(O270="",P270=""),"",IF(F270="Long",O270+Settings!$B$7*(O270-P270),O270-Settings!$B$7*(P270-O270)))</f>
        <v/>
      </c>
      <c r="R270" s="42"/>
      <c r="S270" s="40"/>
      <c r="T270" s="44" t="str">
        <f aca="false">IF(OR(R270="",O270="",P270="",O270=P270),"",ROUND(IF(F270="Long",(R270-O270)/(O270-P270),(O270-R270)/(P270-O270)),2))</f>
        <v/>
      </c>
      <c r="U270" s="38" t="str">
        <f aca="false">IF(T270="","",IF(T270&gt;=Settings!$B$20,"Win",IF(T270&lt;=-Settings!$B$20,"Loss","BE")))</f>
        <v/>
      </c>
      <c r="V270" s="45" t="str">
        <f aca="false">IF(B270="","",Settings!$B$6)</f>
        <v/>
      </c>
      <c r="W270" s="46" t="str">
        <f aca="false">IF(B270="","",(Settings!$B$5+SUM(X$4:X269))*V270)</f>
        <v/>
      </c>
      <c r="X270" s="46" t="str">
        <f aca="false">IF(T270="","",ROUND(T270*W270,2))</f>
        <v/>
      </c>
      <c r="Y270" s="46" t="str">
        <f aca="false">IF(T270="","",Settings!$B$5+SUM(X$5:X270))</f>
        <v/>
      </c>
      <c r="Z270" s="43" t="str">
        <f aca="false">IF(T270="","",SUM(T$5:T270))</f>
        <v/>
      </c>
      <c r="AA270" s="43" t="str">
        <f aca="false">IF(T270="","",MAX(0,MAX(Z$5:Z270)))</f>
        <v/>
      </c>
      <c r="AB270" s="43" t="str">
        <f aca="false">IF(T270="","",Z270-AA270)</f>
        <v/>
      </c>
      <c r="AC270" s="38" t="str">
        <f aca="false">IF(U270="","",IF(U270="Loss",N(AC269)+1,0))</f>
        <v/>
      </c>
      <c r="AD270" s="40"/>
      <c r="AE270" s="38" t="str">
        <f aca="false">IF(B270="","",IF(AND(M270="Yes",OR(AD270="None",AD270="")),"Yes","No"))</f>
        <v/>
      </c>
      <c r="AF270" s="40"/>
      <c r="AG270" s="40"/>
      <c r="AH270" s="47"/>
      <c r="AI270" s="47"/>
    </row>
    <row r="271" customFormat="false" ht="15" hidden="false" customHeight="false" outlineLevel="0" collapsed="false">
      <c r="A271" s="38" t="str">
        <f aca="false">IF(B271="","",ROW()-4)</f>
        <v/>
      </c>
      <c r="B271" s="39"/>
      <c r="C271" s="38" t="str">
        <f aca="false">IF(B271="","",INT((B271-Settings!$B$4)/7)+1)</f>
        <v/>
      </c>
      <c r="D271" s="40"/>
      <c r="E271" s="40"/>
      <c r="F271" s="40"/>
      <c r="G271" s="40"/>
      <c r="H271" s="40"/>
      <c r="I271" s="40"/>
      <c r="J271" s="40"/>
      <c r="K271" s="40"/>
      <c r="L271" s="40"/>
      <c r="M271" s="38" t="str">
        <f aca="false">IF(B271="","",IF(COUNTIF(H271:L271,"Y")=5,"Yes","No"))</f>
        <v/>
      </c>
      <c r="N271" s="41"/>
      <c r="O271" s="42"/>
      <c r="P271" s="42"/>
      <c r="Q271" s="43" t="str">
        <f aca="false">IF(OR(O271="",P271=""),"",IF(F271="Long",O271+Settings!$B$7*(O271-P271),O271-Settings!$B$7*(P271-O271)))</f>
        <v/>
      </c>
      <c r="R271" s="42"/>
      <c r="S271" s="40"/>
      <c r="T271" s="44" t="str">
        <f aca="false">IF(OR(R271="",O271="",P271="",O271=P271),"",ROUND(IF(F271="Long",(R271-O271)/(O271-P271),(O271-R271)/(P271-O271)),2))</f>
        <v/>
      </c>
      <c r="U271" s="38" t="str">
        <f aca="false">IF(T271="","",IF(T271&gt;=Settings!$B$20,"Win",IF(T271&lt;=-Settings!$B$20,"Loss","BE")))</f>
        <v/>
      </c>
      <c r="V271" s="45" t="str">
        <f aca="false">IF(B271="","",Settings!$B$6)</f>
        <v/>
      </c>
      <c r="W271" s="46" t="str">
        <f aca="false">IF(B271="","",(Settings!$B$5+SUM(X$4:X270))*V271)</f>
        <v/>
      </c>
      <c r="X271" s="46" t="str">
        <f aca="false">IF(T271="","",ROUND(T271*W271,2))</f>
        <v/>
      </c>
      <c r="Y271" s="46" t="str">
        <f aca="false">IF(T271="","",Settings!$B$5+SUM(X$5:X271))</f>
        <v/>
      </c>
      <c r="Z271" s="43" t="str">
        <f aca="false">IF(T271="","",SUM(T$5:T271))</f>
        <v/>
      </c>
      <c r="AA271" s="43" t="str">
        <f aca="false">IF(T271="","",MAX(0,MAX(Z$5:Z271)))</f>
        <v/>
      </c>
      <c r="AB271" s="43" t="str">
        <f aca="false">IF(T271="","",Z271-AA271)</f>
        <v/>
      </c>
      <c r="AC271" s="38" t="str">
        <f aca="false">IF(U271="","",IF(U271="Loss",N(AC270)+1,0))</f>
        <v/>
      </c>
      <c r="AD271" s="40"/>
      <c r="AE271" s="38" t="str">
        <f aca="false">IF(B271="","",IF(AND(M271="Yes",OR(AD271="None",AD271="")),"Yes","No"))</f>
        <v/>
      </c>
      <c r="AF271" s="40"/>
      <c r="AG271" s="40"/>
      <c r="AH271" s="47"/>
      <c r="AI271" s="47"/>
    </row>
    <row r="272" customFormat="false" ht="15" hidden="false" customHeight="false" outlineLevel="0" collapsed="false">
      <c r="A272" s="38" t="str">
        <f aca="false">IF(B272="","",ROW()-4)</f>
        <v/>
      </c>
      <c r="B272" s="39"/>
      <c r="C272" s="38" t="str">
        <f aca="false">IF(B272="","",INT((B272-Settings!$B$4)/7)+1)</f>
        <v/>
      </c>
      <c r="D272" s="40"/>
      <c r="E272" s="40"/>
      <c r="F272" s="40"/>
      <c r="G272" s="40"/>
      <c r="H272" s="40"/>
      <c r="I272" s="40"/>
      <c r="J272" s="40"/>
      <c r="K272" s="40"/>
      <c r="L272" s="40"/>
      <c r="M272" s="38" t="str">
        <f aca="false">IF(B272="","",IF(COUNTIF(H272:L272,"Y")=5,"Yes","No"))</f>
        <v/>
      </c>
      <c r="N272" s="41"/>
      <c r="O272" s="42"/>
      <c r="P272" s="42"/>
      <c r="Q272" s="43" t="str">
        <f aca="false">IF(OR(O272="",P272=""),"",IF(F272="Long",O272+Settings!$B$7*(O272-P272),O272-Settings!$B$7*(P272-O272)))</f>
        <v/>
      </c>
      <c r="R272" s="42"/>
      <c r="S272" s="40"/>
      <c r="T272" s="44" t="str">
        <f aca="false">IF(OR(R272="",O272="",P272="",O272=P272),"",ROUND(IF(F272="Long",(R272-O272)/(O272-P272),(O272-R272)/(P272-O272)),2))</f>
        <v/>
      </c>
      <c r="U272" s="38" t="str">
        <f aca="false">IF(T272="","",IF(T272&gt;=Settings!$B$20,"Win",IF(T272&lt;=-Settings!$B$20,"Loss","BE")))</f>
        <v/>
      </c>
      <c r="V272" s="45" t="str">
        <f aca="false">IF(B272="","",Settings!$B$6)</f>
        <v/>
      </c>
      <c r="W272" s="46" t="str">
        <f aca="false">IF(B272="","",(Settings!$B$5+SUM(X$4:X271))*V272)</f>
        <v/>
      </c>
      <c r="X272" s="46" t="str">
        <f aca="false">IF(T272="","",ROUND(T272*W272,2))</f>
        <v/>
      </c>
      <c r="Y272" s="46" t="str">
        <f aca="false">IF(T272="","",Settings!$B$5+SUM(X$5:X272))</f>
        <v/>
      </c>
      <c r="Z272" s="43" t="str">
        <f aca="false">IF(T272="","",SUM(T$5:T272))</f>
        <v/>
      </c>
      <c r="AA272" s="43" t="str">
        <f aca="false">IF(T272="","",MAX(0,MAX(Z$5:Z272)))</f>
        <v/>
      </c>
      <c r="AB272" s="43" t="str">
        <f aca="false">IF(T272="","",Z272-AA272)</f>
        <v/>
      </c>
      <c r="AC272" s="38" t="str">
        <f aca="false">IF(U272="","",IF(U272="Loss",N(AC271)+1,0))</f>
        <v/>
      </c>
      <c r="AD272" s="40"/>
      <c r="AE272" s="38" t="str">
        <f aca="false">IF(B272="","",IF(AND(M272="Yes",OR(AD272="None",AD272="")),"Yes","No"))</f>
        <v/>
      </c>
      <c r="AF272" s="40"/>
      <c r="AG272" s="40"/>
      <c r="AH272" s="47"/>
      <c r="AI272" s="47"/>
    </row>
    <row r="273" customFormat="false" ht="15" hidden="false" customHeight="false" outlineLevel="0" collapsed="false">
      <c r="A273" s="38" t="str">
        <f aca="false">IF(B273="","",ROW()-4)</f>
        <v/>
      </c>
      <c r="B273" s="39"/>
      <c r="C273" s="38" t="str">
        <f aca="false">IF(B273="","",INT((B273-Settings!$B$4)/7)+1)</f>
        <v/>
      </c>
      <c r="D273" s="40"/>
      <c r="E273" s="40"/>
      <c r="F273" s="40"/>
      <c r="G273" s="40"/>
      <c r="H273" s="40"/>
      <c r="I273" s="40"/>
      <c r="J273" s="40"/>
      <c r="K273" s="40"/>
      <c r="L273" s="40"/>
      <c r="M273" s="38" t="str">
        <f aca="false">IF(B273="","",IF(COUNTIF(H273:L273,"Y")=5,"Yes","No"))</f>
        <v/>
      </c>
      <c r="N273" s="41"/>
      <c r="O273" s="42"/>
      <c r="P273" s="42"/>
      <c r="Q273" s="43" t="str">
        <f aca="false">IF(OR(O273="",P273=""),"",IF(F273="Long",O273+Settings!$B$7*(O273-P273),O273-Settings!$B$7*(P273-O273)))</f>
        <v/>
      </c>
      <c r="R273" s="42"/>
      <c r="S273" s="40"/>
      <c r="T273" s="44" t="str">
        <f aca="false">IF(OR(R273="",O273="",P273="",O273=P273),"",ROUND(IF(F273="Long",(R273-O273)/(O273-P273),(O273-R273)/(P273-O273)),2))</f>
        <v/>
      </c>
      <c r="U273" s="38" t="str">
        <f aca="false">IF(T273="","",IF(T273&gt;=Settings!$B$20,"Win",IF(T273&lt;=-Settings!$B$20,"Loss","BE")))</f>
        <v/>
      </c>
      <c r="V273" s="45" t="str">
        <f aca="false">IF(B273="","",Settings!$B$6)</f>
        <v/>
      </c>
      <c r="W273" s="46" t="str">
        <f aca="false">IF(B273="","",(Settings!$B$5+SUM(X$4:X272))*V273)</f>
        <v/>
      </c>
      <c r="X273" s="46" t="str">
        <f aca="false">IF(T273="","",ROUND(T273*W273,2))</f>
        <v/>
      </c>
      <c r="Y273" s="46" t="str">
        <f aca="false">IF(T273="","",Settings!$B$5+SUM(X$5:X273))</f>
        <v/>
      </c>
      <c r="Z273" s="43" t="str">
        <f aca="false">IF(T273="","",SUM(T$5:T273))</f>
        <v/>
      </c>
      <c r="AA273" s="43" t="str">
        <f aca="false">IF(T273="","",MAX(0,MAX(Z$5:Z273)))</f>
        <v/>
      </c>
      <c r="AB273" s="43" t="str">
        <f aca="false">IF(T273="","",Z273-AA273)</f>
        <v/>
      </c>
      <c r="AC273" s="38" t="str">
        <f aca="false">IF(U273="","",IF(U273="Loss",N(AC272)+1,0))</f>
        <v/>
      </c>
      <c r="AD273" s="40"/>
      <c r="AE273" s="38" t="str">
        <f aca="false">IF(B273="","",IF(AND(M273="Yes",OR(AD273="None",AD273="")),"Yes","No"))</f>
        <v/>
      </c>
      <c r="AF273" s="40"/>
      <c r="AG273" s="40"/>
      <c r="AH273" s="47"/>
      <c r="AI273" s="47"/>
    </row>
    <row r="274" customFormat="false" ht="15" hidden="false" customHeight="false" outlineLevel="0" collapsed="false">
      <c r="A274" s="38" t="str">
        <f aca="false">IF(B274="","",ROW()-4)</f>
        <v/>
      </c>
      <c r="B274" s="39"/>
      <c r="C274" s="38" t="str">
        <f aca="false">IF(B274="","",INT((B274-Settings!$B$4)/7)+1)</f>
        <v/>
      </c>
      <c r="D274" s="40"/>
      <c r="E274" s="40"/>
      <c r="F274" s="40"/>
      <c r="G274" s="40"/>
      <c r="H274" s="40"/>
      <c r="I274" s="40"/>
      <c r="J274" s="40"/>
      <c r="K274" s="40"/>
      <c r="L274" s="40"/>
      <c r="M274" s="38" t="str">
        <f aca="false">IF(B274="","",IF(COUNTIF(H274:L274,"Y")=5,"Yes","No"))</f>
        <v/>
      </c>
      <c r="N274" s="41"/>
      <c r="O274" s="42"/>
      <c r="P274" s="42"/>
      <c r="Q274" s="43" t="str">
        <f aca="false">IF(OR(O274="",P274=""),"",IF(F274="Long",O274+Settings!$B$7*(O274-P274),O274-Settings!$B$7*(P274-O274)))</f>
        <v/>
      </c>
      <c r="R274" s="42"/>
      <c r="S274" s="40"/>
      <c r="T274" s="44" t="str">
        <f aca="false">IF(OR(R274="",O274="",P274="",O274=P274),"",ROUND(IF(F274="Long",(R274-O274)/(O274-P274),(O274-R274)/(P274-O274)),2))</f>
        <v/>
      </c>
      <c r="U274" s="38" t="str">
        <f aca="false">IF(T274="","",IF(T274&gt;=Settings!$B$20,"Win",IF(T274&lt;=-Settings!$B$20,"Loss","BE")))</f>
        <v/>
      </c>
      <c r="V274" s="45" t="str">
        <f aca="false">IF(B274="","",Settings!$B$6)</f>
        <v/>
      </c>
      <c r="W274" s="46" t="str">
        <f aca="false">IF(B274="","",(Settings!$B$5+SUM(X$4:X273))*V274)</f>
        <v/>
      </c>
      <c r="X274" s="46" t="str">
        <f aca="false">IF(T274="","",ROUND(T274*W274,2))</f>
        <v/>
      </c>
      <c r="Y274" s="46" t="str">
        <f aca="false">IF(T274="","",Settings!$B$5+SUM(X$5:X274))</f>
        <v/>
      </c>
      <c r="Z274" s="43" t="str">
        <f aca="false">IF(T274="","",SUM(T$5:T274))</f>
        <v/>
      </c>
      <c r="AA274" s="43" t="str">
        <f aca="false">IF(T274="","",MAX(0,MAX(Z$5:Z274)))</f>
        <v/>
      </c>
      <c r="AB274" s="43" t="str">
        <f aca="false">IF(T274="","",Z274-AA274)</f>
        <v/>
      </c>
      <c r="AC274" s="38" t="str">
        <f aca="false">IF(U274="","",IF(U274="Loss",N(AC273)+1,0))</f>
        <v/>
      </c>
      <c r="AD274" s="40"/>
      <c r="AE274" s="38" t="str">
        <f aca="false">IF(B274="","",IF(AND(M274="Yes",OR(AD274="None",AD274="")),"Yes","No"))</f>
        <v/>
      </c>
      <c r="AF274" s="40"/>
      <c r="AG274" s="40"/>
      <c r="AH274" s="47"/>
      <c r="AI274" s="47"/>
    </row>
    <row r="275" customFormat="false" ht="15" hidden="false" customHeight="false" outlineLevel="0" collapsed="false">
      <c r="A275" s="38" t="str">
        <f aca="false">IF(B275="","",ROW()-4)</f>
        <v/>
      </c>
      <c r="B275" s="39"/>
      <c r="C275" s="38" t="str">
        <f aca="false">IF(B275="","",INT((B275-Settings!$B$4)/7)+1)</f>
        <v/>
      </c>
      <c r="D275" s="40"/>
      <c r="E275" s="40"/>
      <c r="F275" s="40"/>
      <c r="G275" s="40"/>
      <c r="H275" s="40"/>
      <c r="I275" s="40"/>
      <c r="J275" s="40"/>
      <c r="K275" s="40"/>
      <c r="L275" s="40"/>
      <c r="M275" s="38" t="str">
        <f aca="false">IF(B275="","",IF(COUNTIF(H275:L275,"Y")=5,"Yes","No"))</f>
        <v/>
      </c>
      <c r="N275" s="41"/>
      <c r="O275" s="42"/>
      <c r="P275" s="42"/>
      <c r="Q275" s="43" t="str">
        <f aca="false">IF(OR(O275="",P275=""),"",IF(F275="Long",O275+Settings!$B$7*(O275-P275),O275-Settings!$B$7*(P275-O275)))</f>
        <v/>
      </c>
      <c r="R275" s="42"/>
      <c r="S275" s="40"/>
      <c r="T275" s="44" t="str">
        <f aca="false">IF(OR(R275="",O275="",P275="",O275=P275),"",ROUND(IF(F275="Long",(R275-O275)/(O275-P275),(O275-R275)/(P275-O275)),2))</f>
        <v/>
      </c>
      <c r="U275" s="38" t="str">
        <f aca="false">IF(T275="","",IF(T275&gt;=Settings!$B$20,"Win",IF(T275&lt;=-Settings!$B$20,"Loss","BE")))</f>
        <v/>
      </c>
      <c r="V275" s="45" t="str">
        <f aca="false">IF(B275="","",Settings!$B$6)</f>
        <v/>
      </c>
      <c r="W275" s="46" t="str">
        <f aca="false">IF(B275="","",(Settings!$B$5+SUM(X$4:X274))*V275)</f>
        <v/>
      </c>
      <c r="X275" s="46" t="str">
        <f aca="false">IF(T275="","",ROUND(T275*W275,2))</f>
        <v/>
      </c>
      <c r="Y275" s="46" t="str">
        <f aca="false">IF(T275="","",Settings!$B$5+SUM(X$5:X275))</f>
        <v/>
      </c>
      <c r="Z275" s="43" t="str">
        <f aca="false">IF(T275="","",SUM(T$5:T275))</f>
        <v/>
      </c>
      <c r="AA275" s="43" t="str">
        <f aca="false">IF(T275="","",MAX(0,MAX(Z$5:Z275)))</f>
        <v/>
      </c>
      <c r="AB275" s="43" t="str">
        <f aca="false">IF(T275="","",Z275-AA275)</f>
        <v/>
      </c>
      <c r="AC275" s="38" t="str">
        <f aca="false">IF(U275="","",IF(U275="Loss",N(AC274)+1,0))</f>
        <v/>
      </c>
      <c r="AD275" s="40"/>
      <c r="AE275" s="38" t="str">
        <f aca="false">IF(B275="","",IF(AND(M275="Yes",OR(AD275="None",AD275="")),"Yes","No"))</f>
        <v/>
      </c>
      <c r="AF275" s="40"/>
      <c r="AG275" s="40"/>
      <c r="AH275" s="47"/>
      <c r="AI275" s="47"/>
    </row>
    <row r="276" customFormat="false" ht="15" hidden="false" customHeight="false" outlineLevel="0" collapsed="false">
      <c r="A276" s="38" t="str">
        <f aca="false">IF(B276="","",ROW()-4)</f>
        <v/>
      </c>
      <c r="B276" s="39"/>
      <c r="C276" s="38" t="str">
        <f aca="false">IF(B276="","",INT((B276-Settings!$B$4)/7)+1)</f>
        <v/>
      </c>
      <c r="D276" s="40"/>
      <c r="E276" s="40"/>
      <c r="F276" s="40"/>
      <c r="G276" s="40"/>
      <c r="H276" s="40"/>
      <c r="I276" s="40"/>
      <c r="J276" s="40"/>
      <c r="K276" s="40"/>
      <c r="L276" s="40"/>
      <c r="M276" s="38" t="str">
        <f aca="false">IF(B276="","",IF(COUNTIF(H276:L276,"Y")=5,"Yes","No"))</f>
        <v/>
      </c>
      <c r="N276" s="41"/>
      <c r="O276" s="42"/>
      <c r="P276" s="42"/>
      <c r="Q276" s="43" t="str">
        <f aca="false">IF(OR(O276="",P276=""),"",IF(F276="Long",O276+Settings!$B$7*(O276-P276),O276-Settings!$B$7*(P276-O276)))</f>
        <v/>
      </c>
      <c r="R276" s="42"/>
      <c r="S276" s="40"/>
      <c r="T276" s="44" t="str">
        <f aca="false">IF(OR(R276="",O276="",P276="",O276=P276),"",ROUND(IF(F276="Long",(R276-O276)/(O276-P276),(O276-R276)/(P276-O276)),2))</f>
        <v/>
      </c>
      <c r="U276" s="38" t="str">
        <f aca="false">IF(T276="","",IF(T276&gt;=Settings!$B$20,"Win",IF(T276&lt;=-Settings!$B$20,"Loss","BE")))</f>
        <v/>
      </c>
      <c r="V276" s="45" t="str">
        <f aca="false">IF(B276="","",Settings!$B$6)</f>
        <v/>
      </c>
      <c r="W276" s="46" t="str">
        <f aca="false">IF(B276="","",(Settings!$B$5+SUM(X$4:X275))*V276)</f>
        <v/>
      </c>
      <c r="X276" s="46" t="str">
        <f aca="false">IF(T276="","",ROUND(T276*W276,2))</f>
        <v/>
      </c>
      <c r="Y276" s="46" t="str">
        <f aca="false">IF(T276="","",Settings!$B$5+SUM(X$5:X276))</f>
        <v/>
      </c>
      <c r="Z276" s="43" t="str">
        <f aca="false">IF(T276="","",SUM(T$5:T276))</f>
        <v/>
      </c>
      <c r="AA276" s="43" t="str">
        <f aca="false">IF(T276="","",MAX(0,MAX(Z$5:Z276)))</f>
        <v/>
      </c>
      <c r="AB276" s="43" t="str">
        <f aca="false">IF(T276="","",Z276-AA276)</f>
        <v/>
      </c>
      <c r="AC276" s="38" t="str">
        <f aca="false">IF(U276="","",IF(U276="Loss",N(AC275)+1,0))</f>
        <v/>
      </c>
      <c r="AD276" s="40"/>
      <c r="AE276" s="38" t="str">
        <f aca="false">IF(B276="","",IF(AND(M276="Yes",OR(AD276="None",AD276="")),"Yes","No"))</f>
        <v/>
      </c>
      <c r="AF276" s="40"/>
      <c r="AG276" s="40"/>
      <c r="AH276" s="47"/>
      <c r="AI276" s="47"/>
    </row>
    <row r="277" customFormat="false" ht="15" hidden="false" customHeight="false" outlineLevel="0" collapsed="false">
      <c r="A277" s="38" t="str">
        <f aca="false">IF(B277="","",ROW()-4)</f>
        <v/>
      </c>
      <c r="B277" s="39"/>
      <c r="C277" s="38" t="str">
        <f aca="false">IF(B277="","",INT((B277-Settings!$B$4)/7)+1)</f>
        <v/>
      </c>
      <c r="D277" s="40"/>
      <c r="E277" s="40"/>
      <c r="F277" s="40"/>
      <c r="G277" s="40"/>
      <c r="H277" s="40"/>
      <c r="I277" s="40"/>
      <c r="J277" s="40"/>
      <c r="K277" s="40"/>
      <c r="L277" s="40"/>
      <c r="M277" s="38" t="str">
        <f aca="false">IF(B277="","",IF(COUNTIF(H277:L277,"Y")=5,"Yes","No"))</f>
        <v/>
      </c>
      <c r="N277" s="41"/>
      <c r="O277" s="42"/>
      <c r="P277" s="42"/>
      <c r="Q277" s="43" t="str">
        <f aca="false">IF(OR(O277="",P277=""),"",IF(F277="Long",O277+Settings!$B$7*(O277-P277),O277-Settings!$B$7*(P277-O277)))</f>
        <v/>
      </c>
      <c r="R277" s="42"/>
      <c r="S277" s="40"/>
      <c r="T277" s="44" t="str">
        <f aca="false">IF(OR(R277="",O277="",P277="",O277=P277),"",ROUND(IF(F277="Long",(R277-O277)/(O277-P277),(O277-R277)/(P277-O277)),2))</f>
        <v/>
      </c>
      <c r="U277" s="38" t="str">
        <f aca="false">IF(T277="","",IF(T277&gt;=Settings!$B$20,"Win",IF(T277&lt;=-Settings!$B$20,"Loss","BE")))</f>
        <v/>
      </c>
      <c r="V277" s="45" t="str">
        <f aca="false">IF(B277="","",Settings!$B$6)</f>
        <v/>
      </c>
      <c r="W277" s="46" t="str">
        <f aca="false">IF(B277="","",(Settings!$B$5+SUM(X$4:X276))*V277)</f>
        <v/>
      </c>
      <c r="X277" s="46" t="str">
        <f aca="false">IF(T277="","",ROUND(T277*W277,2))</f>
        <v/>
      </c>
      <c r="Y277" s="46" t="str">
        <f aca="false">IF(T277="","",Settings!$B$5+SUM(X$5:X277))</f>
        <v/>
      </c>
      <c r="Z277" s="43" t="str">
        <f aca="false">IF(T277="","",SUM(T$5:T277))</f>
        <v/>
      </c>
      <c r="AA277" s="43" t="str">
        <f aca="false">IF(T277="","",MAX(0,MAX(Z$5:Z277)))</f>
        <v/>
      </c>
      <c r="AB277" s="43" t="str">
        <f aca="false">IF(T277="","",Z277-AA277)</f>
        <v/>
      </c>
      <c r="AC277" s="38" t="str">
        <f aca="false">IF(U277="","",IF(U277="Loss",N(AC276)+1,0))</f>
        <v/>
      </c>
      <c r="AD277" s="40"/>
      <c r="AE277" s="38" t="str">
        <f aca="false">IF(B277="","",IF(AND(M277="Yes",OR(AD277="None",AD277="")),"Yes","No"))</f>
        <v/>
      </c>
      <c r="AF277" s="40"/>
      <c r="AG277" s="40"/>
      <c r="AH277" s="47"/>
      <c r="AI277" s="47"/>
    </row>
    <row r="278" customFormat="false" ht="15" hidden="false" customHeight="false" outlineLevel="0" collapsed="false">
      <c r="A278" s="38" t="str">
        <f aca="false">IF(B278="","",ROW()-4)</f>
        <v/>
      </c>
      <c r="B278" s="39"/>
      <c r="C278" s="38" t="str">
        <f aca="false">IF(B278="","",INT((B278-Settings!$B$4)/7)+1)</f>
        <v/>
      </c>
      <c r="D278" s="40"/>
      <c r="E278" s="40"/>
      <c r="F278" s="40"/>
      <c r="G278" s="40"/>
      <c r="H278" s="40"/>
      <c r="I278" s="40"/>
      <c r="J278" s="40"/>
      <c r="K278" s="40"/>
      <c r="L278" s="40"/>
      <c r="M278" s="38" t="str">
        <f aca="false">IF(B278="","",IF(COUNTIF(H278:L278,"Y")=5,"Yes","No"))</f>
        <v/>
      </c>
      <c r="N278" s="41"/>
      <c r="O278" s="42"/>
      <c r="P278" s="42"/>
      <c r="Q278" s="43" t="str">
        <f aca="false">IF(OR(O278="",P278=""),"",IF(F278="Long",O278+Settings!$B$7*(O278-P278),O278-Settings!$B$7*(P278-O278)))</f>
        <v/>
      </c>
      <c r="R278" s="42"/>
      <c r="S278" s="40"/>
      <c r="T278" s="44" t="str">
        <f aca="false">IF(OR(R278="",O278="",P278="",O278=P278),"",ROUND(IF(F278="Long",(R278-O278)/(O278-P278),(O278-R278)/(P278-O278)),2))</f>
        <v/>
      </c>
      <c r="U278" s="38" t="str">
        <f aca="false">IF(T278="","",IF(T278&gt;=Settings!$B$20,"Win",IF(T278&lt;=-Settings!$B$20,"Loss","BE")))</f>
        <v/>
      </c>
      <c r="V278" s="45" t="str">
        <f aca="false">IF(B278="","",Settings!$B$6)</f>
        <v/>
      </c>
      <c r="W278" s="46" t="str">
        <f aca="false">IF(B278="","",(Settings!$B$5+SUM(X$4:X277))*V278)</f>
        <v/>
      </c>
      <c r="X278" s="46" t="str">
        <f aca="false">IF(T278="","",ROUND(T278*W278,2))</f>
        <v/>
      </c>
      <c r="Y278" s="46" t="str">
        <f aca="false">IF(T278="","",Settings!$B$5+SUM(X$5:X278))</f>
        <v/>
      </c>
      <c r="Z278" s="43" t="str">
        <f aca="false">IF(T278="","",SUM(T$5:T278))</f>
        <v/>
      </c>
      <c r="AA278" s="43" t="str">
        <f aca="false">IF(T278="","",MAX(0,MAX(Z$5:Z278)))</f>
        <v/>
      </c>
      <c r="AB278" s="43" t="str">
        <f aca="false">IF(T278="","",Z278-AA278)</f>
        <v/>
      </c>
      <c r="AC278" s="38" t="str">
        <f aca="false">IF(U278="","",IF(U278="Loss",N(AC277)+1,0))</f>
        <v/>
      </c>
      <c r="AD278" s="40"/>
      <c r="AE278" s="38" t="str">
        <f aca="false">IF(B278="","",IF(AND(M278="Yes",OR(AD278="None",AD278="")),"Yes","No"))</f>
        <v/>
      </c>
      <c r="AF278" s="40"/>
      <c r="AG278" s="40"/>
      <c r="AH278" s="47"/>
      <c r="AI278" s="47"/>
    </row>
    <row r="279" customFormat="false" ht="15" hidden="false" customHeight="false" outlineLevel="0" collapsed="false">
      <c r="A279" s="38" t="str">
        <f aca="false">IF(B279="","",ROW()-4)</f>
        <v/>
      </c>
      <c r="B279" s="39"/>
      <c r="C279" s="38" t="str">
        <f aca="false">IF(B279="","",INT((B279-Settings!$B$4)/7)+1)</f>
        <v/>
      </c>
      <c r="D279" s="40"/>
      <c r="E279" s="40"/>
      <c r="F279" s="40"/>
      <c r="G279" s="40"/>
      <c r="H279" s="40"/>
      <c r="I279" s="40"/>
      <c r="J279" s="40"/>
      <c r="K279" s="40"/>
      <c r="L279" s="40"/>
      <c r="M279" s="38" t="str">
        <f aca="false">IF(B279="","",IF(COUNTIF(H279:L279,"Y")=5,"Yes","No"))</f>
        <v/>
      </c>
      <c r="N279" s="41"/>
      <c r="O279" s="42"/>
      <c r="P279" s="42"/>
      <c r="Q279" s="43" t="str">
        <f aca="false">IF(OR(O279="",P279=""),"",IF(F279="Long",O279+Settings!$B$7*(O279-P279),O279-Settings!$B$7*(P279-O279)))</f>
        <v/>
      </c>
      <c r="R279" s="42"/>
      <c r="S279" s="40"/>
      <c r="T279" s="44" t="str">
        <f aca="false">IF(OR(R279="",O279="",P279="",O279=P279),"",ROUND(IF(F279="Long",(R279-O279)/(O279-P279),(O279-R279)/(P279-O279)),2))</f>
        <v/>
      </c>
      <c r="U279" s="38" t="str">
        <f aca="false">IF(T279="","",IF(T279&gt;=Settings!$B$20,"Win",IF(T279&lt;=-Settings!$B$20,"Loss","BE")))</f>
        <v/>
      </c>
      <c r="V279" s="45" t="str">
        <f aca="false">IF(B279="","",Settings!$B$6)</f>
        <v/>
      </c>
      <c r="W279" s="46" t="str">
        <f aca="false">IF(B279="","",(Settings!$B$5+SUM(X$4:X278))*V279)</f>
        <v/>
      </c>
      <c r="X279" s="46" t="str">
        <f aca="false">IF(T279="","",ROUND(T279*W279,2))</f>
        <v/>
      </c>
      <c r="Y279" s="46" t="str">
        <f aca="false">IF(T279="","",Settings!$B$5+SUM(X$5:X279))</f>
        <v/>
      </c>
      <c r="Z279" s="43" t="str">
        <f aca="false">IF(T279="","",SUM(T$5:T279))</f>
        <v/>
      </c>
      <c r="AA279" s="43" t="str">
        <f aca="false">IF(T279="","",MAX(0,MAX(Z$5:Z279)))</f>
        <v/>
      </c>
      <c r="AB279" s="43" t="str">
        <f aca="false">IF(T279="","",Z279-AA279)</f>
        <v/>
      </c>
      <c r="AC279" s="38" t="str">
        <f aca="false">IF(U279="","",IF(U279="Loss",N(AC278)+1,0))</f>
        <v/>
      </c>
      <c r="AD279" s="40"/>
      <c r="AE279" s="38" t="str">
        <f aca="false">IF(B279="","",IF(AND(M279="Yes",OR(AD279="None",AD279="")),"Yes","No"))</f>
        <v/>
      </c>
      <c r="AF279" s="40"/>
      <c r="AG279" s="40"/>
      <c r="AH279" s="47"/>
      <c r="AI279" s="47"/>
    </row>
    <row r="280" customFormat="false" ht="15" hidden="false" customHeight="false" outlineLevel="0" collapsed="false">
      <c r="A280" s="38" t="str">
        <f aca="false">IF(B280="","",ROW()-4)</f>
        <v/>
      </c>
      <c r="B280" s="39"/>
      <c r="C280" s="38" t="str">
        <f aca="false">IF(B280="","",INT((B280-Settings!$B$4)/7)+1)</f>
        <v/>
      </c>
      <c r="D280" s="40"/>
      <c r="E280" s="40"/>
      <c r="F280" s="40"/>
      <c r="G280" s="40"/>
      <c r="H280" s="40"/>
      <c r="I280" s="40"/>
      <c r="J280" s="40"/>
      <c r="K280" s="40"/>
      <c r="L280" s="40"/>
      <c r="M280" s="38" t="str">
        <f aca="false">IF(B280="","",IF(COUNTIF(H280:L280,"Y")=5,"Yes","No"))</f>
        <v/>
      </c>
      <c r="N280" s="41"/>
      <c r="O280" s="42"/>
      <c r="P280" s="42"/>
      <c r="Q280" s="43" t="str">
        <f aca="false">IF(OR(O280="",P280=""),"",IF(F280="Long",O280+Settings!$B$7*(O280-P280),O280-Settings!$B$7*(P280-O280)))</f>
        <v/>
      </c>
      <c r="R280" s="42"/>
      <c r="S280" s="40"/>
      <c r="T280" s="44" t="str">
        <f aca="false">IF(OR(R280="",O280="",P280="",O280=P280),"",ROUND(IF(F280="Long",(R280-O280)/(O280-P280),(O280-R280)/(P280-O280)),2))</f>
        <v/>
      </c>
      <c r="U280" s="38" t="str">
        <f aca="false">IF(T280="","",IF(T280&gt;=Settings!$B$20,"Win",IF(T280&lt;=-Settings!$B$20,"Loss","BE")))</f>
        <v/>
      </c>
      <c r="V280" s="45" t="str">
        <f aca="false">IF(B280="","",Settings!$B$6)</f>
        <v/>
      </c>
      <c r="W280" s="46" t="str">
        <f aca="false">IF(B280="","",(Settings!$B$5+SUM(X$4:X279))*V280)</f>
        <v/>
      </c>
      <c r="X280" s="46" t="str">
        <f aca="false">IF(T280="","",ROUND(T280*W280,2))</f>
        <v/>
      </c>
      <c r="Y280" s="46" t="str">
        <f aca="false">IF(T280="","",Settings!$B$5+SUM(X$5:X280))</f>
        <v/>
      </c>
      <c r="Z280" s="43" t="str">
        <f aca="false">IF(T280="","",SUM(T$5:T280))</f>
        <v/>
      </c>
      <c r="AA280" s="43" t="str">
        <f aca="false">IF(T280="","",MAX(0,MAX(Z$5:Z280)))</f>
        <v/>
      </c>
      <c r="AB280" s="43" t="str">
        <f aca="false">IF(T280="","",Z280-AA280)</f>
        <v/>
      </c>
      <c r="AC280" s="38" t="str">
        <f aca="false">IF(U280="","",IF(U280="Loss",N(AC279)+1,0))</f>
        <v/>
      </c>
      <c r="AD280" s="40"/>
      <c r="AE280" s="38" t="str">
        <f aca="false">IF(B280="","",IF(AND(M280="Yes",OR(AD280="None",AD280="")),"Yes","No"))</f>
        <v/>
      </c>
      <c r="AF280" s="40"/>
      <c r="AG280" s="40"/>
      <c r="AH280" s="47"/>
      <c r="AI280" s="47"/>
    </row>
    <row r="281" customFormat="false" ht="15" hidden="false" customHeight="false" outlineLevel="0" collapsed="false">
      <c r="A281" s="38" t="str">
        <f aca="false">IF(B281="","",ROW()-4)</f>
        <v/>
      </c>
      <c r="B281" s="39"/>
      <c r="C281" s="38" t="str">
        <f aca="false">IF(B281="","",INT((B281-Settings!$B$4)/7)+1)</f>
        <v/>
      </c>
      <c r="D281" s="40"/>
      <c r="E281" s="40"/>
      <c r="F281" s="40"/>
      <c r="G281" s="40"/>
      <c r="H281" s="40"/>
      <c r="I281" s="40"/>
      <c r="J281" s="40"/>
      <c r="K281" s="40"/>
      <c r="L281" s="40"/>
      <c r="M281" s="38" t="str">
        <f aca="false">IF(B281="","",IF(COUNTIF(H281:L281,"Y")=5,"Yes","No"))</f>
        <v/>
      </c>
      <c r="N281" s="41"/>
      <c r="O281" s="42"/>
      <c r="P281" s="42"/>
      <c r="Q281" s="43" t="str">
        <f aca="false">IF(OR(O281="",P281=""),"",IF(F281="Long",O281+Settings!$B$7*(O281-P281),O281-Settings!$B$7*(P281-O281)))</f>
        <v/>
      </c>
      <c r="R281" s="42"/>
      <c r="S281" s="40"/>
      <c r="T281" s="44" t="str">
        <f aca="false">IF(OR(R281="",O281="",P281="",O281=P281),"",ROUND(IF(F281="Long",(R281-O281)/(O281-P281),(O281-R281)/(P281-O281)),2))</f>
        <v/>
      </c>
      <c r="U281" s="38" t="str">
        <f aca="false">IF(T281="","",IF(T281&gt;=Settings!$B$20,"Win",IF(T281&lt;=-Settings!$B$20,"Loss","BE")))</f>
        <v/>
      </c>
      <c r="V281" s="45" t="str">
        <f aca="false">IF(B281="","",Settings!$B$6)</f>
        <v/>
      </c>
      <c r="W281" s="46" t="str">
        <f aca="false">IF(B281="","",(Settings!$B$5+SUM(X$4:X280))*V281)</f>
        <v/>
      </c>
      <c r="X281" s="46" t="str">
        <f aca="false">IF(T281="","",ROUND(T281*W281,2))</f>
        <v/>
      </c>
      <c r="Y281" s="46" t="str">
        <f aca="false">IF(T281="","",Settings!$B$5+SUM(X$5:X281))</f>
        <v/>
      </c>
      <c r="Z281" s="43" t="str">
        <f aca="false">IF(T281="","",SUM(T$5:T281))</f>
        <v/>
      </c>
      <c r="AA281" s="43" t="str">
        <f aca="false">IF(T281="","",MAX(0,MAX(Z$5:Z281)))</f>
        <v/>
      </c>
      <c r="AB281" s="43" t="str">
        <f aca="false">IF(T281="","",Z281-AA281)</f>
        <v/>
      </c>
      <c r="AC281" s="38" t="str">
        <f aca="false">IF(U281="","",IF(U281="Loss",N(AC280)+1,0))</f>
        <v/>
      </c>
      <c r="AD281" s="40"/>
      <c r="AE281" s="38" t="str">
        <f aca="false">IF(B281="","",IF(AND(M281="Yes",OR(AD281="None",AD281="")),"Yes","No"))</f>
        <v/>
      </c>
      <c r="AF281" s="40"/>
      <c r="AG281" s="40"/>
      <c r="AH281" s="47"/>
      <c r="AI281" s="47"/>
    </row>
    <row r="282" customFormat="false" ht="15" hidden="false" customHeight="false" outlineLevel="0" collapsed="false">
      <c r="A282" s="38" t="str">
        <f aca="false">IF(B282="","",ROW()-4)</f>
        <v/>
      </c>
      <c r="B282" s="39"/>
      <c r="C282" s="38" t="str">
        <f aca="false">IF(B282="","",INT((B282-Settings!$B$4)/7)+1)</f>
        <v/>
      </c>
      <c r="D282" s="40"/>
      <c r="E282" s="40"/>
      <c r="F282" s="40"/>
      <c r="G282" s="40"/>
      <c r="H282" s="40"/>
      <c r="I282" s="40"/>
      <c r="J282" s="40"/>
      <c r="K282" s="40"/>
      <c r="L282" s="40"/>
      <c r="M282" s="38" t="str">
        <f aca="false">IF(B282="","",IF(COUNTIF(H282:L282,"Y")=5,"Yes","No"))</f>
        <v/>
      </c>
      <c r="N282" s="41"/>
      <c r="O282" s="42"/>
      <c r="P282" s="42"/>
      <c r="Q282" s="43" t="str">
        <f aca="false">IF(OR(O282="",P282=""),"",IF(F282="Long",O282+Settings!$B$7*(O282-P282),O282-Settings!$B$7*(P282-O282)))</f>
        <v/>
      </c>
      <c r="R282" s="42"/>
      <c r="S282" s="40"/>
      <c r="T282" s="44" t="str">
        <f aca="false">IF(OR(R282="",O282="",P282="",O282=P282),"",ROUND(IF(F282="Long",(R282-O282)/(O282-P282),(O282-R282)/(P282-O282)),2))</f>
        <v/>
      </c>
      <c r="U282" s="38" t="str">
        <f aca="false">IF(T282="","",IF(T282&gt;=Settings!$B$20,"Win",IF(T282&lt;=-Settings!$B$20,"Loss","BE")))</f>
        <v/>
      </c>
      <c r="V282" s="45" t="str">
        <f aca="false">IF(B282="","",Settings!$B$6)</f>
        <v/>
      </c>
      <c r="W282" s="46" t="str">
        <f aca="false">IF(B282="","",(Settings!$B$5+SUM(X$4:X281))*V282)</f>
        <v/>
      </c>
      <c r="X282" s="46" t="str">
        <f aca="false">IF(T282="","",ROUND(T282*W282,2))</f>
        <v/>
      </c>
      <c r="Y282" s="46" t="str">
        <f aca="false">IF(T282="","",Settings!$B$5+SUM(X$5:X282))</f>
        <v/>
      </c>
      <c r="Z282" s="43" t="str">
        <f aca="false">IF(T282="","",SUM(T$5:T282))</f>
        <v/>
      </c>
      <c r="AA282" s="43" t="str">
        <f aca="false">IF(T282="","",MAX(0,MAX(Z$5:Z282)))</f>
        <v/>
      </c>
      <c r="AB282" s="43" t="str">
        <f aca="false">IF(T282="","",Z282-AA282)</f>
        <v/>
      </c>
      <c r="AC282" s="38" t="str">
        <f aca="false">IF(U282="","",IF(U282="Loss",N(AC281)+1,0))</f>
        <v/>
      </c>
      <c r="AD282" s="40"/>
      <c r="AE282" s="38" t="str">
        <f aca="false">IF(B282="","",IF(AND(M282="Yes",OR(AD282="None",AD282="")),"Yes","No"))</f>
        <v/>
      </c>
      <c r="AF282" s="40"/>
      <c r="AG282" s="40"/>
      <c r="AH282" s="47"/>
      <c r="AI282" s="47"/>
    </row>
    <row r="283" customFormat="false" ht="15" hidden="false" customHeight="false" outlineLevel="0" collapsed="false">
      <c r="A283" s="38" t="str">
        <f aca="false">IF(B283="","",ROW()-4)</f>
        <v/>
      </c>
      <c r="B283" s="39"/>
      <c r="C283" s="38" t="str">
        <f aca="false">IF(B283="","",INT((B283-Settings!$B$4)/7)+1)</f>
        <v/>
      </c>
      <c r="D283" s="40"/>
      <c r="E283" s="40"/>
      <c r="F283" s="40"/>
      <c r="G283" s="40"/>
      <c r="H283" s="40"/>
      <c r="I283" s="40"/>
      <c r="J283" s="40"/>
      <c r="K283" s="40"/>
      <c r="L283" s="40"/>
      <c r="M283" s="38" t="str">
        <f aca="false">IF(B283="","",IF(COUNTIF(H283:L283,"Y")=5,"Yes","No"))</f>
        <v/>
      </c>
      <c r="N283" s="41"/>
      <c r="O283" s="42"/>
      <c r="P283" s="42"/>
      <c r="Q283" s="43" t="str">
        <f aca="false">IF(OR(O283="",P283=""),"",IF(F283="Long",O283+Settings!$B$7*(O283-P283),O283-Settings!$B$7*(P283-O283)))</f>
        <v/>
      </c>
      <c r="R283" s="42"/>
      <c r="S283" s="40"/>
      <c r="T283" s="44" t="str">
        <f aca="false">IF(OR(R283="",O283="",P283="",O283=P283),"",ROUND(IF(F283="Long",(R283-O283)/(O283-P283),(O283-R283)/(P283-O283)),2))</f>
        <v/>
      </c>
      <c r="U283" s="38" t="str">
        <f aca="false">IF(T283="","",IF(T283&gt;=Settings!$B$20,"Win",IF(T283&lt;=-Settings!$B$20,"Loss","BE")))</f>
        <v/>
      </c>
      <c r="V283" s="45" t="str">
        <f aca="false">IF(B283="","",Settings!$B$6)</f>
        <v/>
      </c>
      <c r="W283" s="46" t="str">
        <f aca="false">IF(B283="","",(Settings!$B$5+SUM(X$4:X282))*V283)</f>
        <v/>
      </c>
      <c r="X283" s="46" t="str">
        <f aca="false">IF(T283="","",ROUND(T283*W283,2))</f>
        <v/>
      </c>
      <c r="Y283" s="46" t="str">
        <f aca="false">IF(T283="","",Settings!$B$5+SUM(X$5:X283))</f>
        <v/>
      </c>
      <c r="Z283" s="43" t="str">
        <f aca="false">IF(T283="","",SUM(T$5:T283))</f>
        <v/>
      </c>
      <c r="AA283" s="43" t="str">
        <f aca="false">IF(T283="","",MAX(0,MAX(Z$5:Z283)))</f>
        <v/>
      </c>
      <c r="AB283" s="43" t="str">
        <f aca="false">IF(T283="","",Z283-AA283)</f>
        <v/>
      </c>
      <c r="AC283" s="38" t="str">
        <f aca="false">IF(U283="","",IF(U283="Loss",N(AC282)+1,0))</f>
        <v/>
      </c>
      <c r="AD283" s="40"/>
      <c r="AE283" s="38" t="str">
        <f aca="false">IF(B283="","",IF(AND(M283="Yes",OR(AD283="None",AD283="")),"Yes","No"))</f>
        <v/>
      </c>
      <c r="AF283" s="40"/>
      <c r="AG283" s="40"/>
      <c r="AH283" s="47"/>
      <c r="AI283" s="47"/>
    </row>
    <row r="284" customFormat="false" ht="15" hidden="false" customHeight="false" outlineLevel="0" collapsed="false">
      <c r="A284" s="38" t="str">
        <f aca="false">IF(B284="","",ROW()-4)</f>
        <v/>
      </c>
      <c r="B284" s="39"/>
      <c r="C284" s="38" t="str">
        <f aca="false">IF(B284="","",INT((B284-Settings!$B$4)/7)+1)</f>
        <v/>
      </c>
      <c r="D284" s="40"/>
      <c r="E284" s="40"/>
      <c r="F284" s="40"/>
      <c r="G284" s="40"/>
      <c r="H284" s="40"/>
      <c r="I284" s="40"/>
      <c r="J284" s="40"/>
      <c r="K284" s="40"/>
      <c r="L284" s="40"/>
      <c r="M284" s="38" t="str">
        <f aca="false">IF(B284="","",IF(COUNTIF(H284:L284,"Y")=5,"Yes","No"))</f>
        <v/>
      </c>
      <c r="N284" s="41"/>
      <c r="O284" s="42"/>
      <c r="P284" s="42"/>
      <c r="Q284" s="43" t="str">
        <f aca="false">IF(OR(O284="",P284=""),"",IF(F284="Long",O284+Settings!$B$7*(O284-P284),O284-Settings!$B$7*(P284-O284)))</f>
        <v/>
      </c>
      <c r="R284" s="42"/>
      <c r="S284" s="40"/>
      <c r="T284" s="44" t="str">
        <f aca="false">IF(OR(R284="",O284="",P284="",O284=P284),"",ROUND(IF(F284="Long",(R284-O284)/(O284-P284),(O284-R284)/(P284-O284)),2))</f>
        <v/>
      </c>
      <c r="U284" s="38" t="str">
        <f aca="false">IF(T284="","",IF(T284&gt;=Settings!$B$20,"Win",IF(T284&lt;=-Settings!$B$20,"Loss","BE")))</f>
        <v/>
      </c>
      <c r="V284" s="45" t="str">
        <f aca="false">IF(B284="","",Settings!$B$6)</f>
        <v/>
      </c>
      <c r="W284" s="46" t="str">
        <f aca="false">IF(B284="","",(Settings!$B$5+SUM(X$4:X283))*V284)</f>
        <v/>
      </c>
      <c r="X284" s="46" t="str">
        <f aca="false">IF(T284="","",ROUND(T284*W284,2))</f>
        <v/>
      </c>
      <c r="Y284" s="46" t="str">
        <f aca="false">IF(T284="","",Settings!$B$5+SUM(X$5:X284))</f>
        <v/>
      </c>
      <c r="Z284" s="43" t="str">
        <f aca="false">IF(T284="","",SUM(T$5:T284))</f>
        <v/>
      </c>
      <c r="AA284" s="43" t="str">
        <f aca="false">IF(T284="","",MAX(0,MAX(Z$5:Z284)))</f>
        <v/>
      </c>
      <c r="AB284" s="43" t="str">
        <f aca="false">IF(T284="","",Z284-AA284)</f>
        <v/>
      </c>
      <c r="AC284" s="38" t="str">
        <f aca="false">IF(U284="","",IF(U284="Loss",N(AC283)+1,0))</f>
        <v/>
      </c>
      <c r="AD284" s="40"/>
      <c r="AE284" s="38" t="str">
        <f aca="false">IF(B284="","",IF(AND(M284="Yes",OR(AD284="None",AD284="")),"Yes","No"))</f>
        <v/>
      </c>
      <c r="AF284" s="40"/>
      <c r="AG284" s="40"/>
      <c r="AH284" s="47"/>
      <c r="AI284" s="47"/>
    </row>
    <row r="285" customFormat="false" ht="15" hidden="false" customHeight="false" outlineLevel="0" collapsed="false">
      <c r="A285" s="38" t="str">
        <f aca="false">IF(B285="","",ROW()-4)</f>
        <v/>
      </c>
      <c r="B285" s="39"/>
      <c r="C285" s="38" t="str">
        <f aca="false">IF(B285="","",INT((B285-Settings!$B$4)/7)+1)</f>
        <v/>
      </c>
      <c r="D285" s="40"/>
      <c r="E285" s="40"/>
      <c r="F285" s="40"/>
      <c r="G285" s="40"/>
      <c r="H285" s="40"/>
      <c r="I285" s="40"/>
      <c r="J285" s="40"/>
      <c r="K285" s="40"/>
      <c r="L285" s="40"/>
      <c r="M285" s="38" t="str">
        <f aca="false">IF(B285="","",IF(COUNTIF(H285:L285,"Y")=5,"Yes","No"))</f>
        <v/>
      </c>
      <c r="N285" s="41"/>
      <c r="O285" s="42"/>
      <c r="P285" s="42"/>
      <c r="Q285" s="43" t="str">
        <f aca="false">IF(OR(O285="",P285=""),"",IF(F285="Long",O285+Settings!$B$7*(O285-P285),O285-Settings!$B$7*(P285-O285)))</f>
        <v/>
      </c>
      <c r="R285" s="42"/>
      <c r="S285" s="40"/>
      <c r="T285" s="44" t="str">
        <f aca="false">IF(OR(R285="",O285="",P285="",O285=P285),"",ROUND(IF(F285="Long",(R285-O285)/(O285-P285),(O285-R285)/(P285-O285)),2))</f>
        <v/>
      </c>
      <c r="U285" s="38" t="str">
        <f aca="false">IF(T285="","",IF(T285&gt;=Settings!$B$20,"Win",IF(T285&lt;=-Settings!$B$20,"Loss","BE")))</f>
        <v/>
      </c>
      <c r="V285" s="45" t="str">
        <f aca="false">IF(B285="","",Settings!$B$6)</f>
        <v/>
      </c>
      <c r="W285" s="46" t="str">
        <f aca="false">IF(B285="","",(Settings!$B$5+SUM(X$4:X284))*V285)</f>
        <v/>
      </c>
      <c r="X285" s="46" t="str">
        <f aca="false">IF(T285="","",ROUND(T285*W285,2))</f>
        <v/>
      </c>
      <c r="Y285" s="46" t="str">
        <f aca="false">IF(T285="","",Settings!$B$5+SUM(X$5:X285))</f>
        <v/>
      </c>
      <c r="Z285" s="43" t="str">
        <f aca="false">IF(T285="","",SUM(T$5:T285))</f>
        <v/>
      </c>
      <c r="AA285" s="43" t="str">
        <f aca="false">IF(T285="","",MAX(0,MAX(Z$5:Z285)))</f>
        <v/>
      </c>
      <c r="AB285" s="43" t="str">
        <f aca="false">IF(T285="","",Z285-AA285)</f>
        <v/>
      </c>
      <c r="AC285" s="38" t="str">
        <f aca="false">IF(U285="","",IF(U285="Loss",N(AC284)+1,0))</f>
        <v/>
      </c>
      <c r="AD285" s="40"/>
      <c r="AE285" s="38" t="str">
        <f aca="false">IF(B285="","",IF(AND(M285="Yes",OR(AD285="None",AD285="")),"Yes","No"))</f>
        <v/>
      </c>
      <c r="AF285" s="40"/>
      <c r="AG285" s="40"/>
      <c r="AH285" s="47"/>
      <c r="AI285" s="47"/>
    </row>
    <row r="286" customFormat="false" ht="15" hidden="false" customHeight="false" outlineLevel="0" collapsed="false">
      <c r="A286" s="38" t="str">
        <f aca="false">IF(B286="","",ROW()-4)</f>
        <v/>
      </c>
      <c r="B286" s="39"/>
      <c r="C286" s="38" t="str">
        <f aca="false">IF(B286="","",INT((B286-Settings!$B$4)/7)+1)</f>
        <v/>
      </c>
      <c r="D286" s="40"/>
      <c r="E286" s="40"/>
      <c r="F286" s="40"/>
      <c r="G286" s="40"/>
      <c r="H286" s="40"/>
      <c r="I286" s="40"/>
      <c r="J286" s="40"/>
      <c r="K286" s="40"/>
      <c r="L286" s="40"/>
      <c r="M286" s="38" t="str">
        <f aca="false">IF(B286="","",IF(COUNTIF(H286:L286,"Y")=5,"Yes","No"))</f>
        <v/>
      </c>
      <c r="N286" s="41"/>
      <c r="O286" s="42"/>
      <c r="P286" s="42"/>
      <c r="Q286" s="43" t="str">
        <f aca="false">IF(OR(O286="",P286=""),"",IF(F286="Long",O286+Settings!$B$7*(O286-P286),O286-Settings!$B$7*(P286-O286)))</f>
        <v/>
      </c>
      <c r="R286" s="42"/>
      <c r="S286" s="40"/>
      <c r="T286" s="44" t="str">
        <f aca="false">IF(OR(R286="",O286="",P286="",O286=P286),"",ROUND(IF(F286="Long",(R286-O286)/(O286-P286),(O286-R286)/(P286-O286)),2))</f>
        <v/>
      </c>
      <c r="U286" s="38" t="str">
        <f aca="false">IF(T286="","",IF(T286&gt;=Settings!$B$20,"Win",IF(T286&lt;=-Settings!$B$20,"Loss","BE")))</f>
        <v/>
      </c>
      <c r="V286" s="45" t="str">
        <f aca="false">IF(B286="","",Settings!$B$6)</f>
        <v/>
      </c>
      <c r="W286" s="46" t="str">
        <f aca="false">IF(B286="","",(Settings!$B$5+SUM(X$4:X285))*V286)</f>
        <v/>
      </c>
      <c r="X286" s="46" t="str">
        <f aca="false">IF(T286="","",ROUND(T286*W286,2))</f>
        <v/>
      </c>
      <c r="Y286" s="46" t="str">
        <f aca="false">IF(T286="","",Settings!$B$5+SUM(X$5:X286))</f>
        <v/>
      </c>
      <c r="Z286" s="43" t="str">
        <f aca="false">IF(T286="","",SUM(T$5:T286))</f>
        <v/>
      </c>
      <c r="AA286" s="43" t="str">
        <f aca="false">IF(T286="","",MAX(0,MAX(Z$5:Z286)))</f>
        <v/>
      </c>
      <c r="AB286" s="43" t="str">
        <f aca="false">IF(T286="","",Z286-AA286)</f>
        <v/>
      </c>
      <c r="AC286" s="38" t="str">
        <f aca="false">IF(U286="","",IF(U286="Loss",N(AC285)+1,0))</f>
        <v/>
      </c>
      <c r="AD286" s="40"/>
      <c r="AE286" s="38" t="str">
        <f aca="false">IF(B286="","",IF(AND(M286="Yes",OR(AD286="None",AD286="")),"Yes","No"))</f>
        <v/>
      </c>
      <c r="AF286" s="40"/>
      <c r="AG286" s="40"/>
      <c r="AH286" s="47"/>
      <c r="AI286" s="47"/>
    </row>
    <row r="287" customFormat="false" ht="15" hidden="false" customHeight="false" outlineLevel="0" collapsed="false">
      <c r="A287" s="38" t="str">
        <f aca="false">IF(B287="","",ROW()-4)</f>
        <v/>
      </c>
      <c r="B287" s="39"/>
      <c r="C287" s="38" t="str">
        <f aca="false">IF(B287="","",INT((B287-Settings!$B$4)/7)+1)</f>
        <v/>
      </c>
      <c r="D287" s="40"/>
      <c r="E287" s="40"/>
      <c r="F287" s="40"/>
      <c r="G287" s="40"/>
      <c r="H287" s="40"/>
      <c r="I287" s="40"/>
      <c r="J287" s="40"/>
      <c r="K287" s="40"/>
      <c r="L287" s="40"/>
      <c r="M287" s="38" t="str">
        <f aca="false">IF(B287="","",IF(COUNTIF(H287:L287,"Y")=5,"Yes","No"))</f>
        <v/>
      </c>
      <c r="N287" s="41"/>
      <c r="O287" s="42"/>
      <c r="P287" s="42"/>
      <c r="Q287" s="43" t="str">
        <f aca="false">IF(OR(O287="",P287=""),"",IF(F287="Long",O287+Settings!$B$7*(O287-P287),O287-Settings!$B$7*(P287-O287)))</f>
        <v/>
      </c>
      <c r="R287" s="42"/>
      <c r="S287" s="40"/>
      <c r="T287" s="44" t="str">
        <f aca="false">IF(OR(R287="",O287="",P287="",O287=P287),"",ROUND(IF(F287="Long",(R287-O287)/(O287-P287),(O287-R287)/(P287-O287)),2))</f>
        <v/>
      </c>
      <c r="U287" s="38" t="str">
        <f aca="false">IF(T287="","",IF(T287&gt;=Settings!$B$20,"Win",IF(T287&lt;=-Settings!$B$20,"Loss","BE")))</f>
        <v/>
      </c>
      <c r="V287" s="45" t="str">
        <f aca="false">IF(B287="","",Settings!$B$6)</f>
        <v/>
      </c>
      <c r="W287" s="46" t="str">
        <f aca="false">IF(B287="","",(Settings!$B$5+SUM(X$4:X286))*V287)</f>
        <v/>
      </c>
      <c r="X287" s="46" t="str">
        <f aca="false">IF(T287="","",ROUND(T287*W287,2))</f>
        <v/>
      </c>
      <c r="Y287" s="46" t="str">
        <f aca="false">IF(T287="","",Settings!$B$5+SUM(X$5:X287))</f>
        <v/>
      </c>
      <c r="Z287" s="43" t="str">
        <f aca="false">IF(T287="","",SUM(T$5:T287))</f>
        <v/>
      </c>
      <c r="AA287" s="43" t="str">
        <f aca="false">IF(T287="","",MAX(0,MAX(Z$5:Z287)))</f>
        <v/>
      </c>
      <c r="AB287" s="43" t="str">
        <f aca="false">IF(T287="","",Z287-AA287)</f>
        <v/>
      </c>
      <c r="AC287" s="38" t="str">
        <f aca="false">IF(U287="","",IF(U287="Loss",N(AC286)+1,0))</f>
        <v/>
      </c>
      <c r="AD287" s="40"/>
      <c r="AE287" s="38" t="str">
        <f aca="false">IF(B287="","",IF(AND(M287="Yes",OR(AD287="None",AD287="")),"Yes","No"))</f>
        <v/>
      </c>
      <c r="AF287" s="40"/>
      <c r="AG287" s="40"/>
      <c r="AH287" s="47"/>
      <c r="AI287" s="47"/>
    </row>
    <row r="288" customFormat="false" ht="15" hidden="false" customHeight="false" outlineLevel="0" collapsed="false">
      <c r="A288" s="38" t="str">
        <f aca="false">IF(B288="","",ROW()-4)</f>
        <v/>
      </c>
      <c r="B288" s="39"/>
      <c r="C288" s="38" t="str">
        <f aca="false">IF(B288="","",INT((B288-Settings!$B$4)/7)+1)</f>
        <v/>
      </c>
      <c r="D288" s="40"/>
      <c r="E288" s="40"/>
      <c r="F288" s="40"/>
      <c r="G288" s="40"/>
      <c r="H288" s="40"/>
      <c r="I288" s="40"/>
      <c r="J288" s="40"/>
      <c r="K288" s="40"/>
      <c r="L288" s="40"/>
      <c r="M288" s="38" t="str">
        <f aca="false">IF(B288="","",IF(COUNTIF(H288:L288,"Y")=5,"Yes","No"))</f>
        <v/>
      </c>
      <c r="N288" s="41"/>
      <c r="O288" s="42"/>
      <c r="P288" s="42"/>
      <c r="Q288" s="43" t="str">
        <f aca="false">IF(OR(O288="",P288=""),"",IF(F288="Long",O288+Settings!$B$7*(O288-P288),O288-Settings!$B$7*(P288-O288)))</f>
        <v/>
      </c>
      <c r="R288" s="42"/>
      <c r="S288" s="40"/>
      <c r="T288" s="44" t="str">
        <f aca="false">IF(OR(R288="",O288="",P288="",O288=P288),"",ROUND(IF(F288="Long",(R288-O288)/(O288-P288),(O288-R288)/(P288-O288)),2))</f>
        <v/>
      </c>
      <c r="U288" s="38" t="str">
        <f aca="false">IF(T288="","",IF(T288&gt;=Settings!$B$20,"Win",IF(T288&lt;=-Settings!$B$20,"Loss","BE")))</f>
        <v/>
      </c>
      <c r="V288" s="45" t="str">
        <f aca="false">IF(B288="","",Settings!$B$6)</f>
        <v/>
      </c>
      <c r="W288" s="46" t="str">
        <f aca="false">IF(B288="","",(Settings!$B$5+SUM(X$4:X287))*V288)</f>
        <v/>
      </c>
      <c r="X288" s="46" t="str">
        <f aca="false">IF(T288="","",ROUND(T288*W288,2))</f>
        <v/>
      </c>
      <c r="Y288" s="46" t="str">
        <f aca="false">IF(T288="","",Settings!$B$5+SUM(X$5:X288))</f>
        <v/>
      </c>
      <c r="Z288" s="43" t="str">
        <f aca="false">IF(T288="","",SUM(T$5:T288))</f>
        <v/>
      </c>
      <c r="AA288" s="43" t="str">
        <f aca="false">IF(T288="","",MAX(0,MAX(Z$5:Z288)))</f>
        <v/>
      </c>
      <c r="AB288" s="43" t="str">
        <f aca="false">IF(T288="","",Z288-AA288)</f>
        <v/>
      </c>
      <c r="AC288" s="38" t="str">
        <f aca="false">IF(U288="","",IF(U288="Loss",N(AC287)+1,0))</f>
        <v/>
      </c>
      <c r="AD288" s="40"/>
      <c r="AE288" s="38" t="str">
        <f aca="false">IF(B288="","",IF(AND(M288="Yes",OR(AD288="None",AD288="")),"Yes","No"))</f>
        <v/>
      </c>
      <c r="AF288" s="40"/>
      <c r="AG288" s="40"/>
      <c r="AH288" s="47"/>
      <c r="AI288" s="47"/>
    </row>
    <row r="289" customFormat="false" ht="15" hidden="false" customHeight="false" outlineLevel="0" collapsed="false">
      <c r="A289" s="38" t="str">
        <f aca="false">IF(B289="","",ROW()-4)</f>
        <v/>
      </c>
      <c r="B289" s="39"/>
      <c r="C289" s="38" t="str">
        <f aca="false">IF(B289="","",INT((B289-Settings!$B$4)/7)+1)</f>
        <v/>
      </c>
      <c r="D289" s="40"/>
      <c r="E289" s="40"/>
      <c r="F289" s="40"/>
      <c r="G289" s="40"/>
      <c r="H289" s="40"/>
      <c r="I289" s="40"/>
      <c r="J289" s="40"/>
      <c r="K289" s="40"/>
      <c r="L289" s="40"/>
      <c r="M289" s="38" t="str">
        <f aca="false">IF(B289="","",IF(COUNTIF(H289:L289,"Y")=5,"Yes","No"))</f>
        <v/>
      </c>
      <c r="N289" s="41"/>
      <c r="O289" s="42"/>
      <c r="P289" s="42"/>
      <c r="Q289" s="43" t="str">
        <f aca="false">IF(OR(O289="",P289=""),"",IF(F289="Long",O289+Settings!$B$7*(O289-P289),O289-Settings!$B$7*(P289-O289)))</f>
        <v/>
      </c>
      <c r="R289" s="42"/>
      <c r="S289" s="40"/>
      <c r="T289" s="44" t="str">
        <f aca="false">IF(OR(R289="",O289="",P289="",O289=P289),"",ROUND(IF(F289="Long",(R289-O289)/(O289-P289),(O289-R289)/(P289-O289)),2))</f>
        <v/>
      </c>
      <c r="U289" s="38" t="str">
        <f aca="false">IF(T289="","",IF(T289&gt;=Settings!$B$20,"Win",IF(T289&lt;=-Settings!$B$20,"Loss","BE")))</f>
        <v/>
      </c>
      <c r="V289" s="45" t="str">
        <f aca="false">IF(B289="","",Settings!$B$6)</f>
        <v/>
      </c>
      <c r="W289" s="46" t="str">
        <f aca="false">IF(B289="","",(Settings!$B$5+SUM(X$4:X288))*V289)</f>
        <v/>
      </c>
      <c r="X289" s="46" t="str">
        <f aca="false">IF(T289="","",ROUND(T289*W289,2))</f>
        <v/>
      </c>
      <c r="Y289" s="46" t="str">
        <f aca="false">IF(T289="","",Settings!$B$5+SUM(X$5:X289))</f>
        <v/>
      </c>
      <c r="Z289" s="43" t="str">
        <f aca="false">IF(T289="","",SUM(T$5:T289))</f>
        <v/>
      </c>
      <c r="AA289" s="43" t="str">
        <f aca="false">IF(T289="","",MAX(0,MAX(Z$5:Z289)))</f>
        <v/>
      </c>
      <c r="AB289" s="43" t="str">
        <f aca="false">IF(T289="","",Z289-AA289)</f>
        <v/>
      </c>
      <c r="AC289" s="38" t="str">
        <f aca="false">IF(U289="","",IF(U289="Loss",N(AC288)+1,0))</f>
        <v/>
      </c>
      <c r="AD289" s="40"/>
      <c r="AE289" s="38" t="str">
        <f aca="false">IF(B289="","",IF(AND(M289="Yes",OR(AD289="None",AD289="")),"Yes","No"))</f>
        <v/>
      </c>
      <c r="AF289" s="40"/>
      <c r="AG289" s="40"/>
      <c r="AH289" s="47"/>
      <c r="AI289" s="47"/>
    </row>
    <row r="290" customFormat="false" ht="15" hidden="false" customHeight="false" outlineLevel="0" collapsed="false">
      <c r="A290" s="38" t="str">
        <f aca="false">IF(B290="","",ROW()-4)</f>
        <v/>
      </c>
      <c r="B290" s="39"/>
      <c r="C290" s="38" t="str">
        <f aca="false">IF(B290="","",INT((B290-Settings!$B$4)/7)+1)</f>
        <v/>
      </c>
      <c r="D290" s="40"/>
      <c r="E290" s="40"/>
      <c r="F290" s="40"/>
      <c r="G290" s="40"/>
      <c r="H290" s="40"/>
      <c r="I290" s="40"/>
      <c r="J290" s="40"/>
      <c r="K290" s="40"/>
      <c r="L290" s="40"/>
      <c r="M290" s="38" t="str">
        <f aca="false">IF(B290="","",IF(COUNTIF(H290:L290,"Y")=5,"Yes","No"))</f>
        <v/>
      </c>
      <c r="N290" s="41"/>
      <c r="O290" s="42"/>
      <c r="P290" s="42"/>
      <c r="Q290" s="43" t="str">
        <f aca="false">IF(OR(O290="",P290=""),"",IF(F290="Long",O290+Settings!$B$7*(O290-P290),O290-Settings!$B$7*(P290-O290)))</f>
        <v/>
      </c>
      <c r="R290" s="42"/>
      <c r="S290" s="40"/>
      <c r="T290" s="44" t="str">
        <f aca="false">IF(OR(R290="",O290="",P290="",O290=P290),"",ROUND(IF(F290="Long",(R290-O290)/(O290-P290),(O290-R290)/(P290-O290)),2))</f>
        <v/>
      </c>
      <c r="U290" s="38" t="str">
        <f aca="false">IF(T290="","",IF(T290&gt;=Settings!$B$20,"Win",IF(T290&lt;=-Settings!$B$20,"Loss","BE")))</f>
        <v/>
      </c>
      <c r="V290" s="45" t="str">
        <f aca="false">IF(B290="","",Settings!$B$6)</f>
        <v/>
      </c>
      <c r="W290" s="46" t="str">
        <f aca="false">IF(B290="","",(Settings!$B$5+SUM(X$4:X289))*V290)</f>
        <v/>
      </c>
      <c r="X290" s="46" t="str">
        <f aca="false">IF(T290="","",ROUND(T290*W290,2))</f>
        <v/>
      </c>
      <c r="Y290" s="46" t="str">
        <f aca="false">IF(T290="","",Settings!$B$5+SUM(X$5:X290))</f>
        <v/>
      </c>
      <c r="Z290" s="43" t="str">
        <f aca="false">IF(T290="","",SUM(T$5:T290))</f>
        <v/>
      </c>
      <c r="AA290" s="43" t="str">
        <f aca="false">IF(T290="","",MAX(0,MAX(Z$5:Z290)))</f>
        <v/>
      </c>
      <c r="AB290" s="43" t="str">
        <f aca="false">IF(T290="","",Z290-AA290)</f>
        <v/>
      </c>
      <c r="AC290" s="38" t="str">
        <f aca="false">IF(U290="","",IF(U290="Loss",N(AC289)+1,0))</f>
        <v/>
      </c>
      <c r="AD290" s="40"/>
      <c r="AE290" s="38" t="str">
        <f aca="false">IF(B290="","",IF(AND(M290="Yes",OR(AD290="None",AD290="")),"Yes","No"))</f>
        <v/>
      </c>
      <c r="AF290" s="40"/>
      <c r="AG290" s="40"/>
      <c r="AH290" s="47"/>
      <c r="AI290" s="47"/>
    </row>
    <row r="291" customFormat="false" ht="15" hidden="false" customHeight="false" outlineLevel="0" collapsed="false">
      <c r="A291" s="38" t="str">
        <f aca="false">IF(B291="","",ROW()-4)</f>
        <v/>
      </c>
      <c r="B291" s="39"/>
      <c r="C291" s="38" t="str">
        <f aca="false">IF(B291="","",INT((B291-Settings!$B$4)/7)+1)</f>
        <v/>
      </c>
      <c r="D291" s="40"/>
      <c r="E291" s="40"/>
      <c r="F291" s="40"/>
      <c r="G291" s="40"/>
      <c r="H291" s="40"/>
      <c r="I291" s="40"/>
      <c r="J291" s="40"/>
      <c r="K291" s="40"/>
      <c r="L291" s="40"/>
      <c r="M291" s="38" t="str">
        <f aca="false">IF(B291="","",IF(COUNTIF(H291:L291,"Y")=5,"Yes","No"))</f>
        <v/>
      </c>
      <c r="N291" s="41"/>
      <c r="O291" s="42"/>
      <c r="P291" s="42"/>
      <c r="Q291" s="43" t="str">
        <f aca="false">IF(OR(O291="",P291=""),"",IF(F291="Long",O291+Settings!$B$7*(O291-P291),O291-Settings!$B$7*(P291-O291)))</f>
        <v/>
      </c>
      <c r="R291" s="42"/>
      <c r="S291" s="40"/>
      <c r="T291" s="44" t="str">
        <f aca="false">IF(OR(R291="",O291="",P291="",O291=P291),"",ROUND(IF(F291="Long",(R291-O291)/(O291-P291),(O291-R291)/(P291-O291)),2))</f>
        <v/>
      </c>
      <c r="U291" s="38" t="str">
        <f aca="false">IF(T291="","",IF(T291&gt;=Settings!$B$20,"Win",IF(T291&lt;=-Settings!$B$20,"Loss","BE")))</f>
        <v/>
      </c>
      <c r="V291" s="45" t="str">
        <f aca="false">IF(B291="","",Settings!$B$6)</f>
        <v/>
      </c>
      <c r="W291" s="46" t="str">
        <f aca="false">IF(B291="","",(Settings!$B$5+SUM(X$4:X290))*V291)</f>
        <v/>
      </c>
      <c r="X291" s="46" t="str">
        <f aca="false">IF(T291="","",ROUND(T291*W291,2))</f>
        <v/>
      </c>
      <c r="Y291" s="46" t="str">
        <f aca="false">IF(T291="","",Settings!$B$5+SUM(X$5:X291))</f>
        <v/>
      </c>
      <c r="Z291" s="43" t="str">
        <f aca="false">IF(T291="","",SUM(T$5:T291))</f>
        <v/>
      </c>
      <c r="AA291" s="43" t="str">
        <f aca="false">IF(T291="","",MAX(0,MAX(Z$5:Z291)))</f>
        <v/>
      </c>
      <c r="AB291" s="43" t="str">
        <f aca="false">IF(T291="","",Z291-AA291)</f>
        <v/>
      </c>
      <c r="AC291" s="38" t="str">
        <f aca="false">IF(U291="","",IF(U291="Loss",N(AC290)+1,0))</f>
        <v/>
      </c>
      <c r="AD291" s="40"/>
      <c r="AE291" s="38" t="str">
        <f aca="false">IF(B291="","",IF(AND(M291="Yes",OR(AD291="None",AD291="")),"Yes","No"))</f>
        <v/>
      </c>
      <c r="AF291" s="40"/>
      <c r="AG291" s="40"/>
      <c r="AH291" s="47"/>
      <c r="AI291" s="47"/>
    </row>
    <row r="292" customFormat="false" ht="15" hidden="false" customHeight="false" outlineLevel="0" collapsed="false">
      <c r="A292" s="38" t="str">
        <f aca="false">IF(B292="","",ROW()-4)</f>
        <v/>
      </c>
      <c r="B292" s="39"/>
      <c r="C292" s="38" t="str">
        <f aca="false">IF(B292="","",INT((B292-Settings!$B$4)/7)+1)</f>
        <v/>
      </c>
      <c r="D292" s="40"/>
      <c r="E292" s="40"/>
      <c r="F292" s="40"/>
      <c r="G292" s="40"/>
      <c r="H292" s="40"/>
      <c r="I292" s="40"/>
      <c r="J292" s="40"/>
      <c r="K292" s="40"/>
      <c r="L292" s="40"/>
      <c r="M292" s="38" t="str">
        <f aca="false">IF(B292="","",IF(COUNTIF(H292:L292,"Y")=5,"Yes","No"))</f>
        <v/>
      </c>
      <c r="N292" s="41"/>
      <c r="O292" s="42"/>
      <c r="P292" s="42"/>
      <c r="Q292" s="43" t="str">
        <f aca="false">IF(OR(O292="",P292=""),"",IF(F292="Long",O292+Settings!$B$7*(O292-P292),O292-Settings!$B$7*(P292-O292)))</f>
        <v/>
      </c>
      <c r="R292" s="42"/>
      <c r="S292" s="40"/>
      <c r="T292" s="44" t="str">
        <f aca="false">IF(OR(R292="",O292="",P292="",O292=P292),"",ROUND(IF(F292="Long",(R292-O292)/(O292-P292),(O292-R292)/(P292-O292)),2))</f>
        <v/>
      </c>
      <c r="U292" s="38" t="str">
        <f aca="false">IF(T292="","",IF(T292&gt;=Settings!$B$20,"Win",IF(T292&lt;=-Settings!$B$20,"Loss","BE")))</f>
        <v/>
      </c>
      <c r="V292" s="45" t="str">
        <f aca="false">IF(B292="","",Settings!$B$6)</f>
        <v/>
      </c>
      <c r="W292" s="46" t="str">
        <f aca="false">IF(B292="","",(Settings!$B$5+SUM(X$4:X291))*V292)</f>
        <v/>
      </c>
      <c r="X292" s="46" t="str">
        <f aca="false">IF(T292="","",ROUND(T292*W292,2))</f>
        <v/>
      </c>
      <c r="Y292" s="46" t="str">
        <f aca="false">IF(T292="","",Settings!$B$5+SUM(X$5:X292))</f>
        <v/>
      </c>
      <c r="Z292" s="43" t="str">
        <f aca="false">IF(T292="","",SUM(T$5:T292))</f>
        <v/>
      </c>
      <c r="AA292" s="43" t="str">
        <f aca="false">IF(T292="","",MAX(0,MAX(Z$5:Z292)))</f>
        <v/>
      </c>
      <c r="AB292" s="43" t="str">
        <f aca="false">IF(T292="","",Z292-AA292)</f>
        <v/>
      </c>
      <c r="AC292" s="38" t="str">
        <f aca="false">IF(U292="","",IF(U292="Loss",N(AC291)+1,0))</f>
        <v/>
      </c>
      <c r="AD292" s="40"/>
      <c r="AE292" s="38" t="str">
        <f aca="false">IF(B292="","",IF(AND(M292="Yes",OR(AD292="None",AD292="")),"Yes","No"))</f>
        <v/>
      </c>
      <c r="AF292" s="40"/>
      <c r="AG292" s="40"/>
      <c r="AH292" s="47"/>
      <c r="AI292" s="47"/>
    </row>
    <row r="293" customFormat="false" ht="15" hidden="false" customHeight="false" outlineLevel="0" collapsed="false">
      <c r="A293" s="38" t="str">
        <f aca="false">IF(B293="","",ROW()-4)</f>
        <v/>
      </c>
      <c r="B293" s="39"/>
      <c r="C293" s="38" t="str">
        <f aca="false">IF(B293="","",INT((B293-Settings!$B$4)/7)+1)</f>
        <v/>
      </c>
      <c r="D293" s="40"/>
      <c r="E293" s="40"/>
      <c r="F293" s="40"/>
      <c r="G293" s="40"/>
      <c r="H293" s="40"/>
      <c r="I293" s="40"/>
      <c r="J293" s="40"/>
      <c r="K293" s="40"/>
      <c r="L293" s="40"/>
      <c r="M293" s="38" t="str">
        <f aca="false">IF(B293="","",IF(COUNTIF(H293:L293,"Y")=5,"Yes","No"))</f>
        <v/>
      </c>
      <c r="N293" s="41"/>
      <c r="O293" s="42"/>
      <c r="P293" s="42"/>
      <c r="Q293" s="43" t="str">
        <f aca="false">IF(OR(O293="",P293=""),"",IF(F293="Long",O293+Settings!$B$7*(O293-P293),O293-Settings!$B$7*(P293-O293)))</f>
        <v/>
      </c>
      <c r="R293" s="42"/>
      <c r="S293" s="40"/>
      <c r="T293" s="44" t="str">
        <f aca="false">IF(OR(R293="",O293="",P293="",O293=P293),"",ROUND(IF(F293="Long",(R293-O293)/(O293-P293),(O293-R293)/(P293-O293)),2))</f>
        <v/>
      </c>
      <c r="U293" s="38" t="str">
        <f aca="false">IF(T293="","",IF(T293&gt;=Settings!$B$20,"Win",IF(T293&lt;=-Settings!$B$20,"Loss","BE")))</f>
        <v/>
      </c>
      <c r="V293" s="45" t="str">
        <f aca="false">IF(B293="","",Settings!$B$6)</f>
        <v/>
      </c>
      <c r="W293" s="46" t="str">
        <f aca="false">IF(B293="","",(Settings!$B$5+SUM(X$4:X292))*V293)</f>
        <v/>
      </c>
      <c r="X293" s="46" t="str">
        <f aca="false">IF(T293="","",ROUND(T293*W293,2))</f>
        <v/>
      </c>
      <c r="Y293" s="46" t="str">
        <f aca="false">IF(T293="","",Settings!$B$5+SUM(X$5:X293))</f>
        <v/>
      </c>
      <c r="Z293" s="43" t="str">
        <f aca="false">IF(T293="","",SUM(T$5:T293))</f>
        <v/>
      </c>
      <c r="AA293" s="43" t="str">
        <f aca="false">IF(T293="","",MAX(0,MAX(Z$5:Z293)))</f>
        <v/>
      </c>
      <c r="AB293" s="43" t="str">
        <f aca="false">IF(T293="","",Z293-AA293)</f>
        <v/>
      </c>
      <c r="AC293" s="38" t="str">
        <f aca="false">IF(U293="","",IF(U293="Loss",N(AC292)+1,0))</f>
        <v/>
      </c>
      <c r="AD293" s="40"/>
      <c r="AE293" s="38" t="str">
        <f aca="false">IF(B293="","",IF(AND(M293="Yes",OR(AD293="None",AD293="")),"Yes","No"))</f>
        <v/>
      </c>
      <c r="AF293" s="40"/>
      <c r="AG293" s="40"/>
      <c r="AH293" s="47"/>
      <c r="AI293" s="47"/>
    </row>
    <row r="294" customFormat="false" ht="15" hidden="false" customHeight="false" outlineLevel="0" collapsed="false">
      <c r="A294" s="38" t="str">
        <f aca="false">IF(B294="","",ROW()-4)</f>
        <v/>
      </c>
      <c r="B294" s="39"/>
      <c r="C294" s="38" t="str">
        <f aca="false">IF(B294="","",INT((B294-Settings!$B$4)/7)+1)</f>
        <v/>
      </c>
      <c r="D294" s="40"/>
      <c r="E294" s="40"/>
      <c r="F294" s="40"/>
      <c r="G294" s="40"/>
      <c r="H294" s="40"/>
      <c r="I294" s="40"/>
      <c r="J294" s="40"/>
      <c r="K294" s="40"/>
      <c r="L294" s="40"/>
      <c r="M294" s="38" t="str">
        <f aca="false">IF(B294="","",IF(COUNTIF(H294:L294,"Y")=5,"Yes","No"))</f>
        <v/>
      </c>
      <c r="N294" s="41"/>
      <c r="O294" s="42"/>
      <c r="P294" s="42"/>
      <c r="Q294" s="43" t="str">
        <f aca="false">IF(OR(O294="",P294=""),"",IF(F294="Long",O294+Settings!$B$7*(O294-P294),O294-Settings!$B$7*(P294-O294)))</f>
        <v/>
      </c>
      <c r="R294" s="42"/>
      <c r="S294" s="40"/>
      <c r="T294" s="44" t="str">
        <f aca="false">IF(OR(R294="",O294="",P294="",O294=P294),"",ROUND(IF(F294="Long",(R294-O294)/(O294-P294),(O294-R294)/(P294-O294)),2))</f>
        <v/>
      </c>
      <c r="U294" s="38" t="str">
        <f aca="false">IF(T294="","",IF(T294&gt;=Settings!$B$20,"Win",IF(T294&lt;=-Settings!$B$20,"Loss","BE")))</f>
        <v/>
      </c>
      <c r="V294" s="45" t="str">
        <f aca="false">IF(B294="","",Settings!$B$6)</f>
        <v/>
      </c>
      <c r="W294" s="46" t="str">
        <f aca="false">IF(B294="","",(Settings!$B$5+SUM(X$4:X293))*V294)</f>
        <v/>
      </c>
      <c r="X294" s="46" t="str">
        <f aca="false">IF(T294="","",ROUND(T294*W294,2))</f>
        <v/>
      </c>
      <c r="Y294" s="46" t="str">
        <f aca="false">IF(T294="","",Settings!$B$5+SUM(X$5:X294))</f>
        <v/>
      </c>
      <c r="Z294" s="43" t="str">
        <f aca="false">IF(T294="","",SUM(T$5:T294))</f>
        <v/>
      </c>
      <c r="AA294" s="43" t="str">
        <f aca="false">IF(T294="","",MAX(0,MAX(Z$5:Z294)))</f>
        <v/>
      </c>
      <c r="AB294" s="43" t="str">
        <f aca="false">IF(T294="","",Z294-AA294)</f>
        <v/>
      </c>
      <c r="AC294" s="38" t="str">
        <f aca="false">IF(U294="","",IF(U294="Loss",N(AC293)+1,0))</f>
        <v/>
      </c>
      <c r="AD294" s="40"/>
      <c r="AE294" s="38" t="str">
        <f aca="false">IF(B294="","",IF(AND(M294="Yes",OR(AD294="None",AD294="")),"Yes","No"))</f>
        <v/>
      </c>
      <c r="AF294" s="40"/>
      <c r="AG294" s="40"/>
      <c r="AH294" s="47"/>
      <c r="AI294" s="47"/>
    </row>
    <row r="295" customFormat="false" ht="15" hidden="false" customHeight="false" outlineLevel="0" collapsed="false">
      <c r="A295" s="38" t="str">
        <f aca="false">IF(B295="","",ROW()-4)</f>
        <v/>
      </c>
      <c r="B295" s="39"/>
      <c r="C295" s="38" t="str">
        <f aca="false">IF(B295="","",INT((B295-Settings!$B$4)/7)+1)</f>
        <v/>
      </c>
      <c r="D295" s="40"/>
      <c r="E295" s="40"/>
      <c r="F295" s="40"/>
      <c r="G295" s="40"/>
      <c r="H295" s="40"/>
      <c r="I295" s="40"/>
      <c r="J295" s="40"/>
      <c r="K295" s="40"/>
      <c r="L295" s="40"/>
      <c r="M295" s="38" t="str">
        <f aca="false">IF(B295="","",IF(COUNTIF(H295:L295,"Y")=5,"Yes","No"))</f>
        <v/>
      </c>
      <c r="N295" s="41"/>
      <c r="O295" s="42"/>
      <c r="P295" s="42"/>
      <c r="Q295" s="43" t="str">
        <f aca="false">IF(OR(O295="",P295=""),"",IF(F295="Long",O295+Settings!$B$7*(O295-P295),O295-Settings!$B$7*(P295-O295)))</f>
        <v/>
      </c>
      <c r="R295" s="42"/>
      <c r="S295" s="40"/>
      <c r="T295" s="44" t="str">
        <f aca="false">IF(OR(R295="",O295="",P295="",O295=P295),"",ROUND(IF(F295="Long",(R295-O295)/(O295-P295),(O295-R295)/(P295-O295)),2))</f>
        <v/>
      </c>
      <c r="U295" s="38" t="str">
        <f aca="false">IF(T295="","",IF(T295&gt;=Settings!$B$20,"Win",IF(T295&lt;=-Settings!$B$20,"Loss","BE")))</f>
        <v/>
      </c>
      <c r="V295" s="45" t="str">
        <f aca="false">IF(B295="","",Settings!$B$6)</f>
        <v/>
      </c>
      <c r="W295" s="46" t="str">
        <f aca="false">IF(B295="","",(Settings!$B$5+SUM(X$4:X294))*V295)</f>
        <v/>
      </c>
      <c r="X295" s="46" t="str">
        <f aca="false">IF(T295="","",ROUND(T295*W295,2))</f>
        <v/>
      </c>
      <c r="Y295" s="46" t="str">
        <f aca="false">IF(T295="","",Settings!$B$5+SUM(X$5:X295))</f>
        <v/>
      </c>
      <c r="Z295" s="43" t="str">
        <f aca="false">IF(T295="","",SUM(T$5:T295))</f>
        <v/>
      </c>
      <c r="AA295" s="43" t="str">
        <f aca="false">IF(T295="","",MAX(0,MAX(Z$5:Z295)))</f>
        <v/>
      </c>
      <c r="AB295" s="43" t="str">
        <f aca="false">IF(T295="","",Z295-AA295)</f>
        <v/>
      </c>
      <c r="AC295" s="38" t="str">
        <f aca="false">IF(U295="","",IF(U295="Loss",N(AC294)+1,0))</f>
        <v/>
      </c>
      <c r="AD295" s="40"/>
      <c r="AE295" s="38" t="str">
        <f aca="false">IF(B295="","",IF(AND(M295="Yes",OR(AD295="None",AD295="")),"Yes","No"))</f>
        <v/>
      </c>
      <c r="AF295" s="40"/>
      <c r="AG295" s="40"/>
      <c r="AH295" s="47"/>
      <c r="AI295" s="47"/>
    </row>
    <row r="296" customFormat="false" ht="15" hidden="false" customHeight="false" outlineLevel="0" collapsed="false">
      <c r="A296" s="38" t="str">
        <f aca="false">IF(B296="","",ROW()-4)</f>
        <v/>
      </c>
      <c r="B296" s="39"/>
      <c r="C296" s="38" t="str">
        <f aca="false">IF(B296="","",INT((B296-Settings!$B$4)/7)+1)</f>
        <v/>
      </c>
      <c r="D296" s="40"/>
      <c r="E296" s="40"/>
      <c r="F296" s="40"/>
      <c r="G296" s="40"/>
      <c r="H296" s="40"/>
      <c r="I296" s="40"/>
      <c r="J296" s="40"/>
      <c r="K296" s="40"/>
      <c r="L296" s="40"/>
      <c r="M296" s="38" t="str">
        <f aca="false">IF(B296="","",IF(COUNTIF(H296:L296,"Y")=5,"Yes","No"))</f>
        <v/>
      </c>
      <c r="N296" s="41"/>
      <c r="O296" s="42"/>
      <c r="P296" s="42"/>
      <c r="Q296" s="43" t="str">
        <f aca="false">IF(OR(O296="",P296=""),"",IF(F296="Long",O296+Settings!$B$7*(O296-P296),O296-Settings!$B$7*(P296-O296)))</f>
        <v/>
      </c>
      <c r="R296" s="42"/>
      <c r="S296" s="40"/>
      <c r="T296" s="44" t="str">
        <f aca="false">IF(OR(R296="",O296="",P296="",O296=P296),"",ROUND(IF(F296="Long",(R296-O296)/(O296-P296),(O296-R296)/(P296-O296)),2))</f>
        <v/>
      </c>
      <c r="U296" s="38" t="str">
        <f aca="false">IF(T296="","",IF(T296&gt;=Settings!$B$20,"Win",IF(T296&lt;=-Settings!$B$20,"Loss","BE")))</f>
        <v/>
      </c>
      <c r="V296" s="45" t="str">
        <f aca="false">IF(B296="","",Settings!$B$6)</f>
        <v/>
      </c>
      <c r="W296" s="46" t="str">
        <f aca="false">IF(B296="","",(Settings!$B$5+SUM(X$4:X295))*V296)</f>
        <v/>
      </c>
      <c r="X296" s="46" t="str">
        <f aca="false">IF(T296="","",ROUND(T296*W296,2))</f>
        <v/>
      </c>
      <c r="Y296" s="46" t="str">
        <f aca="false">IF(T296="","",Settings!$B$5+SUM(X$5:X296))</f>
        <v/>
      </c>
      <c r="Z296" s="43" t="str">
        <f aca="false">IF(T296="","",SUM(T$5:T296))</f>
        <v/>
      </c>
      <c r="AA296" s="43" t="str">
        <f aca="false">IF(T296="","",MAX(0,MAX(Z$5:Z296)))</f>
        <v/>
      </c>
      <c r="AB296" s="43" t="str">
        <f aca="false">IF(T296="","",Z296-AA296)</f>
        <v/>
      </c>
      <c r="AC296" s="38" t="str">
        <f aca="false">IF(U296="","",IF(U296="Loss",N(AC295)+1,0))</f>
        <v/>
      </c>
      <c r="AD296" s="40"/>
      <c r="AE296" s="38" t="str">
        <f aca="false">IF(B296="","",IF(AND(M296="Yes",OR(AD296="None",AD296="")),"Yes","No"))</f>
        <v/>
      </c>
      <c r="AF296" s="40"/>
      <c r="AG296" s="40"/>
      <c r="AH296" s="47"/>
      <c r="AI296" s="47"/>
    </row>
    <row r="297" customFormat="false" ht="15" hidden="false" customHeight="false" outlineLevel="0" collapsed="false">
      <c r="A297" s="38" t="str">
        <f aca="false">IF(B297="","",ROW()-4)</f>
        <v/>
      </c>
      <c r="B297" s="39"/>
      <c r="C297" s="38" t="str">
        <f aca="false">IF(B297="","",INT((B297-Settings!$B$4)/7)+1)</f>
        <v/>
      </c>
      <c r="D297" s="40"/>
      <c r="E297" s="40"/>
      <c r="F297" s="40"/>
      <c r="G297" s="40"/>
      <c r="H297" s="40"/>
      <c r="I297" s="40"/>
      <c r="J297" s="40"/>
      <c r="K297" s="40"/>
      <c r="L297" s="40"/>
      <c r="M297" s="38" t="str">
        <f aca="false">IF(B297="","",IF(COUNTIF(H297:L297,"Y")=5,"Yes","No"))</f>
        <v/>
      </c>
      <c r="N297" s="41"/>
      <c r="O297" s="42"/>
      <c r="P297" s="42"/>
      <c r="Q297" s="43" t="str">
        <f aca="false">IF(OR(O297="",P297=""),"",IF(F297="Long",O297+Settings!$B$7*(O297-P297),O297-Settings!$B$7*(P297-O297)))</f>
        <v/>
      </c>
      <c r="R297" s="42"/>
      <c r="S297" s="40"/>
      <c r="T297" s="44" t="str">
        <f aca="false">IF(OR(R297="",O297="",P297="",O297=P297),"",ROUND(IF(F297="Long",(R297-O297)/(O297-P297),(O297-R297)/(P297-O297)),2))</f>
        <v/>
      </c>
      <c r="U297" s="38" t="str">
        <f aca="false">IF(T297="","",IF(T297&gt;=Settings!$B$20,"Win",IF(T297&lt;=-Settings!$B$20,"Loss","BE")))</f>
        <v/>
      </c>
      <c r="V297" s="45" t="str">
        <f aca="false">IF(B297="","",Settings!$B$6)</f>
        <v/>
      </c>
      <c r="W297" s="46" t="str">
        <f aca="false">IF(B297="","",(Settings!$B$5+SUM(X$4:X296))*V297)</f>
        <v/>
      </c>
      <c r="X297" s="46" t="str">
        <f aca="false">IF(T297="","",ROUND(T297*W297,2))</f>
        <v/>
      </c>
      <c r="Y297" s="46" t="str">
        <f aca="false">IF(T297="","",Settings!$B$5+SUM(X$5:X297))</f>
        <v/>
      </c>
      <c r="Z297" s="43" t="str">
        <f aca="false">IF(T297="","",SUM(T$5:T297))</f>
        <v/>
      </c>
      <c r="AA297" s="43" t="str">
        <f aca="false">IF(T297="","",MAX(0,MAX(Z$5:Z297)))</f>
        <v/>
      </c>
      <c r="AB297" s="43" t="str">
        <f aca="false">IF(T297="","",Z297-AA297)</f>
        <v/>
      </c>
      <c r="AC297" s="38" t="str">
        <f aca="false">IF(U297="","",IF(U297="Loss",N(AC296)+1,0))</f>
        <v/>
      </c>
      <c r="AD297" s="40"/>
      <c r="AE297" s="38" t="str">
        <f aca="false">IF(B297="","",IF(AND(M297="Yes",OR(AD297="None",AD297="")),"Yes","No"))</f>
        <v/>
      </c>
      <c r="AF297" s="40"/>
      <c r="AG297" s="40"/>
      <c r="AH297" s="47"/>
      <c r="AI297" s="47"/>
    </row>
    <row r="298" customFormat="false" ht="15" hidden="false" customHeight="false" outlineLevel="0" collapsed="false">
      <c r="A298" s="38" t="str">
        <f aca="false">IF(B298="","",ROW()-4)</f>
        <v/>
      </c>
      <c r="B298" s="39"/>
      <c r="C298" s="38" t="str">
        <f aca="false">IF(B298="","",INT((B298-Settings!$B$4)/7)+1)</f>
        <v/>
      </c>
      <c r="D298" s="40"/>
      <c r="E298" s="40"/>
      <c r="F298" s="40"/>
      <c r="G298" s="40"/>
      <c r="H298" s="40"/>
      <c r="I298" s="40"/>
      <c r="J298" s="40"/>
      <c r="K298" s="40"/>
      <c r="L298" s="40"/>
      <c r="M298" s="38" t="str">
        <f aca="false">IF(B298="","",IF(COUNTIF(H298:L298,"Y")=5,"Yes","No"))</f>
        <v/>
      </c>
      <c r="N298" s="41"/>
      <c r="O298" s="42"/>
      <c r="P298" s="42"/>
      <c r="Q298" s="43" t="str">
        <f aca="false">IF(OR(O298="",P298=""),"",IF(F298="Long",O298+Settings!$B$7*(O298-P298),O298-Settings!$B$7*(P298-O298)))</f>
        <v/>
      </c>
      <c r="R298" s="42"/>
      <c r="S298" s="40"/>
      <c r="T298" s="44" t="str">
        <f aca="false">IF(OR(R298="",O298="",P298="",O298=P298),"",ROUND(IF(F298="Long",(R298-O298)/(O298-P298),(O298-R298)/(P298-O298)),2))</f>
        <v/>
      </c>
      <c r="U298" s="38" t="str">
        <f aca="false">IF(T298="","",IF(T298&gt;=Settings!$B$20,"Win",IF(T298&lt;=-Settings!$B$20,"Loss","BE")))</f>
        <v/>
      </c>
      <c r="V298" s="45" t="str">
        <f aca="false">IF(B298="","",Settings!$B$6)</f>
        <v/>
      </c>
      <c r="W298" s="46" t="str">
        <f aca="false">IF(B298="","",(Settings!$B$5+SUM(X$4:X297))*V298)</f>
        <v/>
      </c>
      <c r="X298" s="46" t="str">
        <f aca="false">IF(T298="","",ROUND(T298*W298,2))</f>
        <v/>
      </c>
      <c r="Y298" s="46" t="str">
        <f aca="false">IF(T298="","",Settings!$B$5+SUM(X$5:X298))</f>
        <v/>
      </c>
      <c r="Z298" s="43" t="str">
        <f aca="false">IF(T298="","",SUM(T$5:T298))</f>
        <v/>
      </c>
      <c r="AA298" s="43" t="str">
        <f aca="false">IF(T298="","",MAX(0,MAX(Z$5:Z298)))</f>
        <v/>
      </c>
      <c r="AB298" s="43" t="str">
        <f aca="false">IF(T298="","",Z298-AA298)</f>
        <v/>
      </c>
      <c r="AC298" s="38" t="str">
        <f aca="false">IF(U298="","",IF(U298="Loss",N(AC297)+1,0))</f>
        <v/>
      </c>
      <c r="AD298" s="40"/>
      <c r="AE298" s="38" t="str">
        <f aca="false">IF(B298="","",IF(AND(M298="Yes",OR(AD298="None",AD298="")),"Yes","No"))</f>
        <v/>
      </c>
      <c r="AF298" s="40"/>
      <c r="AG298" s="40"/>
      <c r="AH298" s="47"/>
      <c r="AI298" s="47"/>
    </row>
    <row r="299" customFormat="false" ht="15" hidden="false" customHeight="false" outlineLevel="0" collapsed="false">
      <c r="A299" s="38" t="str">
        <f aca="false">IF(B299="","",ROW()-4)</f>
        <v/>
      </c>
      <c r="B299" s="39"/>
      <c r="C299" s="38" t="str">
        <f aca="false">IF(B299="","",INT((B299-Settings!$B$4)/7)+1)</f>
        <v/>
      </c>
      <c r="D299" s="40"/>
      <c r="E299" s="40"/>
      <c r="F299" s="40"/>
      <c r="G299" s="40"/>
      <c r="H299" s="40"/>
      <c r="I299" s="40"/>
      <c r="J299" s="40"/>
      <c r="K299" s="40"/>
      <c r="L299" s="40"/>
      <c r="M299" s="38" t="str">
        <f aca="false">IF(B299="","",IF(COUNTIF(H299:L299,"Y")=5,"Yes","No"))</f>
        <v/>
      </c>
      <c r="N299" s="41"/>
      <c r="O299" s="42"/>
      <c r="P299" s="42"/>
      <c r="Q299" s="43" t="str">
        <f aca="false">IF(OR(O299="",P299=""),"",IF(F299="Long",O299+Settings!$B$7*(O299-P299),O299-Settings!$B$7*(P299-O299)))</f>
        <v/>
      </c>
      <c r="R299" s="42"/>
      <c r="S299" s="40"/>
      <c r="T299" s="44" t="str">
        <f aca="false">IF(OR(R299="",O299="",P299="",O299=P299),"",ROUND(IF(F299="Long",(R299-O299)/(O299-P299),(O299-R299)/(P299-O299)),2))</f>
        <v/>
      </c>
      <c r="U299" s="38" t="str">
        <f aca="false">IF(T299="","",IF(T299&gt;=Settings!$B$20,"Win",IF(T299&lt;=-Settings!$B$20,"Loss","BE")))</f>
        <v/>
      </c>
      <c r="V299" s="45" t="str">
        <f aca="false">IF(B299="","",Settings!$B$6)</f>
        <v/>
      </c>
      <c r="W299" s="46" t="str">
        <f aca="false">IF(B299="","",(Settings!$B$5+SUM(X$4:X298))*V299)</f>
        <v/>
      </c>
      <c r="X299" s="46" t="str">
        <f aca="false">IF(T299="","",ROUND(T299*W299,2))</f>
        <v/>
      </c>
      <c r="Y299" s="46" t="str">
        <f aca="false">IF(T299="","",Settings!$B$5+SUM(X$5:X299))</f>
        <v/>
      </c>
      <c r="Z299" s="43" t="str">
        <f aca="false">IF(T299="","",SUM(T$5:T299))</f>
        <v/>
      </c>
      <c r="AA299" s="43" t="str">
        <f aca="false">IF(T299="","",MAX(0,MAX(Z$5:Z299)))</f>
        <v/>
      </c>
      <c r="AB299" s="43" t="str">
        <f aca="false">IF(T299="","",Z299-AA299)</f>
        <v/>
      </c>
      <c r="AC299" s="38" t="str">
        <f aca="false">IF(U299="","",IF(U299="Loss",N(AC298)+1,0))</f>
        <v/>
      </c>
      <c r="AD299" s="40"/>
      <c r="AE299" s="38" t="str">
        <f aca="false">IF(B299="","",IF(AND(M299="Yes",OR(AD299="None",AD299="")),"Yes","No"))</f>
        <v/>
      </c>
      <c r="AF299" s="40"/>
      <c r="AG299" s="40"/>
      <c r="AH299" s="47"/>
      <c r="AI299" s="47"/>
    </row>
    <row r="300" customFormat="false" ht="15" hidden="false" customHeight="false" outlineLevel="0" collapsed="false">
      <c r="A300" s="38" t="str">
        <f aca="false">IF(B300="","",ROW()-4)</f>
        <v/>
      </c>
      <c r="B300" s="39"/>
      <c r="C300" s="38" t="str">
        <f aca="false">IF(B300="","",INT((B300-Settings!$B$4)/7)+1)</f>
        <v/>
      </c>
      <c r="D300" s="40"/>
      <c r="E300" s="40"/>
      <c r="F300" s="40"/>
      <c r="G300" s="40"/>
      <c r="H300" s="40"/>
      <c r="I300" s="40"/>
      <c r="J300" s="40"/>
      <c r="K300" s="40"/>
      <c r="L300" s="40"/>
      <c r="M300" s="38" t="str">
        <f aca="false">IF(B300="","",IF(COUNTIF(H300:L300,"Y")=5,"Yes","No"))</f>
        <v/>
      </c>
      <c r="N300" s="41"/>
      <c r="O300" s="42"/>
      <c r="P300" s="42"/>
      <c r="Q300" s="43" t="str">
        <f aca="false">IF(OR(O300="",P300=""),"",IF(F300="Long",O300+Settings!$B$7*(O300-P300),O300-Settings!$B$7*(P300-O300)))</f>
        <v/>
      </c>
      <c r="R300" s="42"/>
      <c r="S300" s="40"/>
      <c r="T300" s="44" t="str">
        <f aca="false">IF(OR(R300="",O300="",P300="",O300=P300),"",ROUND(IF(F300="Long",(R300-O300)/(O300-P300),(O300-R300)/(P300-O300)),2))</f>
        <v/>
      </c>
      <c r="U300" s="38" t="str">
        <f aca="false">IF(T300="","",IF(T300&gt;=Settings!$B$20,"Win",IF(T300&lt;=-Settings!$B$20,"Loss","BE")))</f>
        <v/>
      </c>
      <c r="V300" s="45" t="str">
        <f aca="false">IF(B300="","",Settings!$B$6)</f>
        <v/>
      </c>
      <c r="W300" s="46" t="str">
        <f aca="false">IF(B300="","",(Settings!$B$5+SUM(X$4:X299))*V300)</f>
        <v/>
      </c>
      <c r="X300" s="46" t="str">
        <f aca="false">IF(T300="","",ROUND(T300*W300,2))</f>
        <v/>
      </c>
      <c r="Y300" s="46" t="str">
        <f aca="false">IF(T300="","",Settings!$B$5+SUM(X$5:X300))</f>
        <v/>
      </c>
      <c r="Z300" s="43" t="str">
        <f aca="false">IF(T300="","",SUM(T$5:T300))</f>
        <v/>
      </c>
      <c r="AA300" s="43" t="str">
        <f aca="false">IF(T300="","",MAX(0,MAX(Z$5:Z300)))</f>
        <v/>
      </c>
      <c r="AB300" s="43" t="str">
        <f aca="false">IF(T300="","",Z300-AA300)</f>
        <v/>
      </c>
      <c r="AC300" s="38" t="str">
        <f aca="false">IF(U300="","",IF(U300="Loss",N(AC299)+1,0))</f>
        <v/>
      </c>
      <c r="AD300" s="40"/>
      <c r="AE300" s="38" t="str">
        <f aca="false">IF(B300="","",IF(AND(M300="Yes",OR(AD300="None",AD300="")),"Yes","No"))</f>
        <v/>
      </c>
      <c r="AF300" s="40"/>
      <c r="AG300" s="40"/>
      <c r="AH300" s="47"/>
      <c r="AI300" s="47"/>
    </row>
    <row r="301" customFormat="false" ht="15" hidden="false" customHeight="false" outlineLevel="0" collapsed="false">
      <c r="A301" s="38" t="str">
        <f aca="false">IF(B301="","",ROW()-4)</f>
        <v/>
      </c>
      <c r="B301" s="39"/>
      <c r="C301" s="38" t="str">
        <f aca="false">IF(B301="","",INT((B301-Settings!$B$4)/7)+1)</f>
        <v/>
      </c>
      <c r="D301" s="40"/>
      <c r="E301" s="40"/>
      <c r="F301" s="40"/>
      <c r="G301" s="40"/>
      <c r="H301" s="40"/>
      <c r="I301" s="40"/>
      <c r="J301" s="40"/>
      <c r="K301" s="40"/>
      <c r="L301" s="40"/>
      <c r="M301" s="38" t="str">
        <f aca="false">IF(B301="","",IF(COUNTIF(H301:L301,"Y")=5,"Yes","No"))</f>
        <v/>
      </c>
      <c r="N301" s="41"/>
      <c r="O301" s="42"/>
      <c r="P301" s="42"/>
      <c r="Q301" s="43" t="str">
        <f aca="false">IF(OR(O301="",P301=""),"",IF(F301="Long",O301+Settings!$B$7*(O301-P301),O301-Settings!$B$7*(P301-O301)))</f>
        <v/>
      </c>
      <c r="R301" s="42"/>
      <c r="S301" s="40"/>
      <c r="T301" s="44" t="str">
        <f aca="false">IF(OR(R301="",O301="",P301="",O301=P301),"",ROUND(IF(F301="Long",(R301-O301)/(O301-P301),(O301-R301)/(P301-O301)),2))</f>
        <v/>
      </c>
      <c r="U301" s="38" t="str">
        <f aca="false">IF(T301="","",IF(T301&gt;=Settings!$B$20,"Win",IF(T301&lt;=-Settings!$B$20,"Loss","BE")))</f>
        <v/>
      </c>
      <c r="V301" s="45" t="str">
        <f aca="false">IF(B301="","",Settings!$B$6)</f>
        <v/>
      </c>
      <c r="W301" s="46" t="str">
        <f aca="false">IF(B301="","",(Settings!$B$5+SUM(X$4:X300))*V301)</f>
        <v/>
      </c>
      <c r="X301" s="46" t="str">
        <f aca="false">IF(T301="","",ROUND(T301*W301,2))</f>
        <v/>
      </c>
      <c r="Y301" s="46" t="str">
        <f aca="false">IF(T301="","",Settings!$B$5+SUM(X$5:X301))</f>
        <v/>
      </c>
      <c r="Z301" s="43" t="str">
        <f aca="false">IF(T301="","",SUM(T$5:T301))</f>
        <v/>
      </c>
      <c r="AA301" s="43" t="str">
        <f aca="false">IF(T301="","",MAX(0,MAX(Z$5:Z301)))</f>
        <v/>
      </c>
      <c r="AB301" s="43" t="str">
        <f aca="false">IF(T301="","",Z301-AA301)</f>
        <v/>
      </c>
      <c r="AC301" s="38" t="str">
        <f aca="false">IF(U301="","",IF(U301="Loss",N(AC300)+1,0))</f>
        <v/>
      </c>
      <c r="AD301" s="40"/>
      <c r="AE301" s="38" t="str">
        <f aca="false">IF(B301="","",IF(AND(M301="Yes",OR(AD301="None",AD301="")),"Yes","No"))</f>
        <v/>
      </c>
      <c r="AF301" s="40"/>
      <c r="AG301" s="40"/>
      <c r="AH301" s="47"/>
      <c r="AI301" s="47"/>
    </row>
    <row r="302" customFormat="false" ht="15" hidden="false" customHeight="false" outlineLevel="0" collapsed="false">
      <c r="A302" s="38" t="str">
        <f aca="false">IF(B302="","",ROW()-4)</f>
        <v/>
      </c>
      <c r="B302" s="39"/>
      <c r="C302" s="38" t="str">
        <f aca="false">IF(B302="","",INT((B302-Settings!$B$4)/7)+1)</f>
        <v/>
      </c>
      <c r="D302" s="40"/>
      <c r="E302" s="40"/>
      <c r="F302" s="40"/>
      <c r="G302" s="40"/>
      <c r="H302" s="40"/>
      <c r="I302" s="40"/>
      <c r="J302" s="40"/>
      <c r="K302" s="40"/>
      <c r="L302" s="40"/>
      <c r="M302" s="38" t="str">
        <f aca="false">IF(B302="","",IF(COUNTIF(H302:L302,"Y")=5,"Yes","No"))</f>
        <v/>
      </c>
      <c r="N302" s="41"/>
      <c r="O302" s="42"/>
      <c r="P302" s="42"/>
      <c r="Q302" s="43" t="str">
        <f aca="false">IF(OR(O302="",P302=""),"",IF(F302="Long",O302+Settings!$B$7*(O302-P302),O302-Settings!$B$7*(P302-O302)))</f>
        <v/>
      </c>
      <c r="R302" s="42"/>
      <c r="S302" s="40"/>
      <c r="T302" s="44" t="str">
        <f aca="false">IF(OR(R302="",O302="",P302="",O302=P302),"",ROUND(IF(F302="Long",(R302-O302)/(O302-P302),(O302-R302)/(P302-O302)),2))</f>
        <v/>
      </c>
      <c r="U302" s="38" t="str">
        <f aca="false">IF(T302="","",IF(T302&gt;=Settings!$B$20,"Win",IF(T302&lt;=-Settings!$B$20,"Loss","BE")))</f>
        <v/>
      </c>
      <c r="V302" s="45" t="str">
        <f aca="false">IF(B302="","",Settings!$B$6)</f>
        <v/>
      </c>
      <c r="W302" s="46" t="str">
        <f aca="false">IF(B302="","",(Settings!$B$5+SUM(X$4:X301))*V302)</f>
        <v/>
      </c>
      <c r="X302" s="46" t="str">
        <f aca="false">IF(T302="","",ROUND(T302*W302,2))</f>
        <v/>
      </c>
      <c r="Y302" s="46" t="str">
        <f aca="false">IF(T302="","",Settings!$B$5+SUM(X$5:X302))</f>
        <v/>
      </c>
      <c r="Z302" s="43" t="str">
        <f aca="false">IF(T302="","",SUM(T$5:T302))</f>
        <v/>
      </c>
      <c r="AA302" s="43" t="str">
        <f aca="false">IF(T302="","",MAX(0,MAX(Z$5:Z302)))</f>
        <v/>
      </c>
      <c r="AB302" s="43" t="str">
        <f aca="false">IF(T302="","",Z302-AA302)</f>
        <v/>
      </c>
      <c r="AC302" s="38" t="str">
        <f aca="false">IF(U302="","",IF(U302="Loss",N(AC301)+1,0))</f>
        <v/>
      </c>
      <c r="AD302" s="40"/>
      <c r="AE302" s="38" t="str">
        <f aca="false">IF(B302="","",IF(AND(M302="Yes",OR(AD302="None",AD302="")),"Yes","No"))</f>
        <v/>
      </c>
      <c r="AF302" s="40"/>
      <c r="AG302" s="40"/>
      <c r="AH302" s="47"/>
      <c r="AI302" s="47"/>
    </row>
    <row r="303" customFormat="false" ht="15" hidden="false" customHeight="false" outlineLevel="0" collapsed="false">
      <c r="A303" s="38" t="str">
        <f aca="false">IF(B303="","",ROW()-4)</f>
        <v/>
      </c>
      <c r="B303" s="39"/>
      <c r="C303" s="38" t="str">
        <f aca="false">IF(B303="","",INT((B303-Settings!$B$4)/7)+1)</f>
        <v/>
      </c>
      <c r="D303" s="40"/>
      <c r="E303" s="40"/>
      <c r="F303" s="40"/>
      <c r="G303" s="40"/>
      <c r="H303" s="40"/>
      <c r="I303" s="40"/>
      <c r="J303" s="40"/>
      <c r="K303" s="40"/>
      <c r="L303" s="40"/>
      <c r="M303" s="38" t="str">
        <f aca="false">IF(B303="","",IF(COUNTIF(H303:L303,"Y")=5,"Yes","No"))</f>
        <v/>
      </c>
      <c r="N303" s="41"/>
      <c r="O303" s="42"/>
      <c r="P303" s="42"/>
      <c r="Q303" s="43" t="str">
        <f aca="false">IF(OR(O303="",P303=""),"",IF(F303="Long",O303+Settings!$B$7*(O303-P303),O303-Settings!$B$7*(P303-O303)))</f>
        <v/>
      </c>
      <c r="R303" s="42"/>
      <c r="S303" s="40"/>
      <c r="T303" s="44" t="str">
        <f aca="false">IF(OR(R303="",O303="",P303="",O303=P303),"",ROUND(IF(F303="Long",(R303-O303)/(O303-P303),(O303-R303)/(P303-O303)),2))</f>
        <v/>
      </c>
      <c r="U303" s="38" t="str">
        <f aca="false">IF(T303="","",IF(T303&gt;=Settings!$B$20,"Win",IF(T303&lt;=-Settings!$B$20,"Loss","BE")))</f>
        <v/>
      </c>
      <c r="V303" s="45" t="str">
        <f aca="false">IF(B303="","",Settings!$B$6)</f>
        <v/>
      </c>
      <c r="W303" s="46" t="str">
        <f aca="false">IF(B303="","",(Settings!$B$5+SUM(X$4:X302))*V303)</f>
        <v/>
      </c>
      <c r="X303" s="46" t="str">
        <f aca="false">IF(T303="","",ROUND(T303*W303,2))</f>
        <v/>
      </c>
      <c r="Y303" s="46" t="str">
        <f aca="false">IF(T303="","",Settings!$B$5+SUM(X$5:X303))</f>
        <v/>
      </c>
      <c r="Z303" s="43" t="str">
        <f aca="false">IF(T303="","",SUM(T$5:T303))</f>
        <v/>
      </c>
      <c r="AA303" s="43" t="str">
        <f aca="false">IF(T303="","",MAX(0,MAX(Z$5:Z303)))</f>
        <v/>
      </c>
      <c r="AB303" s="43" t="str">
        <f aca="false">IF(T303="","",Z303-AA303)</f>
        <v/>
      </c>
      <c r="AC303" s="38" t="str">
        <f aca="false">IF(U303="","",IF(U303="Loss",N(AC302)+1,0))</f>
        <v/>
      </c>
      <c r="AD303" s="40"/>
      <c r="AE303" s="38" t="str">
        <f aca="false">IF(B303="","",IF(AND(M303="Yes",OR(AD303="None",AD303="")),"Yes","No"))</f>
        <v/>
      </c>
      <c r="AF303" s="40"/>
      <c r="AG303" s="40"/>
      <c r="AH303" s="47"/>
      <c r="AI303" s="47"/>
    </row>
    <row r="304" customFormat="false" ht="15" hidden="false" customHeight="false" outlineLevel="0" collapsed="false">
      <c r="A304" s="38" t="str">
        <f aca="false">IF(B304="","",ROW()-4)</f>
        <v/>
      </c>
      <c r="B304" s="39"/>
      <c r="C304" s="38" t="str">
        <f aca="false">IF(B304="","",INT((B304-Settings!$B$4)/7)+1)</f>
        <v/>
      </c>
      <c r="D304" s="40"/>
      <c r="E304" s="40"/>
      <c r="F304" s="40"/>
      <c r="G304" s="40"/>
      <c r="H304" s="40"/>
      <c r="I304" s="40"/>
      <c r="J304" s="40"/>
      <c r="K304" s="40"/>
      <c r="L304" s="40"/>
      <c r="M304" s="38" t="str">
        <f aca="false">IF(B304="","",IF(COUNTIF(H304:L304,"Y")=5,"Yes","No"))</f>
        <v/>
      </c>
      <c r="N304" s="41"/>
      <c r="O304" s="42"/>
      <c r="P304" s="42"/>
      <c r="Q304" s="43" t="str">
        <f aca="false">IF(OR(O304="",P304=""),"",IF(F304="Long",O304+Settings!$B$7*(O304-P304),O304-Settings!$B$7*(P304-O304)))</f>
        <v/>
      </c>
      <c r="R304" s="42"/>
      <c r="S304" s="40"/>
      <c r="T304" s="44" t="str">
        <f aca="false">IF(OR(R304="",O304="",P304="",O304=P304),"",ROUND(IF(F304="Long",(R304-O304)/(O304-P304),(O304-R304)/(P304-O304)),2))</f>
        <v/>
      </c>
      <c r="U304" s="38" t="str">
        <f aca="false">IF(T304="","",IF(T304&gt;=Settings!$B$20,"Win",IF(T304&lt;=-Settings!$B$20,"Loss","BE")))</f>
        <v/>
      </c>
      <c r="V304" s="45" t="str">
        <f aca="false">IF(B304="","",Settings!$B$6)</f>
        <v/>
      </c>
      <c r="W304" s="46" t="str">
        <f aca="false">IF(B304="","",(Settings!$B$5+SUM(X$4:X303))*V304)</f>
        <v/>
      </c>
      <c r="X304" s="46" t="str">
        <f aca="false">IF(T304="","",ROUND(T304*W304,2))</f>
        <v/>
      </c>
      <c r="Y304" s="46" t="str">
        <f aca="false">IF(T304="","",Settings!$B$5+SUM(X$5:X304))</f>
        <v/>
      </c>
      <c r="Z304" s="43" t="str">
        <f aca="false">IF(T304="","",SUM(T$5:T304))</f>
        <v/>
      </c>
      <c r="AA304" s="43" t="str">
        <f aca="false">IF(T304="","",MAX(0,MAX(Z$5:Z304)))</f>
        <v/>
      </c>
      <c r="AB304" s="43" t="str">
        <f aca="false">IF(T304="","",Z304-AA304)</f>
        <v/>
      </c>
      <c r="AC304" s="38" t="str">
        <f aca="false">IF(U304="","",IF(U304="Loss",N(AC303)+1,0))</f>
        <v/>
      </c>
      <c r="AD304" s="40"/>
      <c r="AE304" s="38" t="str">
        <f aca="false">IF(B304="","",IF(AND(M304="Yes",OR(AD304="None",AD304="")),"Yes","No"))</f>
        <v/>
      </c>
      <c r="AF304" s="40"/>
      <c r="AG304" s="40"/>
      <c r="AH304" s="47"/>
      <c r="AI304" s="47"/>
    </row>
  </sheetData>
  <autoFilter ref="A4:AI304"/>
  <conditionalFormatting sqref="U5:U304">
    <cfRule type="cellIs" priority="2" operator="equal" aboveAverage="0" equalAverage="0" bottom="0" percent="0" rank="0" text="" dxfId="0">
      <formula>"Win"</formula>
    </cfRule>
    <cfRule type="cellIs" priority="3" operator="equal" aboveAverage="0" equalAverage="0" bottom="0" percent="0" rank="0" text="" dxfId="2">
      <formula>"Loss"</formula>
    </cfRule>
  </conditionalFormatting>
  <conditionalFormatting sqref="M5:M304">
    <cfRule type="cellIs" priority="4" operator="equal" aboveAverage="0" equalAverage="0" bottom="0" percent="0" rank="0" text="" dxfId="2">
      <formula>"No"</formula>
    </cfRule>
  </conditionalFormatting>
  <conditionalFormatting sqref="AE5:AE304">
    <cfRule type="cellIs" priority="5" operator="equal" aboveAverage="0" equalAverage="0" bottom="0" percent="0" rank="0" text="" dxfId="2">
      <formula>"No"</formula>
    </cfRule>
  </conditionalFormatting>
  <dataValidations count="12">
    <dataValidation allowBlank="true" errorStyle="stop" operator="between" showDropDown="false" showErrorMessage="false" showInputMessage="false" sqref="D5:D304" type="list">
      <formula1>Settings!$E$4:$E$5</formula1>
      <formula2>0</formula2>
    </dataValidation>
    <dataValidation allowBlank="true" errorStyle="stop" operator="between" showDropDown="false" showErrorMessage="false" showInputMessage="false" sqref="E5:E304" type="list">
      <formula1>Settings!$F$4:$F$5</formula1>
      <formula2>0</formula2>
    </dataValidation>
    <dataValidation allowBlank="true" errorStyle="stop" operator="between" showDropDown="false" showErrorMessage="false" showInputMessage="false" sqref="F5:F304" type="list">
      <formula1>Settings!$G$4:$G$5</formula1>
      <formula2>0</formula2>
    </dataValidation>
    <dataValidation allowBlank="true" errorStyle="stop" operator="between" showDropDown="false" showErrorMessage="false" showInputMessage="false" sqref="G5:G304" type="list">
      <formula1>Settings!$H$4:$H$9</formula1>
      <formula2>0</formula2>
    </dataValidation>
    <dataValidation allowBlank="true" errorStyle="stop" operator="between" showDropDown="false" showErrorMessage="false" showInputMessage="false" sqref="H5:H304" type="list">
      <formula1>Settings!$I$4:$I$5</formula1>
      <formula2>0</formula2>
    </dataValidation>
    <dataValidation allowBlank="true" errorStyle="stop" operator="between" showDropDown="false" showErrorMessage="false" showInputMessage="false" sqref="I5:I304" type="list">
      <formula1>Settings!$I$4:$I$5</formula1>
      <formula2>0</formula2>
    </dataValidation>
    <dataValidation allowBlank="true" errorStyle="stop" operator="between" showDropDown="false" showErrorMessage="false" showInputMessage="false" sqref="J5:J304" type="list">
      <formula1>Settings!$I$4:$I$5</formula1>
      <formula2>0</formula2>
    </dataValidation>
    <dataValidation allowBlank="true" errorStyle="stop" operator="between" showDropDown="false" showErrorMessage="false" showInputMessage="false" sqref="K5:K304" type="list">
      <formula1>Settings!$I$4:$I$5</formula1>
      <formula2>0</formula2>
    </dataValidation>
    <dataValidation allowBlank="true" errorStyle="stop" operator="between" showDropDown="false" showErrorMessage="false" showInputMessage="false" sqref="L5:L304" type="list">
      <formula1>Settings!$I$4:$I$5</formula1>
      <formula2>0</formula2>
    </dataValidation>
    <dataValidation allowBlank="true" errorStyle="stop" operator="between" showDropDown="false" showErrorMessage="false" showInputMessage="false" sqref="S5:S304" type="list">
      <formula1>Settings!$J$4:$J$8</formula1>
      <formula2>0</formula2>
    </dataValidation>
    <dataValidation allowBlank="true" errorStyle="stop" operator="between" showDropDown="false" showErrorMessage="false" showInputMessage="false" sqref="AD5:AD304" type="list">
      <formula1>Settings!$K$4:$K$14</formula1>
      <formula2>0</formula2>
    </dataValidation>
    <dataValidation allowBlank="true" errorStyle="stop" operator="between" showDropDown="false" showErrorMessage="false" showInputMessage="false" sqref="AF5:AF304" type="list">
      <formula1>Settings!$L$4:$L$8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5" min="3" style="0" width="12"/>
    <col collapsed="false" customWidth="true" hidden="false" outlineLevel="0" max="8" min="6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60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259</v>
      </c>
    </row>
    <row r="4" customFormat="false" ht="45" hidden="false" customHeight="true" outlineLevel="0" collapsed="false">
      <c r="A4" s="21" t="s">
        <v>34</v>
      </c>
      <c r="B4" s="21" t="s">
        <v>233</v>
      </c>
      <c r="C4" s="21" t="s">
        <v>260</v>
      </c>
      <c r="D4" s="21" t="s">
        <v>261</v>
      </c>
      <c r="E4" s="21" t="s">
        <v>262</v>
      </c>
      <c r="F4" s="21" t="s">
        <v>263</v>
      </c>
      <c r="G4" s="21" t="s">
        <v>264</v>
      </c>
      <c r="H4" s="21" t="s">
        <v>265</v>
      </c>
      <c r="I4" s="21" t="s">
        <v>266</v>
      </c>
      <c r="J4" s="21" t="s">
        <v>267</v>
      </c>
      <c r="K4" s="21" t="s">
        <v>268</v>
      </c>
    </row>
    <row r="5" customFormat="false" ht="15" hidden="false" customHeight="false" outlineLevel="0" collapsed="false">
      <c r="A5" s="48" t="n">
        <f aca="false">WORKDAY(Settings!$B$4-1,1)</f>
        <v>46307</v>
      </c>
      <c r="B5" s="38" t="n">
        <f aca="false">INT((A5-Settings!$B$4)/7)+1</f>
        <v>1</v>
      </c>
      <c r="C5" s="40"/>
      <c r="D5" s="40"/>
      <c r="E5" s="40"/>
      <c r="F5" s="38" t="n">
        <f aca="false">COUNTIF(Journal!$B$5:$B$304,A5)</f>
        <v>0</v>
      </c>
      <c r="G5" s="44" t="n">
        <f aca="false">SUMIFS(Journal!$T$5:$T$304,Journal!$B$5:$B$304,A5)</f>
        <v>0</v>
      </c>
      <c r="H5" s="38" t="n">
        <f aca="false">COUNTIFS(Journal!$B$5:$B$304,A5,Journal!$AE$5:$AE$304,"No")</f>
        <v>0</v>
      </c>
      <c r="I5" s="40"/>
      <c r="J5" s="40"/>
      <c r="K5" s="49"/>
    </row>
    <row r="6" customFormat="false" ht="15" hidden="false" customHeight="false" outlineLevel="0" collapsed="false">
      <c r="A6" s="48" t="n">
        <f aca="false">WORKDAY(A5,1)</f>
        <v>46308</v>
      </c>
      <c r="B6" s="38" t="n">
        <f aca="false">INT((A6-Settings!$B$4)/7)+1</f>
        <v>1</v>
      </c>
      <c r="C6" s="40"/>
      <c r="D6" s="40"/>
      <c r="E6" s="40"/>
      <c r="F6" s="38" t="n">
        <f aca="false">COUNTIF(Journal!$B$5:$B$304,A6)</f>
        <v>0</v>
      </c>
      <c r="G6" s="44" t="n">
        <f aca="false">SUMIFS(Journal!$T$5:$T$304,Journal!$B$5:$B$304,A6)</f>
        <v>0</v>
      </c>
      <c r="H6" s="38" t="n">
        <f aca="false">COUNTIFS(Journal!$B$5:$B$304,A6,Journal!$AE$5:$AE$304,"No")</f>
        <v>0</v>
      </c>
      <c r="I6" s="40"/>
      <c r="J6" s="40"/>
      <c r="K6" s="49"/>
    </row>
    <row r="7" customFormat="false" ht="15" hidden="false" customHeight="false" outlineLevel="0" collapsed="false">
      <c r="A7" s="48" t="n">
        <f aca="false">WORKDAY(A6,1)</f>
        <v>46309</v>
      </c>
      <c r="B7" s="38" t="n">
        <f aca="false">INT((A7-Settings!$B$4)/7)+1</f>
        <v>1</v>
      </c>
      <c r="C7" s="40"/>
      <c r="D7" s="40"/>
      <c r="E7" s="40"/>
      <c r="F7" s="38" t="n">
        <f aca="false">COUNTIF(Journal!$B$5:$B$304,A7)</f>
        <v>0</v>
      </c>
      <c r="G7" s="44" t="n">
        <f aca="false">SUMIFS(Journal!$T$5:$T$304,Journal!$B$5:$B$304,A7)</f>
        <v>0</v>
      </c>
      <c r="H7" s="38" t="n">
        <f aca="false">COUNTIFS(Journal!$B$5:$B$304,A7,Journal!$AE$5:$AE$304,"No")</f>
        <v>0</v>
      </c>
      <c r="I7" s="40"/>
      <c r="J7" s="40"/>
      <c r="K7" s="49"/>
    </row>
    <row r="8" customFormat="false" ht="15" hidden="false" customHeight="false" outlineLevel="0" collapsed="false">
      <c r="A8" s="48" t="n">
        <f aca="false">WORKDAY(A7,1)</f>
        <v>46310</v>
      </c>
      <c r="B8" s="38" t="n">
        <f aca="false">INT((A8-Settings!$B$4)/7)+1</f>
        <v>1</v>
      </c>
      <c r="C8" s="40"/>
      <c r="D8" s="40"/>
      <c r="E8" s="40"/>
      <c r="F8" s="38" t="n">
        <f aca="false">COUNTIF(Journal!$B$5:$B$304,A8)</f>
        <v>0</v>
      </c>
      <c r="G8" s="44" t="n">
        <f aca="false">SUMIFS(Journal!$T$5:$T$304,Journal!$B$5:$B$304,A8)</f>
        <v>0</v>
      </c>
      <c r="H8" s="38" t="n">
        <f aca="false">COUNTIFS(Journal!$B$5:$B$304,A8,Journal!$AE$5:$AE$304,"No")</f>
        <v>0</v>
      </c>
      <c r="I8" s="40"/>
      <c r="J8" s="40"/>
      <c r="K8" s="49"/>
    </row>
    <row r="9" customFormat="false" ht="15" hidden="false" customHeight="false" outlineLevel="0" collapsed="false">
      <c r="A9" s="48" t="n">
        <f aca="false">WORKDAY(A8,1)</f>
        <v>46311</v>
      </c>
      <c r="B9" s="38" t="n">
        <f aca="false">INT((A9-Settings!$B$4)/7)+1</f>
        <v>1</v>
      </c>
      <c r="C9" s="40"/>
      <c r="D9" s="40"/>
      <c r="E9" s="40"/>
      <c r="F9" s="38" t="n">
        <f aca="false">COUNTIF(Journal!$B$5:$B$304,A9)</f>
        <v>0</v>
      </c>
      <c r="G9" s="44" t="n">
        <f aca="false">SUMIFS(Journal!$T$5:$T$304,Journal!$B$5:$B$304,A9)</f>
        <v>0</v>
      </c>
      <c r="H9" s="38" t="n">
        <f aca="false">COUNTIFS(Journal!$B$5:$B$304,A9,Journal!$AE$5:$AE$304,"No")</f>
        <v>0</v>
      </c>
      <c r="I9" s="40"/>
      <c r="J9" s="40"/>
      <c r="K9" s="49"/>
    </row>
    <row r="10" customFormat="false" ht="15" hidden="false" customHeight="false" outlineLevel="0" collapsed="false">
      <c r="A10" s="48" t="n">
        <f aca="false">WORKDAY(A9,1)</f>
        <v>46314</v>
      </c>
      <c r="B10" s="38" t="n">
        <f aca="false">INT((A10-Settings!$B$4)/7)+1</f>
        <v>2</v>
      </c>
      <c r="C10" s="40"/>
      <c r="D10" s="40"/>
      <c r="E10" s="40"/>
      <c r="F10" s="38" t="n">
        <f aca="false">COUNTIF(Journal!$B$5:$B$304,A10)</f>
        <v>0</v>
      </c>
      <c r="G10" s="44" t="n">
        <f aca="false">SUMIFS(Journal!$T$5:$T$304,Journal!$B$5:$B$304,A10)</f>
        <v>0</v>
      </c>
      <c r="H10" s="38" t="n">
        <f aca="false">COUNTIFS(Journal!$B$5:$B$304,A10,Journal!$AE$5:$AE$304,"No")</f>
        <v>0</v>
      </c>
      <c r="I10" s="40"/>
      <c r="J10" s="40"/>
      <c r="K10" s="49"/>
    </row>
    <row r="11" customFormat="false" ht="15" hidden="false" customHeight="false" outlineLevel="0" collapsed="false">
      <c r="A11" s="48" t="n">
        <f aca="false">WORKDAY(A10,1)</f>
        <v>46315</v>
      </c>
      <c r="B11" s="38" t="n">
        <f aca="false">INT((A11-Settings!$B$4)/7)+1</f>
        <v>2</v>
      </c>
      <c r="C11" s="40"/>
      <c r="D11" s="40"/>
      <c r="E11" s="40"/>
      <c r="F11" s="38" t="n">
        <f aca="false">COUNTIF(Journal!$B$5:$B$304,A11)</f>
        <v>0</v>
      </c>
      <c r="G11" s="44" t="n">
        <f aca="false">SUMIFS(Journal!$T$5:$T$304,Journal!$B$5:$B$304,A11)</f>
        <v>0</v>
      </c>
      <c r="H11" s="38" t="n">
        <f aca="false">COUNTIFS(Journal!$B$5:$B$304,A11,Journal!$AE$5:$AE$304,"No")</f>
        <v>0</v>
      </c>
      <c r="I11" s="40"/>
      <c r="J11" s="40"/>
      <c r="K11" s="49"/>
    </row>
    <row r="12" customFormat="false" ht="15" hidden="false" customHeight="false" outlineLevel="0" collapsed="false">
      <c r="A12" s="48" t="n">
        <f aca="false">WORKDAY(A11,1)</f>
        <v>46316</v>
      </c>
      <c r="B12" s="38" t="n">
        <f aca="false">INT((A12-Settings!$B$4)/7)+1</f>
        <v>2</v>
      </c>
      <c r="C12" s="40"/>
      <c r="D12" s="40"/>
      <c r="E12" s="40"/>
      <c r="F12" s="38" t="n">
        <f aca="false">COUNTIF(Journal!$B$5:$B$304,A12)</f>
        <v>0</v>
      </c>
      <c r="G12" s="44" t="n">
        <f aca="false">SUMIFS(Journal!$T$5:$T$304,Journal!$B$5:$B$304,A12)</f>
        <v>0</v>
      </c>
      <c r="H12" s="38" t="n">
        <f aca="false">COUNTIFS(Journal!$B$5:$B$304,A12,Journal!$AE$5:$AE$304,"No")</f>
        <v>0</v>
      </c>
      <c r="I12" s="40"/>
      <c r="J12" s="40"/>
      <c r="K12" s="49"/>
    </row>
    <row r="13" customFormat="false" ht="15" hidden="false" customHeight="false" outlineLevel="0" collapsed="false">
      <c r="A13" s="48" t="n">
        <f aca="false">WORKDAY(A12,1)</f>
        <v>46317</v>
      </c>
      <c r="B13" s="38" t="n">
        <f aca="false">INT((A13-Settings!$B$4)/7)+1</f>
        <v>2</v>
      </c>
      <c r="C13" s="40"/>
      <c r="D13" s="40"/>
      <c r="E13" s="40"/>
      <c r="F13" s="38" t="n">
        <f aca="false">COUNTIF(Journal!$B$5:$B$304,A13)</f>
        <v>0</v>
      </c>
      <c r="G13" s="44" t="n">
        <f aca="false">SUMIFS(Journal!$T$5:$T$304,Journal!$B$5:$B$304,A13)</f>
        <v>0</v>
      </c>
      <c r="H13" s="38" t="n">
        <f aca="false">COUNTIFS(Journal!$B$5:$B$304,A13,Journal!$AE$5:$AE$304,"No")</f>
        <v>0</v>
      </c>
      <c r="I13" s="40"/>
      <c r="J13" s="40"/>
      <c r="K13" s="49"/>
    </row>
    <row r="14" customFormat="false" ht="15" hidden="false" customHeight="false" outlineLevel="0" collapsed="false">
      <c r="A14" s="48" t="n">
        <f aca="false">WORKDAY(A13,1)</f>
        <v>46318</v>
      </c>
      <c r="B14" s="38" t="n">
        <f aca="false">INT((A14-Settings!$B$4)/7)+1</f>
        <v>2</v>
      </c>
      <c r="C14" s="40"/>
      <c r="D14" s="40"/>
      <c r="E14" s="40"/>
      <c r="F14" s="38" t="n">
        <f aca="false">COUNTIF(Journal!$B$5:$B$304,A14)</f>
        <v>0</v>
      </c>
      <c r="G14" s="44" t="n">
        <f aca="false">SUMIFS(Journal!$T$5:$T$304,Journal!$B$5:$B$304,A14)</f>
        <v>0</v>
      </c>
      <c r="H14" s="38" t="n">
        <f aca="false">COUNTIFS(Journal!$B$5:$B$304,A14,Journal!$AE$5:$AE$304,"No")</f>
        <v>0</v>
      </c>
      <c r="I14" s="40"/>
      <c r="J14" s="40"/>
      <c r="K14" s="49"/>
    </row>
    <row r="15" customFormat="false" ht="15" hidden="false" customHeight="false" outlineLevel="0" collapsed="false">
      <c r="A15" s="48" t="n">
        <f aca="false">WORKDAY(A14,1)</f>
        <v>46321</v>
      </c>
      <c r="B15" s="38" t="n">
        <f aca="false">INT((A15-Settings!$B$4)/7)+1</f>
        <v>3</v>
      </c>
      <c r="C15" s="40"/>
      <c r="D15" s="40"/>
      <c r="E15" s="40"/>
      <c r="F15" s="38" t="n">
        <f aca="false">COUNTIF(Journal!$B$5:$B$304,A15)</f>
        <v>0</v>
      </c>
      <c r="G15" s="44" t="n">
        <f aca="false">SUMIFS(Journal!$T$5:$T$304,Journal!$B$5:$B$304,A15)</f>
        <v>0</v>
      </c>
      <c r="H15" s="38" t="n">
        <f aca="false">COUNTIFS(Journal!$B$5:$B$304,A15,Journal!$AE$5:$AE$304,"No")</f>
        <v>0</v>
      </c>
      <c r="I15" s="40"/>
      <c r="J15" s="40"/>
      <c r="K15" s="49"/>
    </row>
    <row r="16" customFormat="false" ht="15" hidden="false" customHeight="false" outlineLevel="0" collapsed="false">
      <c r="A16" s="48" t="n">
        <f aca="false">WORKDAY(A15,1)</f>
        <v>46322</v>
      </c>
      <c r="B16" s="38" t="n">
        <f aca="false">INT((A16-Settings!$B$4)/7)+1</f>
        <v>3</v>
      </c>
      <c r="C16" s="40"/>
      <c r="D16" s="40"/>
      <c r="E16" s="40"/>
      <c r="F16" s="38" t="n">
        <f aca="false">COUNTIF(Journal!$B$5:$B$304,A16)</f>
        <v>0</v>
      </c>
      <c r="G16" s="44" t="n">
        <f aca="false">SUMIFS(Journal!$T$5:$T$304,Journal!$B$5:$B$304,A16)</f>
        <v>0</v>
      </c>
      <c r="H16" s="38" t="n">
        <f aca="false">COUNTIFS(Journal!$B$5:$B$304,A16,Journal!$AE$5:$AE$304,"No")</f>
        <v>0</v>
      </c>
      <c r="I16" s="40"/>
      <c r="J16" s="40"/>
      <c r="K16" s="49"/>
    </row>
    <row r="17" customFormat="false" ht="15" hidden="false" customHeight="false" outlineLevel="0" collapsed="false">
      <c r="A17" s="48" t="n">
        <f aca="false">WORKDAY(A16,1)</f>
        <v>46323</v>
      </c>
      <c r="B17" s="38" t="n">
        <f aca="false">INT((A17-Settings!$B$4)/7)+1</f>
        <v>3</v>
      </c>
      <c r="C17" s="40"/>
      <c r="D17" s="40"/>
      <c r="E17" s="40"/>
      <c r="F17" s="38" t="n">
        <f aca="false">COUNTIF(Journal!$B$5:$B$304,A17)</f>
        <v>0</v>
      </c>
      <c r="G17" s="44" t="n">
        <f aca="false">SUMIFS(Journal!$T$5:$T$304,Journal!$B$5:$B$304,A17)</f>
        <v>0</v>
      </c>
      <c r="H17" s="38" t="n">
        <f aca="false">COUNTIFS(Journal!$B$5:$B$304,A17,Journal!$AE$5:$AE$304,"No")</f>
        <v>0</v>
      </c>
      <c r="I17" s="40"/>
      <c r="J17" s="40"/>
      <c r="K17" s="49"/>
    </row>
    <row r="18" customFormat="false" ht="15" hidden="false" customHeight="false" outlineLevel="0" collapsed="false">
      <c r="A18" s="48" t="n">
        <f aca="false">WORKDAY(A17,1)</f>
        <v>46324</v>
      </c>
      <c r="B18" s="38" t="n">
        <f aca="false">INT((A18-Settings!$B$4)/7)+1</f>
        <v>3</v>
      </c>
      <c r="C18" s="40"/>
      <c r="D18" s="40"/>
      <c r="E18" s="40"/>
      <c r="F18" s="38" t="n">
        <f aca="false">COUNTIF(Journal!$B$5:$B$304,A18)</f>
        <v>0</v>
      </c>
      <c r="G18" s="44" t="n">
        <f aca="false">SUMIFS(Journal!$T$5:$T$304,Journal!$B$5:$B$304,A18)</f>
        <v>0</v>
      </c>
      <c r="H18" s="38" t="n">
        <f aca="false">COUNTIFS(Journal!$B$5:$B$304,A18,Journal!$AE$5:$AE$304,"No")</f>
        <v>0</v>
      </c>
      <c r="I18" s="40"/>
      <c r="J18" s="40"/>
      <c r="K18" s="49"/>
    </row>
    <row r="19" customFormat="false" ht="15" hidden="false" customHeight="false" outlineLevel="0" collapsed="false">
      <c r="A19" s="48" t="n">
        <f aca="false">WORKDAY(A18,1)</f>
        <v>46325</v>
      </c>
      <c r="B19" s="38" t="n">
        <f aca="false">INT((A19-Settings!$B$4)/7)+1</f>
        <v>3</v>
      </c>
      <c r="C19" s="40"/>
      <c r="D19" s="40"/>
      <c r="E19" s="40"/>
      <c r="F19" s="38" t="n">
        <f aca="false">COUNTIF(Journal!$B$5:$B$304,A19)</f>
        <v>0</v>
      </c>
      <c r="G19" s="44" t="n">
        <f aca="false">SUMIFS(Journal!$T$5:$T$304,Journal!$B$5:$B$304,A19)</f>
        <v>0</v>
      </c>
      <c r="H19" s="38" t="n">
        <f aca="false">COUNTIFS(Journal!$B$5:$B$304,A19,Journal!$AE$5:$AE$304,"No")</f>
        <v>0</v>
      </c>
      <c r="I19" s="40"/>
      <c r="J19" s="40"/>
      <c r="K19" s="49"/>
    </row>
    <row r="20" customFormat="false" ht="15" hidden="false" customHeight="false" outlineLevel="0" collapsed="false">
      <c r="A20" s="48" t="n">
        <f aca="false">WORKDAY(A19,1)</f>
        <v>46328</v>
      </c>
      <c r="B20" s="38" t="n">
        <f aca="false">INT((A20-Settings!$B$4)/7)+1</f>
        <v>4</v>
      </c>
      <c r="C20" s="40"/>
      <c r="D20" s="40"/>
      <c r="E20" s="40"/>
      <c r="F20" s="38" t="n">
        <f aca="false">COUNTIF(Journal!$B$5:$B$304,A20)</f>
        <v>0</v>
      </c>
      <c r="G20" s="44" t="n">
        <f aca="false">SUMIFS(Journal!$T$5:$T$304,Journal!$B$5:$B$304,A20)</f>
        <v>0</v>
      </c>
      <c r="H20" s="38" t="n">
        <f aca="false">COUNTIFS(Journal!$B$5:$B$304,A20,Journal!$AE$5:$AE$304,"No")</f>
        <v>0</v>
      </c>
      <c r="I20" s="40"/>
      <c r="J20" s="40"/>
      <c r="K20" s="49"/>
    </row>
    <row r="21" customFormat="false" ht="15" hidden="false" customHeight="false" outlineLevel="0" collapsed="false">
      <c r="A21" s="48" t="n">
        <f aca="false">WORKDAY(A20,1)</f>
        <v>46329</v>
      </c>
      <c r="B21" s="38" t="n">
        <f aca="false">INT((A21-Settings!$B$4)/7)+1</f>
        <v>4</v>
      </c>
      <c r="C21" s="40"/>
      <c r="D21" s="40"/>
      <c r="E21" s="40"/>
      <c r="F21" s="38" t="n">
        <f aca="false">COUNTIF(Journal!$B$5:$B$304,A21)</f>
        <v>0</v>
      </c>
      <c r="G21" s="44" t="n">
        <f aca="false">SUMIFS(Journal!$T$5:$T$304,Journal!$B$5:$B$304,A21)</f>
        <v>0</v>
      </c>
      <c r="H21" s="38" t="n">
        <f aca="false">COUNTIFS(Journal!$B$5:$B$304,A21,Journal!$AE$5:$AE$304,"No")</f>
        <v>0</v>
      </c>
      <c r="I21" s="40"/>
      <c r="J21" s="40"/>
      <c r="K21" s="49"/>
    </row>
    <row r="22" customFormat="false" ht="15" hidden="false" customHeight="false" outlineLevel="0" collapsed="false">
      <c r="A22" s="48" t="n">
        <f aca="false">WORKDAY(A21,1)</f>
        <v>46330</v>
      </c>
      <c r="B22" s="38" t="n">
        <f aca="false">INT((A22-Settings!$B$4)/7)+1</f>
        <v>4</v>
      </c>
      <c r="C22" s="40"/>
      <c r="D22" s="40"/>
      <c r="E22" s="40"/>
      <c r="F22" s="38" t="n">
        <f aca="false">COUNTIF(Journal!$B$5:$B$304,A22)</f>
        <v>0</v>
      </c>
      <c r="G22" s="44" t="n">
        <f aca="false">SUMIFS(Journal!$T$5:$T$304,Journal!$B$5:$B$304,A22)</f>
        <v>0</v>
      </c>
      <c r="H22" s="38" t="n">
        <f aca="false">COUNTIFS(Journal!$B$5:$B$304,A22,Journal!$AE$5:$AE$304,"No")</f>
        <v>0</v>
      </c>
      <c r="I22" s="40"/>
      <c r="J22" s="40"/>
      <c r="K22" s="49"/>
    </row>
    <row r="23" customFormat="false" ht="15" hidden="false" customHeight="false" outlineLevel="0" collapsed="false">
      <c r="A23" s="48" t="n">
        <f aca="false">WORKDAY(A22,1)</f>
        <v>46331</v>
      </c>
      <c r="B23" s="38" t="n">
        <f aca="false">INT((A23-Settings!$B$4)/7)+1</f>
        <v>4</v>
      </c>
      <c r="C23" s="40"/>
      <c r="D23" s="40"/>
      <c r="E23" s="40"/>
      <c r="F23" s="38" t="n">
        <f aca="false">COUNTIF(Journal!$B$5:$B$304,A23)</f>
        <v>0</v>
      </c>
      <c r="G23" s="44" t="n">
        <f aca="false">SUMIFS(Journal!$T$5:$T$304,Journal!$B$5:$B$304,A23)</f>
        <v>0</v>
      </c>
      <c r="H23" s="38" t="n">
        <f aca="false">COUNTIFS(Journal!$B$5:$B$304,A23,Journal!$AE$5:$AE$304,"No")</f>
        <v>0</v>
      </c>
      <c r="I23" s="40"/>
      <c r="J23" s="40"/>
      <c r="K23" s="49"/>
    </row>
    <row r="24" customFormat="false" ht="15" hidden="false" customHeight="false" outlineLevel="0" collapsed="false">
      <c r="A24" s="48" t="n">
        <f aca="false">WORKDAY(A23,1)</f>
        <v>46332</v>
      </c>
      <c r="B24" s="38" t="n">
        <f aca="false">INT((A24-Settings!$B$4)/7)+1</f>
        <v>4</v>
      </c>
      <c r="C24" s="40"/>
      <c r="D24" s="40"/>
      <c r="E24" s="40"/>
      <c r="F24" s="38" t="n">
        <f aca="false">COUNTIF(Journal!$B$5:$B$304,A24)</f>
        <v>0</v>
      </c>
      <c r="G24" s="44" t="n">
        <f aca="false">SUMIFS(Journal!$T$5:$T$304,Journal!$B$5:$B$304,A24)</f>
        <v>0</v>
      </c>
      <c r="H24" s="38" t="n">
        <f aca="false">COUNTIFS(Journal!$B$5:$B$304,A24,Journal!$AE$5:$AE$304,"No")</f>
        <v>0</v>
      </c>
      <c r="I24" s="40"/>
      <c r="J24" s="40"/>
      <c r="K24" s="49"/>
    </row>
    <row r="25" customFormat="false" ht="15" hidden="false" customHeight="false" outlineLevel="0" collapsed="false">
      <c r="A25" s="48" t="n">
        <f aca="false">WORKDAY(A24,1)</f>
        <v>46335</v>
      </c>
      <c r="B25" s="38" t="n">
        <f aca="false">INT((A25-Settings!$B$4)/7)+1</f>
        <v>5</v>
      </c>
      <c r="C25" s="40"/>
      <c r="D25" s="40"/>
      <c r="E25" s="40"/>
      <c r="F25" s="38" t="n">
        <f aca="false">COUNTIF(Journal!$B$5:$B$304,A25)</f>
        <v>0</v>
      </c>
      <c r="G25" s="44" t="n">
        <f aca="false">SUMIFS(Journal!$T$5:$T$304,Journal!$B$5:$B$304,A25)</f>
        <v>0</v>
      </c>
      <c r="H25" s="38" t="n">
        <f aca="false">COUNTIFS(Journal!$B$5:$B$304,A25,Journal!$AE$5:$AE$304,"No")</f>
        <v>0</v>
      </c>
      <c r="I25" s="40"/>
      <c r="J25" s="40"/>
      <c r="K25" s="49"/>
    </row>
    <row r="26" customFormat="false" ht="15" hidden="false" customHeight="false" outlineLevel="0" collapsed="false">
      <c r="A26" s="48" t="n">
        <f aca="false">WORKDAY(A25,1)</f>
        <v>46336</v>
      </c>
      <c r="B26" s="38" t="n">
        <f aca="false">INT((A26-Settings!$B$4)/7)+1</f>
        <v>5</v>
      </c>
      <c r="C26" s="40"/>
      <c r="D26" s="40"/>
      <c r="E26" s="40"/>
      <c r="F26" s="38" t="n">
        <f aca="false">COUNTIF(Journal!$B$5:$B$304,A26)</f>
        <v>0</v>
      </c>
      <c r="G26" s="44" t="n">
        <f aca="false">SUMIFS(Journal!$T$5:$T$304,Journal!$B$5:$B$304,A26)</f>
        <v>0</v>
      </c>
      <c r="H26" s="38" t="n">
        <f aca="false">COUNTIFS(Journal!$B$5:$B$304,A26,Journal!$AE$5:$AE$304,"No")</f>
        <v>0</v>
      </c>
      <c r="I26" s="40"/>
      <c r="J26" s="40"/>
      <c r="K26" s="49"/>
    </row>
    <row r="27" customFormat="false" ht="15" hidden="false" customHeight="false" outlineLevel="0" collapsed="false">
      <c r="A27" s="48" t="n">
        <f aca="false">WORKDAY(A26,1)</f>
        <v>46337</v>
      </c>
      <c r="B27" s="38" t="n">
        <f aca="false">INT((A27-Settings!$B$4)/7)+1</f>
        <v>5</v>
      </c>
      <c r="C27" s="40"/>
      <c r="D27" s="40"/>
      <c r="E27" s="40"/>
      <c r="F27" s="38" t="n">
        <f aca="false">COUNTIF(Journal!$B$5:$B$304,A27)</f>
        <v>0</v>
      </c>
      <c r="G27" s="44" t="n">
        <f aca="false">SUMIFS(Journal!$T$5:$T$304,Journal!$B$5:$B$304,A27)</f>
        <v>0</v>
      </c>
      <c r="H27" s="38" t="n">
        <f aca="false">COUNTIFS(Journal!$B$5:$B$304,A27,Journal!$AE$5:$AE$304,"No")</f>
        <v>0</v>
      </c>
      <c r="I27" s="40"/>
      <c r="J27" s="40"/>
      <c r="K27" s="49"/>
    </row>
    <row r="28" customFormat="false" ht="15" hidden="false" customHeight="false" outlineLevel="0" collapsed="false">
      <c r="A28" s="48" t="n">
        <f aca="false">WORKDAY(A27,1)</f>
        <v>46338</v>
      </c>
      <c r="B28" s="38" t="n">
        <f aca="false">INT((A28-Settings!$B$4)/7)+1</f>
        <v>5</v>
      </c>
      <c r="C28" s="40"/>
      <c r="D28" s="40"/>
      <c r="E28" s="40"/>
      <c r="F28" s="38" t="n">
        <f aca="false">COUNTIF(Journal!$B$5:$B$304,A28)</f>
        <v>0</v>
      </c>
      <c r="G28" s="44" t="n">
        <f aca="false">SUMIFS(Journal!$T$5:$T$304,Journal!$B$5:$B$304,A28)</f>
        <v>0</v>
      </c>
      <c r="H28" s="38" t="n">
        <f aca="false">COUNTIFS(Journal!$B$5:$B$304,A28,Journal!$AE$5:$AE$304,"No")</f>
        <v>0</v>
      </c>
      <c r="I28" s="40"/>
      <c r="J28" s="40"/>
      <c r="K28" s="49"/>
    </row>
    <row r="29" customFormat="false" ht="15" hidden="false" customHeight="false" outlineLevel="0" collapsed="false">
      <c r="A29" s="48" t="n">
        <f aca="false">WORKDAY(A28,1)</f>
        <v>46339</v>
      </c>
      <c r="B29" s="38" t="n">
        <f aca="false">INT((A29-Settings!$B$4)/7)+1</f>
        <v>5</v>
      </c>
      <c r="C29" s="40"/>
      <c r="D29" s="40"/>
      <c r="E29" s="40"/>
      <c r="F29" s="38" t="n">
        <f aca="false">COUNTIF(Journal!$B$5:$B$304,A29)</f>
        <v>0</v>
      </c>
      <c r="G29" s="44" t="n">
        <f aca="false">SUMIFS(Journal!$T$5:$T$304,Journal!$B$5:$B$304,A29)</f>
        <v>0</v>
      </c>
      <c r="H29" s="38" t="n">
        <f aca="false">COUNTIFS(Journal!$B$5:$B$304,A29,Journal!$AE$5:$AE$304,"No")</f>
        <v>0</v>
      </c>
      <c r="I29" s="40"/>
      <c r="J29" s="40"/>
      <c r="K29" s="49"/>
    </row>
    <row r="30" customFormat="false" ht="15" hidden="false" customHeight="false" outlineLevel="0" collapsed="false">
      <c r="A30" s="48" t="n">
        <f aca="false">WORKDAY(A29,1)</f>
        <v>46342</v>
      </c>
      <c r="B30" s="38" t="n">
        <f aca="false">INT((A30-Settings!$B$4)/7)+1</f>
        <v>6</v>
      </c>
      <c r="C30" s="40"/>
      <c r="D30" s="40"/>
      <c r="E30" s="40"/>
      <c r="F30" s="38" t="n">
        <f aca="false">COUNTIF(Journal!$B$5:$B$304,A30)</f>
        <v>0</v>
      </c>
      <c r="G30" s="44" t="n">
        <f aca="false">SUMIFS(Journal!$T$5:$T$304,Journal!$B$5:$B$304,A30)</f>
        <v>0</v>
      </c>
      <c r="H30" s="38" t="n">
        <f aca="false">COUNTIFS(Journal!$B$5:$B$304,A30,Journal!$AE$5:$AE$304,"No")</f>
        <v>0</v>
      </c>
      <c r="I30" s="40"/>
      <c r="J30" s="40"/>
      <c r="K30" s="49"/>
    </row>
    <row r="31" customFormat="false" ht="15" hidden="false" customHeight="false" outlineLevel="0" collapsed="false">
      <c r="A31" s="48" t="n">
        <f aca="false">WORKDAY(A30,1)</f>
        <v>46343</v>
      </c>
      <c r="B31" s="38" t="n">
        <f aca="false">INT((A31-Settings!$B$4)/7)+1</f>
        <v>6</v>
      </c>
      <c r="C31" s="40"/>
      <c r="D31" s="40"/>
      <c r="E31" s="40"/>
      <c r="F31" s="38" t="n">
        <f aca="false">COUNTIF(Journal!$B$5:$B$304,A31)</f>
        <v>0</v>
      </c>
      <c r="G31" s="44" t="n">
        <f aca="false">SUMIFS(Journal!$T$5:$T$304,Journal!$B$5:$B$304,A31)</f>
        <v>0</v>
      </c>
      <c r="H31" s="38" t="n">
        <f aca="false">COUNTIFS(Journal!$B$5:$B$304,A31,Journal!$AE$5:$AE$304,"No")</f>
        <v>0</v>
      </c>
      <c r="I31" s="40"/>
      <c r="J31" s="40"/>
      <c r="K31" s="49"/>
    </row>
    <row r="32" customFormat="false" ht="15" hidden="false" customHeight="false" outlineLevel="0" collapsed="false">
      <c r="A32" s="48" t="n">
        <f aca="false">WORKDAY(A31,1)</f>
        <v>46344</v>
      </c>
      <c r="B32" s="38" t="n">
        <f aca="false">INT((A32-Settings!$B$4)/7)+1</f>
        <v>6</v>
      </c>
      <c r="C32" s="40"/>
      <c r="D32" s="40"/>
      <c r="E32" s="40"/>
      <c r="F32" s="38" t="n">
        <f aca="false">COUNTIF(Journal!$B$5:$B$304,A32)</f>
        <v>0</v>
      </c>
      <c r="G32" s="44" t="n">
        <f aca="false">SUMIFS(Journal!$T$5:$T$304,Journal!$B$5:$B$304,A32)</f>
        <v>0</v>
      </c>
      <c r="H32" s="38" t="n">
        <f aca="false">COUNTIFS(Journal!$B$5:$B$304,A32,Journal!$AE$5:$AE$304,"No")</f>
        <v>0</v>
      </c>
      <c r="I32" s="40"/>
      <c r="J32" s="40"/>
      <c r="K32" s="49"/>
    </row>
    <row r="33" customFormat="false" ht="15" hidden="false" customHeight="false" outlineLevel="0" collapsed="false">
      <c r="A33" s="48" t="n">
        <f aca="false">WORKDAY(A32,1)</f>
        <v>46345</v>
      </c>
      <c r="B33" s="38" t="n">
        <f aca="false">INT((A33-Settings!$B$4)/7)+1</f>
        <v>6</v>
      </c>
      <c r="C33" s="40"/>
      <c r="D33" s="40"/>
      <c r="E33" s="40"/>
      <c r="F33" s="38" t="n">
        <f aca="false">COUNTIF(Journal!$B$5:$B$304,A33)</f>
        <v>0</v>
      </c>
      <c r="G33" s="44" t="n">
        <f aca="false">SUMIFS(Journal!$T$5:$T$304,Journal!$B$5:$B$304,A33)</f>
        <v>0</v>
      </c>
      <c r="H33" s="38" t="n">
        <f aca="false">COUNTIFS(Journal!$B$5:$B$304,A33,Journal!$AE$5:$AE$304,"No")</f>
        <v>0</v>
      </c>
      <c r="I33" s="40"/>
      <c r="J33" s="40"/>
      <c r="K33" s="49"/>
    </row>
    <row r="34" customFormat="false" ht="15" hidden="false" customHeight="false" outlineLevel="0" collapsed="false">
      <c r="A34" s="48" t="n">
        <f aca="false">WORKDAY(A33,1)</f>
        <v>46346</v>
      </c>
      <c r="B34" s="38" t="n">
        <f aca="false">INT((A34-Settings!$B$4)/7)+1</f>
        <v>6</v>
      </c>
      <c r="C34" s="40"/>
      <c r="D34" s="40"/>
      <c r="E34" s="40"/>
      <c r="F34" s="38" t="n">
        <f aca="false">COUNTIF(Journal!$B$5:$B$304,A34)</f>
        <v>0</v>
      </c>
      <c r="G34" s="44" t="n">
        <f aca="false">SUMIFS(Journal!$T$5:$T$304,Journal!$B$5:$B$304,A34)</f>
        <v>0</v>
      </c>
      <c r="H34" s="38" t="n">
        <f aca="false">COUNTIFS(Journal!$B$5:$B$304,A34,Journal!$AE$5:$AE$304,"No")</f>
        <v>0</v>
      </c>
      <c r="I34" s="40"/>
      <c r="J34" s="40"/>
      <c r="K34" s="49"/>
    </row>
    <row r="35" customFormat="false" ht="15" hidden="false" customHeight="false" outlineLevel="0" collapsed="false">
      <c r="A35" s="48" t="n">
        <f aca="false">WORKDAY(A34,1)</f>
        <v>46349</v>
      </c>
      <c r="B35" s="38" t="n">
        <f aca="false">INT((A35-Settings!$B$4)/7)+1</f>
        <v>7</v>
      </c>
      <c r="C35" s="40"/>
      <c r="D35" s="40"/>
      <c r="E35" s="40"/>
      <c r="F35" s="38" t="n">
        <f aca="false">COUNTIF(Journal!$B$5:$B$304,A35)</f>
        <v>0</v>
      </c>
      <c r="G35" s="44" t="n">
        <f aca="false">SUMIFS(Journal!$T$5:$T$304,Journal!$B$5:$B$304,A35)</f>
        <v>0</v>
      </c>
      <c r="H35" s="38" t="n">
        <f aca="false">COUNTIFS(Journal!$B$5:$B$304,A35,Journal!$AE$5:$AE$304,"No")</f>
        <v>0</v>
      </c>
      <c r="I35" s="40"/>
      <c r="J35" s="40"/>
      <c r="K35" s="49"/>
    </row>
    <row r="36" customFormat="false" ht="15" hidden="false" customHeight="false" outlineLevel="0" collapsed="false">
      <c r="A36" s="48" t="n">
        <f aca="false">WORKDAY(A35,1)</f>
        <v>46350</v>
      </c>
      <c r="B36" s="38" t="n">
        <f aca="false">INT((A36-Settings!$B$4)/7)+1</f>
        <v>7</v>
      </c>
      <c r="C36" s="40"/>
      <c r="D36" s="40"/>
      <c r="E36" s="40"/>
      <c r="F36" s="38" t="n">
        <f aca="false">COUNTIF(Journal!$B$5:$B$304,A36)</f>
        <v>0</v>
      </c>
      <c r="G36" s="44" t="n">
        <f aca="false">SUMIFS(Journal!$T$5:$T$304,Journal!$B$5:$B$304,A36)</f>
        <v>0</v>
      </c>
      <c r="H36" s="38" t="n">
        <f aca="false">COUNTIFS(Journal!$B$5:$B$304,A36,Journal!$AE$5:$AE$304,"No")</f>
        <v>0</v>
      </c>
      <c r="I36" s="40"/>
      <c r="J36" s="40"/>
      <c r="K36" s="49"/>
    </row>
    <row r="37" customFormat="false" ht="15" hidden="false" customHeight="false" outlineLevel="0" collapsed="false">
      <c r="A37" s="48" t="n">
        <f aca="false">WORKDAY(A36,1)</f>
        <v>46351</v>
      </c>
      <c r="B37" s="38" t="n">
        <f aca="false">INT((A37-Settings!$B$4)/7)+1</f>
        <v>7</v>
      </c>
      <c r="C37" s="40"/>
      <c r="D37" s="40"/>
      <c r="E37" s="40"/>
      <c r="F37" s="38" t="n">
        <f aca="false">COUNTIF(Journal!$B$5:$B$304,A37)</f>
        <v>0</v>
      </c>
      <c r="G37" s="44" t="n">
        <f aca="false">SUMIFS(Journal!$T$5:$T$304,Journal!$B$5:$B$304,A37)</f>
        <v>0</v>
      </c>
      <c r="H37" s="38" t="n">
        <f aca="false">COUNTIFS(Journal!$B$5:$B$304,A37,Journal!$AE$5:$AE$304,"No")</f>
        <v>0</v>
      </c>
      <c r="I37" s="40"/>
      <c r="J37" s="40"/>
      <c r="K37" s="49"/>
    </row>
    <row r="38" customFormat="false" ht="15" hidden="false" customHeight="false" outlineLevel="0" collapsed="false">
      <c r="A38" s="48" t="n">
        <f aca="false">WORKDAY(A37,1)</f>
        <v>46352</v>
      </c>
      <c r="B38" s="38" t="n">
        <f aca="false">INT((A38-Settings!$B$4)/7)+1</f>
        <v>7</v>
      </c>
      <c r="C38" s="40"/>
      <c r="D38" s="40"/>
      <c r="E38" s="40"/>
      <c r="F38" s="38" t="n">
        <f aca="false">COUNTIF(Journal!$B$5:$B$304,A38)</f>
        <v>0</v>
      </c>
      <c r="G38" s="44" t="n">
        <f aca="false">SUMIFS(Journal!$T$5:$T$304,Journal!$B$5:$B$304,A38)</f>
        <v>0</v>
      </c>
      <c r="H38" s="38" t="n">
        <f aca="false">COUNTIFS(Journal!$B$5:$B$304,A38,Journal!$AE$5:$AE$304,"No")</f>
        <v>0</v>
      </c>
      <c r="I38" s="40"/>
      <c r="J38" s="40"/>
      <c r="K38" s="49"/>
    </row>
    <row r="39" customFormat="false" ht="15" hidden="false" customHeight="false" outlineLevel="0" collapsed="false">
      <c r="A39" s="48" t="n">
        <f aca="false">WORKDAY(A38,1)</f>
        <v>46353</v>
      </c>
      <c r="B39" s="38" t="n">
        <f aca="false">INT((A39-Settings!$B$4)/7)+1</f>
        <v>7</v>
      </c>
      <c r="C39" s="40"/>
      <c r="D39" s="40"/>
      <c r="E39" s="40"/>
      <c r="F39" s="38" t="n">
        <f aca="false">COUNTIF(Journal!$B$5:$B$304,A39)</f>
        <v>0</v>
      </c>
      <c r="G39" s="44" t="n">
        <f aca="false">SUMIFS(Journal!$T$5:$T$304,Journal!$B$5:$B$304,A39)</f>
        <v>0</v>
      </c>
      <c r="H39" s="38" t="n">
        <f aca="false">COUNTIFS(Journal!$B$5:$B$304,A39,Journal!$AE$5:$AE$304,"No")</f>
        <v>0</v>
      </c>
      <c r="I39" s="40"/>
      <c r="J39" s="40"/>
      <c r="K39" s="49"/>
    </row>
    <row r="40" customFormat="false" ht="15" hidden="false" customHeight="false" outlineLevel="0" collapsed="false">
      <c r="A40" s="48" t="n">
        <f aca="false">WORKDAY(A39,1)</f>
        <v>46356</v>
      </c>
      <c r="B40" s="38" t="n">
        <f aca="false">INT((A40-Settings!$B$4)/7)+1</f>
        <v>8</v>
      </c>
      <c r="C40" s="40"/>
      <c r="D40" s="40"/>
      <c r="E40" s="40"/>
      <c r="F40" s="38" t="n">
        <f aca="false">COUNTIF(Journal!$B$5:$B$304,A40)</f>
        <v>0</v>
      </c>
      <c r="G40" s="44" t="n">
        <f aca="false">SUMIFS(Journal!$T$5:$T$304,Journal!$B$5:$B$304,A40)</f>
        <v>0</v>
      </c>
      <c r="H40" s="38" t="n">
        <f aca="false">COUNTIFS(Journal!$B$5:$B$304,A40,Journal!$AE$5:$AE$304,"No")</f>
        <v>0</v>
      </c>
      <c r="I40" s="40"/>
      <c r="J40" s="40"/>
      <c r="K40" s="49"/>
    </row>
    <row r="41" customFormat="false" ht="15" hidden="false" customHeight="false" outlineLevel="0" collapsed="false">
      <c r="A41" s="48" t="n">
        <f aca="false">WORKDAY(A40,1)</f>
        <v>46357</v>
      </c>
      <c r="B41" s="38" t="n">
        <f aca="false">INT((A41-Settings!$B$4)/7)+1</f>
        <v>8</v>
      </c>
      <c r="C41" s="40"/>
      <c r="D41" s="40"/>
      <c r="E41" s="40"/>
      <c r="F41" s="38" t="n">
        <f aca="false">COUNTIF(Journal!$B$5:$B$304,A41)</f>
        <v>0</v>
      </c>
      <c r="G41" s="44" t="n">
        <f aca="false">SUMIFS(Journal!$T$5:$T$304,Journal!$B$5:$B$304,A41)</f>
        <v>0</v>
      </c>
      <c r="H41" s="38" t="n">
        <f aca="false">COUNTIFS(Journal!$B$5:$B$304,A41,Journal!$AE$5:$AE$304,"No")</f>
        <v>0</v>
      </c>
      <c r="I41" s="40"/>
      <c r="J41" s="40"/>
      <c r="K41" s="49"/>
    </row>
    <row r="42" customFormat="false" ht="15" hidden="false" customHeight="false" outlineLevel="0" collapsed="false">
      <c r="A42" s="48" t="n">
        <f aca="false">WORKDAY(A41,1)</f>
        <v>46358</v>
      </c>
      <c r="B42" s="38" t="n">
        <f aca="false">INT((A42-Settings!$B$4)/7)+1</f>
        <v>8</v>
      </c>
      <c r="C42" s="40"/>
      <c r="D42" s="40"/>
      <c r="E42" s="40"/>
      <c r="F42" s="38" t="n">
        <f aca="false">COUNTIF(Journal!$B$5:$B$304,A42)</f>
        <v>0</v>
      </c>
      <c r="G42" s="44" t="n">
        <f aca="false">SUMIFS(Journal!$T$5:$T$304,Journal!$B$5:$B$304,A42)</f>
        <v>0</v>
      </c>
      <c r="H42" s="38" t="n">
        <f aca="false">COUNTIFS(Journal!$B$5:$B$304,A42,Journal!$AE$5:$AE$304,"No")</f>
        <v>0</v>
      </c>
      <c r="I42" s="40"/>
      <c r="J42" s="40"/>
      <c r="K42" s="49"/>
    </row>
    <row r="43" customFormat="false" ht="15" hidden="false" customHeight="false" outlineLevel="0" collapsed="false">
      <c r="A43" s="48" t="n">
        <f aca="false">WORKDAY(A42,1)</f>
        <v>46359</v>
      </c>
      <c r="B43" s="38" t="n">
        <f aca="false">INT((A43-Settings!$B$4)/7)+1</f>
        <v>8</v>
      </c>
      <c r="C43" s="40"/>
      <c r="D43" s="40"/>
      <c r="E43" s="40"/>
      <c r="F43" s="38" t="n">
        <f aca="false">COUNTIF(Journal!$B$5:$B$304,A43)</f>
        <v>0</v>
      </c>
      <c r="G43" s="44" t="n">
        <f aca="false">SUMIFS(Journal!$T$5:$T$304,Journal!$B$5:$B$304,A43)</f>
        <v>0</v>
      </c>
      <c r="H43" s="38" t="n">
        <f aca="false">COUNTIFS(Journal!$B$5:$B$304,A43,Journal!$AE$5:$AE$304,"No")</f>
        <v>0</v>
      </c>
      <c r="I43" s="40"/>
      <c r="J43" s="40"/>
      <c r="K43" s="49"/>
    </row>
    <row r="44" customFormat="false" ht="15" hidden="false" customHeight="false" outlineLevel="0" collapsed="false">
      <c r="A44" s="48" t="n">
        <f aca="false">WORKDAY(A43,1)</f>
        <v>46360</v>
      </c>
      <c r="B44" s="38" t="n">
        <f aca="false">INT((A44-Settings!$B$4)/7)+1</f>
        <v>8</v>
      </c>
      <c r="C44" s="40"/>
      <c r="D44" s="40"/>
      <c r="E44" s="40"/>
      <c r="F44" s="38" t="n">
        <f aca="false">COUNTIF(Journal!$B$5:$B$304,A44)</f>
        <v>0</v>
      </c>
      <c r="G44" s="44" t="n">
        <f aca="false">SUMIFS(Journal!$T$5:$T$304,Journal!$B$5:$B$304,A44)</f>
        <v>0</v>
      </c>
      <c r="H44" s="38" t="n">
        <f aca="false">COUNTIFS(Journal!$B$5:$B$304,A44,Journal!$AE$5:$AE$304,"No")</f>
        <v>0</v>
      </c>
      <c r="I44" s="40"/>
      <c r="J44" s="40"/>
      <c r="K44" s="49"/>
    </row>
    <row r="45" customFormat="false" ht="15" hidden="false" customHeight="false" outlineLevel="0" collapsed="false">
      <c r="A45" s="48" t="n">
        <f aca="false">WORKDAY(A44,1)</f>
        <v>46363</v>
      </c>
      <c r="B45" s="38" t="n">
        <f aca="false">INT((A45-Settings!$B$4)/7)+1</f>
        <v>9</v>
      </c>
      <c r="C45" s="40"/>
      <c r="D45" s="40"/>
      <c r="E45" s="40"/>
      <c r="F45" s="38" t="n">
        <f aca="false">COUNTIF(Journal!$B$5:$B$304,A45)</f>
        <v>0</v>
      </c>
      <c r="G45" s="44" t="n">
        <f aca="false">SUMIFS(Journal!$T$5:$T$304,Journal!$B$5:$B$304,A45)</f>
        <v>0</v>
      </c>
      <c r="H45" s="38" t="n">
        <f aca="false">COUNTIFS(Journal!$B$5:$B$304,A45,Journal!$AE$5:$AE$304,"No")</f>
        <v>0</v>
      </c>
      <c r="I45" s="40"/>
      <c r="J45" s="40"/>
      <c r="K45" s="49"/>
    </row>
    <row r="46" customFormat="false" ht="15" hidden="false" customHeight="false" outlineLevel="0" collapsed="false">
      <c r="A46" s="48" t="n">
        <f aca="false">WORKDAY(A45,1)</f>
        <v>46364</v>
      </c>
      <c r="B46" s="38" t="n">
        <f aca="false">INT((A46-Settings!$B$4)/7)+1</f>
        <v>9</v>
      </c>
      <c r="C46" s="40"/>
      <c r="D46" s="40"/>
      <c r="E46" s="40"/>
      <c r="F46" s="38" t="n">
        <f aca="false">COUNTIF(Journal!$B$5:$B$304,A46)</f>
        <v>0</v>
      </c>
      <c r="G46" s="44" t="n">
        <f aca="false">SUMIFS(Journal!$T$5:$T$304,Journal!$B$5:$B$304,A46)</f>
        <v>0</v>
      </c>
      <c r="H46" s="38" t="n">
        <f aca="false">COUNTIFS(Journal!$B$5:$B$304,A46,Journal!$AE$5:$AE$304,"No")</f>
        <v>0</v>
      </c>
      <c r="I46" s="40"/>
      <c r="J46" s="40"/>
      <c r="K46" s="49"/>
    </row>
    <row r="47" customFormat="false" ht="15" hidden="false" customHeight="false" outlineLevel="0" collapsed="false">
      <c r="A47" s="48" t="n">
        <f aca="false">WORKDAY(A46,1)</f>
        <v>46365</v>
      </c>
      <c r="B47" s="38" t="n">
        <f aca="false">INT((A47-Settings!$B$4)/7)+1</f>
        <v>9</v>
      </c>
      <c r="C47" s="40"/>
      <c r="D47" s="40"/>
      <c r="E47" s="40"/>
      <c r="F47" s="38" t="n">
        <f aca="false">COUNTIF(Journal!$B$5:$B$304,A47)</f>
        <v>0</v>
      </c>
      <c r="G47" s="44" t="n">
        <f aca="false">SUMIFS(Journal!$T$5:$T$304,Journal!$B$5:$B$304,A47)</f>
        <v>0</v>
      </c>
      <c r="H47" s="38" t="n">
        <f aca="false">COUNTIFS(Journal!$B$5:$B$304,A47,Journal!$AE$5:$AE$304,"No")</f>
        <v>0</v>
      </c>
      <c r="I47" s="40"/>
      <c r="J47" s="40"/>
      <c r="K47" s="49"/>
    </row>
    <row r="48" customFormat="false" ht="15" hidden="false" customHeight="false" outlineLevel="0" collapsed="false">
      <c r="A48" s="48" t="n">
        <f aca="false">WORKDAY(A47,1)</f>
        <v>46366</v>
      </c>
      <c r="B48" s="38" t="n">
        <f aca="false">INT((A48-Settings!$B$4)/7)+1</f>
        <v>9</v>
      </c>
      <c r="C48" s="40"/>
      <c r="D48" s="40"/>
      <c r="E48" s="40"/>
      <c r="F48" s="38" t="n">
        <f aca="false">COUNTIF(Journal!$B$5:$B$304,A48)</f>
        <v>0</v>
      </c>
      <c r="G48" s="44" t="n">
        <f aca="false">SUMIFS(Journal!$T$5:$T$304,Journal!$B$5:$B$304,A48)</f>
        <v>0</v>
      </c>
      <c r="H48" s="38" t="n">
        <f aca="false">COUNTIFS(Journal!$B$5:$B$304,A48,Journal!$AE$5:$AE$304,"No")</f>
        <v>0</v>
      </c>
      <c r="I48" s="40"/>
      <c r="J48" s="40"/>
      <c r="K48" s="49"/>
    </row>
    <row r="49" customFormat="false" ht="15" hidden="false" customHeight="false" outlineLevel="0" collapsed="false">
      <c r="A49" s="48" t="n">
        <f aca="false">WORKDAY(A48,1)</f>
        <v>46367</v>
      </c>
      <c r="B49" s="38" t="n">
        <f aca="false">INT((A49-Settings!$B$4)/7)+1</f>
        <v>9</v>
      </c>
      <c r="C49" s="40"/>
      <c r="D49" s="40"/>
      <c r="E49" s="40"/>
      <c r="F49" s="38" t="n">
        <f aca="false">COUNTIF(Journal!$B$5:$B$304,A49)</f>
        <v>0</v>
      </c>
      <c r="G49" s="44" t="n">
        <f aca="false">SUMIFS(Journal!$T$5:$T$304,Journal!$B$5:$B$304,A49)</f>
        <v>0</v>
      </c>
      <c r="H49" s="38" t="n">
        <f aca="false">COUNTIFS(Journal!$B$5:$B$304,A49,Journal!$AE$5:$AE$304,"No")</f>
        <v>0</v>
      </c>
      <c r="I49" s="40"/>
      <c r="J49" s="40"/>
      <c r="K49" s="49"/>
    </row>
    <row r="50" customFormat="false" ht="15" hidden="false" customHeight="false" outlineLevel="0" collapsed="false">
      <c r="A50" s="48" t="n">
        <f aca="false">WORKDAY(A49,1)</f>
        <v>46370</v>
      </c>
      <c r="B50" s="38" t="n">
        <f aca="false">INT((A50-Settings!$B$4)/7)+1</f>
        <v>10</v>
      </c>
      <c r="C50" s="40"/>
      <c r="D50" s="40"/>
      <c r="E50" s="40"/>
      <c r="F50" s="38" t="n">
        <f aca="false">COUNTIF(Journal!$B$5:$B$304,A50)</f>
        <v>0</v>
      </c>
      <c r="G50" s="44" t="n">
        <f aca="false">SUMIFS(Journal!$T$5:$T$304,Journal!$B$5:$B$304,A50)</f>
        <v>0</v>
      </c>
      <c r="H50" s="38" t="n">
        <f aca="false">COUNTIFS(Journal!$B$5:$B$304,A50,Journal!$AE$5:$AE$304,"No")</f>
        <v>0</v>
      </c>
      <c r="I50" s="40"/>
      <c r="J50" s="40"/>
      <c r="K50" s="49"/>
    </row>
    <row r="51" customFormat="false" ht="15" hidden="false" customHeight="false" outlineLevel="0" collapsed="false">
      <c r="A51" s="48" t="n">
        <f aca="false">WORKDAY(A50,1)</f>
        <v>46371</v>
      </c>
      <c r="B51" s="38" t="n">
        <f aca="false">INT((A51-Settings!$B$4)/7)+1</f>
        <v>10</v>
      </c>
      <c r="C51" s="40"/>
      <c r="D51" s="40"/>
      <c r="E51" s="40"/>
      <c r="F51" s="38" t="n">
        <f aca="false">COUNTIF(Journal!$B$5:$B$304,A51)</f>
        <v>0</v>
      </c>
      <c r="G51" s="44" t="n">
        <f aca="false">SUMIFS(Journal!$T$5:$T$304,Journal!$B$5:$B$304,A51)</f>
        <v>0</v>
      </c>
      <c r="H51" s="38" t="n">
        <f aca="false">COUNTIFS(Journal!$B$5:$B$304,A51,Journal!$AE$5:$AE$304,"No")</f>
        <v>0</v>
      </c>
      <c r="I51" s="40"/>
      <c r="J51" s="40"/>
      <c r="K51" s="49"/>
    </row>
    <row r="52" customFormat="false" ht="15" hidden="false" customHeight="false" outlineLevel="0" collapsed="false">
      <c r="A52" s="48" t="n">
        <f aca="false">WORKDAY(A51,1)</f>
        <v>46372</v>
      </c>
      <c r="B52" s="38" t="n">
        <f aca="false">INT((A52-Settings!$B$4)/7)+1</f>
        <v>10</v>
      </c>
      <c r="C52" s="40"/>
      <c r="D52" s="40"/>
      <c r="E52" s="40"/>
      <c r="F52" s="38" t="n">
        <f aca="false">COUNTIF(Journal!$B$5:$B$304,A52)</f>
        <v>0</v>
      </c>
      <c r="G52" s="44" t="n">
        <f aca="false">SUMIFS(Journal!$T$5:$T$304,Journal!$B$5:$B$304,A52)</f>
        <v>0</v>
      </c>
      <c r="H52" s="38" t="n">
        <f aca="false">COUNTIFS(Journal!$B$5:$B$304,A52,Journal!$AE$5:$AE$304,"No")</f>
        <v>0</v>
      </c>
      <c r="I52" s="40"/>
      <c r="J52" s="40"/>
      <c r="K52" s="49"/>
    </row>
    <row r="53" customFormat="false" ht="15" hidden="false" customHeight="false" outlineLevel="0" collapsed="false">
      <c r="A53" s="48" t="n">
        <f aca="false">WORKDAY(A52,1)</f>
        <v>46373</v>
      </c>
      <c r="B53" s="38" t="n">
        <f aca="false">INT((A53-Settings!$B$4)/7)+1</f>
        <v>10</v>
      </c>
      <c r="C53" s="40"/>
      <c r="D53" s="40"/>
      <c r="E53" s="40"/>
      <c r="F53" s="38" t="n">
        <f aca="false">COUNTIF(Journal!$B$5:$B$304,A53)</f>
        <v>0</v>
      </c>
      <c r="G53" s="44" t="n">
        <f aca="false">SUMIFS(Journal!$T$5:$T$304,Journal!$B$5:$B$304,A53)</f>
        <v>0</v>
      </c>
      <c r="H53" s="38" t="n">
        <f aca="false">COUNTIFS(Journal!$B$5:$B$304,A53,Journal!$AE$5:$AE$304,"No")</f>
        <v>0</v>
      </c>
      <c r="I53" s="40"/>
      <c r="J53" s="40"/>
      <c r="K53" s="49"/>
    </row>
    <row r="54" customFormat="false" ht="15" hidden="false" customHeight="false" outlineLevel="0" collapsed="false">
      <c r="A54" s="48" t="n">
        <f aca="false">WORKDAY(A53,1)</f>
        <v>46374</v>
      </c>
      <c r="B54" s="38" t="n">
        <f aca="false">INT((A54-Settings!$B$4)/7)+1</f>
        <v>10</v>
      </c>
      <c r="C54" s="40"/>
      <c r="D54" s="40"/>
      <c r="E54" s="40"/>
      <c r="F54" s="38" t="n">
        <f aca="false">COUNTIF(Journal!$B$5:$B$304,A54)</f>
        <v>0</v>
      </c>
      <c r="G54" s="44" t="n">
        <f aca="false">SUMIFS(Journal!$T$5:$T$304,Journal!$B$5:$B$304,A54)</f>
        <v>0</v>
      </c>
      <c r="H54" s="38" t="n">
        <f aca="false">COUNTIFS(Journal!$B$5:$B$304,A54,Journal!$AE$5:$AE$304,"No")</f>
        <v>0</v>
      </c>
      <c r="I54" s="40"/>
      <c r="J54" s="40"/>
      <c r="K54" s="49"/>
    </row>
    <row r="55" customFormat="false" ht="15" hidden="false" customHeight="false" outlineLevel="0" collapsed="false">
      <c r="A55" s="48" t="n">
        <f aca="false">WORKDAY(A54,1)</f>
        <v>46377</v>
      </c>
      <c r="B55" s="38" t="n">
        <f aca="false">INT((A55-Settings!$B$4)/7)+1</f>
        <v>11</v>
      </c>
      <c r="C55" s="40"/>
      <c r="D55" s="40"/>
      <c r="E55" s="40"/>
      <c r="F55" s="38" t="n">
        <f aca="false">COUNTIF(Journal!$B$5:$B$304,A55)</f>
        <v>0</v>
      </c>
      <c r="G55" s="44" t="n">
        <f aca="false">SUMIFS(Journal!$T$5:$T$304,Journal!$B$5:$B$304,A55)</f>
        <v>0</v>
      </c>
      <c r="H55" s="38" t="n">
        <f aca="false">COUNTIFS(Journal!$B$5:$B$304,A55,Journal!$AE$5:$AE$304,"No")</f>
        <v>0</v>
      </c>
      <c r="I55" s="40"/>
      <c r="J55" s="40"/>
      <c r="K55" s="49"/>
    </row>
    <row r="56" customFormat="false" ht="15" hidden="false" customHeight="false" outlineLevel="0" collapsed="false">
      <c r="A56" s="48" t="n">
        <f aca="false">WORKDAY(A55,1)</f>
        <v>46378</v>
      </c>
      <c r="B56" s="38" t="n">
        <f aca="false">INT((A56-Settings!$B$4)/7)+1</f>
        <v>11</v>
      </c>
      <c r="C56" s="40"/>
      <c r="D56" s="40"/>
      <c r="E56" s="40"/>
      <c r="F56" s="38" t="n">
        <f aca="false">COUNTIF(Journal!$B$5:$B$304,A56)</f>
        <v>0</v>
      </c>
      <c r="G56" s="44" t="n">
        <f aca="false">SUMIFS(Journal!$T$5:$T$304,Journal!$B$5:$B$304,A56)</f>
        <v>0</v>
      </c>
      <c r="H56" s="38" t="n">
        <f aca="false">COUNTIFS(Journal!$B$5:$B$304,A56,Journal!$AE$5:$AE$304,"No")</f>
        <v>0</v>
      </c>
      <c r="I56" s="40"/>
      <c r="J56" s="40"/>
      <c r="K56" s="49"/>
    </row>
    <row r="57" customFormat="false" ht="15" hidden="false" customHeight="false" outlineLevel="0" collapsed="false">
      <c r="A57" s="48" t="n">
        <f aca="false">WORKDAY(A56,1)</f>
        <v>46379</v>
      </c>
      <c r="B57" s="38" t="n">
        <f aca="false">INT((A57-Settings!$B$4)/7)+1</f>
        <v>11</v>
      </c>
      <c r="C57" s="40"/>
      <c r="D57" s="40"/>
      <c r="E57" s="40"/>
      <c r="F57" s="38" t="n">
        <f aca="false">COUNTIF(Journal!$B$5:$B$304,A57)</f>
        <v>0</v>
      </c>
      <c r="G57" s="44" t="n">
        <f aca="false">SUMIFS(Journal!$T$5:$T$304,Journal!$B$5:$B$304,A57)</f>
        <v>0</v>
      </c>
      <c r="H57" s="38" t="n">
        <f aca="false">COUNTIFS(Journal!$B$5:$B$304,A57,Journal!$AE$5:$AE$304,"No")</f>
        <v>0</v>
      </c>
      <c r="I57" s="40"/>
      <c r="J57" s="40"/>
      <c r="K57" s="49"/>
    </row>
    <row r="58" customFormat="false" ht="15" hidden="false" customHeight="false" outlineLevel="0" collapsed="false">
      <c r="A58" s="48" t="n">
        <f aca="false">WORKDAY(A57,1)</f>
        <v>46380</v>
      </c>
      <c r="B58" s="38" t="n">
        <f aca="false">INT((A58-Settings!$B$4)/7)+1</f>
        <v>11</v>
      </c>
      <c r="C58" s="40"/>
      <c r="D58" s="40"/>
      <c r="E58" s="40"/>
      <c r="F58" s="38" t="n">
        <f aca="false">COUNTIF(Journal!$B$5:$B$304,A58)</f>
        <v>0</v>
      </c>
      <c r="G58" s="44" t="n">
        <f aca="false">SUMIFS(Journal!$T$5:$T$304,Journal!$B$5:$B$304,A58)</f>
        <v>0</v>
      </c>
      <c r="H58" s="38" t="n">
        <f aca="false">COUNTIFS(Journal!$B$5:$B$304,A58,Journal!$AE$5:$AE$304,"No")</f>
        <v>0</v>
      </c>
      <c r="I58" s="40"/>
      <c r="J58" s="40"/>
      <c r="K58" s="49"/>
    </row>
    <row r="59" customFormat="false" ht="15" hidden="false" customHeight="false" outlineLevel="0" collapsed="false">
      <c r="A59" s="48" t="n">
        <f aca="false">WORKDAY(A58,1)</f>
        <v>46381</v>
      </c>
      <c r="B59" s="38" t="n">
        <f aca="false">INT((A59-Settings!$B$4)/7)+1</f>
        <v>11</v>
      </c>
      <c r="C59" s="40"/>
      <c r="D59" s="40"/>
      <c r="E59" s="40"/>
      <c r="F59" s="38" t="n">
        <f aca="false">COUNTIF(Journal!$B$5:$B$304,A59)</f>
        <v>0</v>
      </c>
      <c r="G59" s="44" t="n">
        <f aca="false">SUMIFS(Journal!$T$5:$T$304,Journal!$B$5:$B$304,A59)</f>
        <v>0</v>
      </c>
      <c r="H59" s="38" t="n">
        <f aca="false">COUNTIFS(Journal!$B$5:$B$304,A59,Journal!$AE$5:$AE$304,"No")</f>
        <v>0</v>
      </c>
      <c r="I59" s="40"/>
      <c r="J59" s="40"/>
      <c r="K59" s="49"/>
    </row>
    <row r="60" customFormat="false" ht="15" hidden="false" customHeight="false" outlineLevel="0" collapsed="false">
      <c r="A60" s="48" t="n">
        <f aca="false">WORKDAY(A59,1)</f>
        <v>46384</v>
      </c>
      <c r="B60" s="38" t="n">
        <f aca="false">INT((A60-Settings!$B$4)/7)+1</f>
        <v>12</v>
      </c>
      <c r="C60" s="40"/>
      <c r="D60" s="40"/>
      <c r="E60" s="40"/>
      <c r="F60" s="38" t="n">
        <f aca="false">COUNTIF(Journal!$B$5:$B$304,A60)</f>
        <v>0</v>
      </c>
      <c r="G60" s="44" t="n">
        <f aca="false">SUMIFS(Journal!$T$5:$T$304,Journal!$B$5:$B$304,A60)</f>
        <v>0</v>
      </c>
      <c r="H60" s="38" t="n">
        <f aca="false">COUNTIFS(Journal!$B$5:$B$304,A60,Journal!$AE$5:$AE$304,"No")</f>
        <v>0</v>
      </c>
      <c r="I60" s="40"/>
      <c r="J60" s="40"/>
      <c r="K60" s="49"/>
    </row>
    <row r="61" customFormat="false" ht="15" hidden="false" customHeight="false" outlineLevel="0" collapsed="false">
      <c r="A61" s="48" t="n">
        <f aca="false">WORKDAY(A60,1)</f>
        <v>46385</v>
      </c>
      <c r="B61" s="38" t="n">
        <f aca="false">INT((A61-Settings!$B$4)/7)+1</f>
        <v>12</v>
      </c>
      <c r="C61" s="40"/>
      <c r="D61" s="40"/>
      <c r="E61" s="40"/>
      <c r="F61" s="38" t="n">
        <f aca="false">COUNTIF(Journal!$B$5:$B$304,A61)</f>
        <v>0</v>
      </c>
      <c r="G61" s="44" t="n">
        <f aca="false">SUMIFS(Journal!$T$5:$T$304,Journal!$B$5:$B$304,A61)</f>
        <v>0</v>
      </c>
      <c r="H61" s="38" t="n">
        <f aca="false">COUNTIFS(Journal!$B$5:$B$304,A61,Journal!$AE$5:$AE$304,"No")</f>
        <v>0</v>
      </c>
      <c r="I61" s="40"/>
      <c r="J61" s="40"/>
      <c r="K61" s="49"/>
    </row>
    <row r="62" customFormat="false" ht="15" hidden="false" customHeight="false" outlineLevel="0" collapsed="false">
      <c r="A62" s="48" t="n">
        <f aca="false">WORKDAY(A61,1)</f>
        <v>46386</v>
      </c>
      <c r="B62" s="38" t="n">
        <f aca="false">INT((A62-Settings!$B$4)/7)+1</f>
        <v>12</v>
      </c>
      <c r="C62" s="40"/>
      <c r="D62" s="40"/>
      <c r="E62" s="40"/>
      <c r="F62" s="38" t="n">
        <f aca="false">COUNTIF(Journal!$B$5:$B$304,A62)</f>
        <v>0</v>
      </c>
      <c r="G62" s="44" t="n">
        <f aca="false">SUMIFS(Journal!$T$5:$T$304,Journal!$B$5:$B$304,A62)</f>
        <v>0</v>
      </c>
      <c r="H62" s="38" t="n">
        <f aca="false">COUNTIFS(Journal!$B$5:$B$304,A62,Journal!$AE$5:$AE$304,"No")</f>
        <v>0</v>
      </c>
      <c r="I62" s="40"/>
      <c r="J62" s="40"/>
      <c r="K62" s="49"/>
    </row>
    <row r="63" customFormat="false" ht="15" hidden="false" customHeight="false" outlineLevel="0" collapsed="false">
      <c r="A63" s="48" t="n">
        <f aca="false">WORKDAY(A62,1)</f>
        <v>46387</v>
      </c>
      <c r="B63" s="38" t="n">
        <f aca="false">INT((A63-Settings!$B$4)/7)+1</f>
        <v>12</v>
      </c>
      <c r="C63" s="40"/>
      <c r="D63" s="40"/>
      <c r="E63" s="40"/>
      <c r="F63" s="38" t="n">
        <f aca="false">COUNTIF(Journal!$B$5:$B$304,A63)</f>
        <v>0</v>
      </c>
      <c r="G63" s="44" t="n">
        <f aca="false">SUMIFS(Journal!$T$5:$T$304,Journal!$B$5:$B$304,A63)</f>
        <v>0</v>
      </c>
      <c r="H63" s="38" t="n">
        <f aca="false">COUNTIFS(Journal!$B$5:$B$304,A63,Journal!$AE$5:$AE$304,"No")</f>
        <v>0</v>
      </c>
      <c r="I63" s="40"/>
      <c r="J63" s="40"/>
      <c r="K63" s="49"/>
    </row>
    <row r="64" customFormat="false" ht="15" hidden="false" customHeight="false" outlineLevel="0" collapsed="false">
      <c r="A64" s="48" t="n">
        <f aca="false">WORKDAY(A63,1)</f>
        <v>46388</v>
      </c>
      <c r="B64" s="38" t="n">
        <f aca="false">INT((A64-Settings!$B$4)/7)+1</f>
        <v>12</v>
      </c>
      <c r="C64" s="40"/>
      <c r="D64" s="40"/>
      <c r="E64" s="40"/>
      <c r="F64" s="38" t="n">
        <f aca="false">COUNTIF(Journal!$B$5:$B$304,A64)</f>
        <v>0</v>
      </c>
      <c r="G64" s="44" t="n">
        <f aca="false">SUMIFS(Journal!$T$5:$T$304,Journal!$B$5:$B$304,A64)</f>
        <v>0</v>
      </c>
      <c r="H64" s="38" t="n">
        <f aca="false">COUNTIFS(Journal!$B$5:$B$304,A64,Journal!$AE$5:$AE$304,"No")</f>
        <v>0</v>
      </c>
      <c r="I64" s="40"/>
      <c r="J64" s="40"/>
      <c r="K64" s="49"/>
    </row>
  </sheetData>
  <conditionalFormatting sqref="H5:H64">
    <cfRule type="cellIs" priority="2" operator="greaterThan" aboveAverage="0" equalAverage="0" bottom="0" percent="0" rank="0" text="" dxfId="2">
      <formula>0</formula>
    </cfRule>
  </conditionalFormatting>
  <dataValidations count="2">
    <dataValidation allowBlank="true" errorStyle="stop" operator="between" showDropDown="false" showErrorMessage="false" showInputMessage="false" sqref="C5:E64 I5:I64" type="list">
      <formula1>Settings!$I$4:$I$5</formula1>
      <formula2>0</formula2>
    </dataValidation>
    <dataValidation allowBlank="true" errorStyle="stop" operator="between" showDropDown="false" showErrorMessage="false" showInputMessage="false" sqref="J5:J64" type="list">
      <formula1>Settings!$L$4:$L$8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10" min="9" style="0" width="8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8" min="16" style="0" width="30"/>
    <col collapsed="false" customWidth="true" hidden="false" outlineLevel="0" max="19" min="19" style="0" width="28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269</v>
      </c>
    </row>
    <row r="4" customFormat="false" ht="45" hidden="false" customHeight="true" outlineLevel="0" collapsed="false">
      <c r="A4" s="21" t="s">
        <v>233</v>
      </c>
      <c r="B4" s="21" t="s">
        <v>270</v>
      </c>
      <c r="C4" s="21" t="s">
        <v>271</v>
      </c>
      <c r="D4" s="21" t="s">
        <v>272</v>
      </c>
      <c r="E4" s="21" t="s">
        <v>210</v>
      </c>
      <c r="F4" s="21" t="s">
        <v>273</v>
      </c>
      <c r="G4" s="21" t="s">
        <v>274</v>
      </c>
      <c r="H4" s="21" t="s">
        <v>275</v>
      </c>
      <c r="I4" s="21" t="s">
        <v>188</v>
      </c>
      <c r="J4" s="21" t="s">
        <v>200</v>
      </c>
      <c r="K4" s="21" t="s">
        <v>276</v>
      </c>
      <c r="L4" s="21" t="s">
        <v>186</v>
      </c>
      <c r="M4" s="21" t="s">
        <v>198</v>
      </c>
      <c r="N4" s="21" t="s">
        <v>250</v>
      </c>
      <c r="O4" s="21" t="s">
        <v>277</v>
      </c>
      <c r="P4" s="21" t="s">
        <v>278</v>
      </c>
      <c r="Q4" s="21" t="s">
        <v>279</v>
      </c>
      <c r="R4" s="21" t="s">
        <v>280</v>
      </c>
      <c r="S4" s="21" t="s">
        <v>281</v>
      </c>
    </row>
    <row r="5" customFormat="false" ht="15" hidden="false" customHeight="false" outlineLevel="0" collapsed="false">
      <c r="A5" s="50" t="n">
        <v>1</v>
      </c>
      <c r="B5" s="38" t="s">
        <v>282</v>
      </c>
      <c r="C5" s="51" t="n">
        <f aca="false">Settings!$B$4+(A5-1)*7</f>
        <v>46307</v>
      </c>
      <c r="D5" s="51" t="n">
        <f aca="false">C5+4</f>
        <v>46311</v>
      </c>
      <c r="E5" s="38" t="n">
        <f aca="false">COUNTIFS(Journal!$C$5:$C$304,A5,Journal!$T$5:$T$304,"&gt;-9999")</f>
        <v>0</v>
      </c>
      <c r="F5" s="38" t="n">
        <f aca="false">COUNTIFS(Journal!$C$5:$C$304,A5,Journal!$U$5:$U$304,"Win")</f>
        <v>0</v>
      </c>
      <c r="G5" s="38" t="n">
        <f aca="false">COUNTIFS(Journal!$C$5:$C$304,A5,Journal!$U$5:$U$304,"Loss")</f>
        <v>0</v>
      </c>
      <c r="H5" s="38" t="n">
        <f aca="false">COUNTIFS(Journal!$C$5:$C$304,A5,Journal!$U$5:$U$304,"BE")</f>
        <v>0</v>
      </c>
      <c r="I5" s="52" t="n">
        <f aca="false">IFERROR(F5/E5,0)</f>
        <v>0</v>
      </c>
      <c r="J5" s="44" t="n">
        <f aca="false">SUMIFS(Journal!$T$5:$T$304,Journal!$C$5:$C$304,A5)</f>
        <v>0</v>
      </c>
      <c r="K5" s="44" t="n">
        <f aca="false">IFERROR(J5/E5,0)</f>
        <v>0</v>
      </c>
      <c r="L5" s="52" t="n">
        <f aca="false">IFERROR(COUNTIFS(Journal!$C$5:$C$304,A5,Journal!$AE$5:$AE$304,"Yes")/COUNTIF(Journal!$C$5:$C$304,A5),0)</f>
        <v>0</v>
      </c>
      <c r="M5" s="52" t="n">
        <f aca="false">IFERROR((COUNTIFS('Daily Log'!$B$5:$B$64,A5,'Daily Log'!$C$5:$C$64,"Y")+COUNTIFS('Daily Log'!$B$5:$B$64,A5,'Daily Log'!$D$5:$D$64,"Y"))/(2*COUNTIF('Daily Log'!$B$5:$B$64,A5)),0)</f>
        <v>0</v>
      </c>
      <c r="N5" s="44" t="n">
        <f aca="false">SUM($J$5:J5)</f>
        <v>0</v>
      </c>
      <c r="O5" s="38" t="str">
        <f aca="false">IF(J5&lt;=Settings!$B$12,"YES - stopped","No")</f>
        <v>No</v>
      </c>
      <c r="P5" s="53"/>
      <c r="Q5" s="53"/>
      <c r="R5" s="53"/>
      <c r="S5" s="53"/>
    </row>
    <row r="6" customFormat="false" ht="15" hidden="false" customHeight="false" outlineLevel="0" collapsed="false">
      <c r="A6" s="50" t="n">
        <v>2</v>
      </c>
      <c r="B6" s="38" t="s">
        <v>282</v>
      </c>
      <c r="C6" s="51" t="n">
        <f aca="false">Settings!$B$4+(A6-1)*7</f>
        <v>46314</v>
      </c>
      <c r="D6" s="51" t="n">
        <f aca="false">C6+4</f>
        <v>46318</v>
      </c>
      <c r="E6" s="38" t="n">
        <f aca="false">COUNTIFS(Journal!$C$5:$C$304,A6,Journal!$T$5:$T$304,"&gt;-9999")</f>
        <v>0</v>
      </c>
      <c r="F6" s="38" t="n">
        <f aca="false">COUNTIFS(Journal!$C$5:$C$304,A6,Journal!$U$5:$U$304,"Win")</f>
        <v>0</v>
      </c>
      <c r="G6" s="38" t="n">
        <f aca="false">COUNTIFS(Journal!$C$5:$C$304,A6,Journal!$U$5:$U$304,"Loss")</f>
        <v>0</v>
      </c>
      <c r="H6" s="38" t="n">
        <f aca="false">COUNTIFS(Journal!$C$5:$C$304,A6,Journal!$U$5:$U$304,"BE")</f>
        <v>0</v>
      </c>
      <c r="I6" s="52" t="n">
        <f aca="false">IFERROR(F6/E6,0)</f>
        <v>0</v>
      </c>
      <c r="J6" s="44" t="n">
        <f aca="false">SUMIFS(Journal!$T$5:$T$304,Journal!$C$5:$C$304,A6)</f>
        <v>0</v>
      </c>
      <c r="K6" s="44" t="n">
        <f aca="false">IFERROR(J6/E6,0)</f>
        <v>0</v>
      </c>
      <c r="L6" s="52" t="n">
        <f aca="false">IFERROR(COUNTIFS(Journal!$C$5:$C$304,A6,Journal!$AE$5:$AE$304,"Yes")/COUNTIF(Journal!$C$5:$C$304,A6),0)</f>
        <v>0</v>
      </c>
      <c r="M6" s="52" t="n">
        <f aca="false">IFERROR((COUNTIFS('Daily Log'!$B$5:$B$64,A6,'Daily Log'!$C$5:$C$64,"Y")+COUNTIFS('Daily Log'!$B$5:$B$64,A6,'Daily Log'!$D$5:$D$64,"Y"))/(2*COUNTIF('Daily Log'!$B$5:$B$64,A6)),0)</f>
        <v>0</v>
      </c>
      <c r="N6" s="44" t="n">
        <f aca="false">SUM($J$5:J6)</f>
        <v>0</v>
      </c>
      <c r="O6" s="38" t="str">
        <f aca="false">IF(J6&lt;=Settings!$B$12,"YES - stopped","No")</f>
        <v>No</v>
      </c>
      <c r="P6" s="53"/>
      <c r="Q6" s="53"/>
      <c r="R6" s="53"/>
      <c r="S6" s="53"/>
    </row>
    <row r="7" customFormat="false" ht="15" hidden="false" customHeight="false" outlineLevel="0" collapsed="false">
      <c r="A7" s="50" t="n">
        <v>3</v>
      </c>
      <c r="B7" s="38" t="s">
        <v>283</v>
      </c>
      <c r="C7" s="51" t="n">
        <f aca="false">Settings!$B$4+(A7-1)*7</f>
        <v>46321</v>
      </c>
      <c r="D7" s="51" t="n">
        <f aca="false">C7+4</f>
        <v>46325</v>
      </c>
      <c r="E7" s="38" t="n">
        <f aca="false">COUNTIFS(Journal!$C$5:$C$304,A7,Journal!$T$5:$T$304,"&gt;-9999")</f>
        <v>0</v>
      </c>
      <c r="F7" s="38" t="n">
        <f aca="false">COUNTIFS(Journal!$C$5:$C$304,A7,Journal!$U$5:$U$304,"Win")</f>
        <v>0</v>
      </c>
      <c r="G7" s="38" t="n">
        <f aca="false">COUNTIFS(Journal!$C$5:$C$304,A7,Journal!$U$5:$U$304,"Loss")</f>
        <v>0</v>
      </c>
      <c r="H7" s="38" t="n">
        <f aca="false">COUNTIFS(Journal!$C$5:$C$304,A7,Journal!$U$5:$U$304,"BE")</f>
        <v>0</v>
      </c>
      <c r="I7" s="52" t="n">
        <f aca="false">IFERROR(F7/E7,0)</f>
        <v>0</v>
      </c>
      <c r="J7" s="44" t="n">
        <f aca="false">SUMIFS(Journal!$T$5:$T$304,Journal!$C$5:$C$304,A7)</f>
        <v>0</v>
      </c>
      <c r="K7" s="44" t="n">
        <f aca="false">IFERROR(J7/E7,0)</f>
        <v>0</v>
      </c>
      <c r="L7" s="52" t="n">
        <f aca="false">IFERROR(COUNTIFS(Journal!$C$5:$C$304,A7,Journal!$AE$5:$AE$304,"Yes")/COUNTIF(Journal!$C$5:$C$304,A7),0)</f>
        <v>0</v>
      </c>
      <c r="M7" s="52" t="n">
        <f aca="false">IFERROR((COUNTIFS('Daily Log'!$B$5:$B$64,A7,'Daily Log'!$C$5:$C$64,"Y")+COUNTIFS('Daily Log'!$B$5:$B$64,A7,'Daily Log'!$D$5:$D$64,"Y"))/(2*COUNTIF('Daily Log'!$B$5:$B$64,A7)),0)</f>
        <v>0</v>
      </c>
      <c r="N7" s="44" t="n">
        <f aca="false">SUM($J$5:J7)</f>
        <v>0</v>
      </c>
      <c r="O7" s="38" t="str">
        <f aca="false">IF(J7&lt;=Settings!$B$12,"YES - stopped","No")</f>
        <v>No</v>
      </c>
      <c r="P7" s="53"/>
      <c r="Q7" s="53"/>
      <c r="R7" s="53"/>
      <c r="S7" s="53"/>
    </row>
    <row r="8" customFormat="false" ht="15" hidden="false" customHeight="false" outlineLevel="0" collapsed="false">
      <c r="A8" s="50" t="n">
        <v>4</v>
      </c>
      <c r="B8" s="38" t="s">
        <v>284</v>
      </c>
      <c r="C8" s="51" t="n">
        <f aca="false">Settings!$B$4+(A8-1)*7</f>
        <v>46328</v>
      </c>
      <c r="D8" s="51" t="n">
        <f aca="false">C8+4</f>
        <v>46332</v>
      </c>
      <c r="E8" s="38" t="n">
        <f aca="false">COUNTIFS(Journal!$C$5:$C$304,A8,Journal!$T$5:$T$304,"&gt;-9999")</f>
        <v>0</v>
      </c>
      <c r="F8" s="38" t="n">
        <f aca="false">COUNTIFS(Journal!$C$5:$C$304,A8,Journal!$U$5:$U$304,"Win")</f>
        <v>0</v>
      </c>
      <c r="G8" s="38" t="n">
        <f aca="false">COUNTIFS(Journal!$C$5:$C$304,A8,Journal!$U$5:$U$304,"Loss")</f>
        <v>0</v>
      </c>
      <c r="H8" s="38" t="n">
        <f aca="false">COUNTIFS(Journal!$C$5:$C$304,A8,Journal!$U$5:$U$304,"BE")</f>
        <v>0</v>
      </c>
      <c r="I8" s="52" t="n">
        <f aca="false">IFERROR(F8/E8,0)</f>
        <v>0</v>
      </c>
      <c r="J8" s="44" t="n">
        <f aca="false">SUMIFS(Journal!$T$5:$T$304,Journal!$C$5:$C$304,A8)</f>
        <v>0</v>
      </c>
      <c r="K8" s="44" t="n">
        <f aca="false">IFERROR(J8/E8,0)</f>
        <v>0</v>
      </c>
      <c r="L8" s="52" t="n">
        <f aca="false">IFERROR(COUNTIFS(Journal!$C$5:$C$304,A8,Journal!$AE$5:$AE$304,"Yes")/COUNTIF(Journal!$C$5:$C$304,A8),0)</f>
        <v>0</v>
      </c>
      <c r="M8" s="52" t="n">
        <f aca="false">IFERROR((COUNTIFS('Daily Log'!$B$5:$B$64,A8,'Daily Log'!$C$5:$C$64,"Y")+COUNTIFS('Daily Log'!$B$5:$B$64,A8,'Daily Log'!$D$5:$D$64,"Y"))/(2*COUNTIF('Daily Log'!$B$5:$B$64,A8)),0)</f>
        <v>0</v>
      </c>
      <c r="N8" s="44" t="n">
        <f aca="false">SUM($J$5:J8)</f>
        <v>0</v>
      </c>
      <c r="O8" s="38" t="str">
        <f aca="false">IF(J8&lt;=Settings!$B$12,"YES - stopped","No")</f>
        <v>No</v>
      </c>
      <c r="P8" s="53"/>
      <c r="Q8" s="53"/>
      <c r="R8" s="53"/>
      <c r="S8" s="54"/>
    </row>
    <row r="9" customFormat="false" ht="15" hidden="false" customHeight="false" outlineLevel="0" collapsed="false">
      <c r="A9" s="50" t="n">
        <v>5</v>
      </c>
      <c r="B9" s="38" t="s">
        <v>283</v>
      </c>
      <c r="C9" s="51" t="n">
        <f aca="false">Settings!$B$4+(A9-1)*7</f>
        <v>46335</v>
      </c>
      <c r="D9" s="51" t="n">
        <f aca="false">C9+4</f>
        <v>46339</v>
      </c>
      <c r="E9" s="38" t="n">
        <f aca="false">COUNTIFS(Journal!$C$5:$C$304,A9,Journal!$T$5:$T$304,"&gt;-9999")</f>
        <v>0</v>
      </c>
      <c r="F9" s="38" t="n">
        <f aca="false">COUNTIFS(Journal!$C$5:$C$304,A9,Journal!$U$5:$U$304,"Win")</f>
        <v>0</v>
      </c>
      <c r="G9" s="38" t="n">
        <f aca="false">COUNTIFS(Journal!$C$5:$C$304,A9,Journal!$U$5:$U$304,"Loss")</f>
        <v>0</v>
      </c>
      <c r="H9" s="38" t="n">
        <f aca="false">COUNTIFS(Journal!$C$5:$C$304,A9,Journal!$U$5:$U$304,"BE")</f>
        <v>0</v>
      </c>
      <c r="I9" s="52" t="n">
        <f aca="false">IFERROR(F9/E9,0)</f>
        <v>0</v>
      </c>
      <c r="J9" s="44" t="n">
        <f aca="false">SUMIFS(Journal!$T$5:$T$304,Journal!$C$5:$C$304,A9)</f>
        <v>0</v>
      </c>
      <c r="K9" s="44" t="n">
        <f aca="false">IFERROR(J9/E9,0)</f>
        <v>0</v>
      </c>
      <c r="L9" s="52" t="n">
        <f aca="false">IFERROR(COUNTIFS(Journal!$C$5:$C$304,A9,Journal!$AE$5:$AE$304,"Yes")/COUNTIF(Journal!$C$5:$C$304,A9),0)</f>
        <v>0</v>
      </c>
      <c r="M9" s="52" t="n">
        <f aca="false">IFERROR((COUNTIFS('Daily Log'!$B$5:$B$64,A9,'Daily Log'!$C$5:$C$64,"Y")+COUNTIFS('Daily Log'!$B$5:$B$64,A9,'Daily Log'!$D$5:$D$64,"Y"))/(2*COUNTIF('Daily Log'!$B$5:$B$64,A9)),0)</f>
        <v>0</v>
      </c>
      <c r="N9" s="44" t="n">
        <f aca="false">SUM($J$5:J9)</f>
        <v>0</v>
      </c>
      <c r="O9" s="38" t="str">
        <f aca="false">IF(J9&lt;=Settings!$B$12,"YES - stopped","No")</f>
        <v>No</v>
      </c>
      <c r="P9" s="53"/>
      <c r="Q9" s="53"/>
      <c r="R9" s="53"/>
      <c r="S9" s="53"/>
    </row>
    <row r="10" customFormat="false" ht="15" hidden="false" customHeight="false" outlineLevel="0" collapsed="false">
      <c r="A10" s="50" t="n">
        <v>6</v>
      </c>
      <c r="B10" s="38" t="s">
        <v>283</v>
      </c>
      <c r="C10" s="51" t="n">
        <f aca="false">Settings!$B$4+(A10-1)*7</f>
        <v>46342</v>
      </c>
      <c r="D10" s="51" t="n">
        <f aca="false">C10+4</f>
        <v>46346</v>
      </c>
      <c r="E10" s="38" t="n">
        <f aca="false">COUNTIFS(Journal!$C$5:$C$304,A10,Journal!$T$5:$T$304,"&gt;-9999")</f>
        <v>0</v>
      </c>
      <c r="F10" s="38" t="n">
        <f aca="false">COUNTIFS(Journal!$C$5:$C$304,A10,Journal!$U$5:$U$304,"Win")</f>
        <v>0</v>
      </c>
      <c r="G10" s="38" t="n">
        <f aca="false">COUNTIFS(Journal!$C$5:$C$304,A10,Journal!$U$5:$U$304,"Loss")</f>
        <v>0</v>
      </c>
      <c r="H10" s="38" t="n">
        <f aca="false">COUNTIFS(Journal!$C$5:$C$304,A10,Journal!$U$5:$U$304,"BE")</f>
        <v>0</v>
      </c>
      <c r="I10" s="52" t="n">
        <f aca="false">IFERROR(F10/E10,0)</f>
        <v>0</v>
      </c>
      <c r="J10" s="44" t="n">
        <f aca="false">SUMIFS(Journal!$T$5:$T$304,Journal!$C$5:$C$304,A10)</f>
        <v>0</v>
      </c>
      <c r="K10" s="44" t="n">
        <f aca="false">IFERROR(J10/E10,0)</f>
        <v>0</v>
      </c>
      <c r="L10" s="52" t="n">
        <f aca="false">IFERROR(COUNTIFS(Journal!$C$5:$C$304,A10,Journal!$AE$5:$AE$304,"Yes")/COUNTIF(Journal!$C$5:$C$304,A10),0)</f>
        <v>0</v>
      </c>
      <c r="M10" s="52" t="n">
        <f aca="false">IFERROR((COUNTIFS('Daily Log'!$B$5:$B$64,A10,'Daily Log'!$C$5:$C$64,"Y")+COUNTIFS('Daily Log'!$B$5:$B$64,A10,'Daily Log'!$D$5:$D$64,"Y"))/(2*COUNTIF('Daily Log'!$B$5:$B$64,A10)),0)</f>
        <v>0</v>
      </c>
      <c r="N10" s="44" t="n">
        <f aca="false">SUM($J$5:J10)</f>
        <v>0</v>
      </c>
      <c r="O10" s="38" t="str">
        <f aca="false">IF(J10&lt;=Settings!$B$12,"YES - stopped","No")</f>
        <v>No</v>
      </c>
      <c r="P10" s="53"/>
      <c r="Q10" s="53"/>
      <c r="R10" s="53"/>
      <c r="S10" s="53"/>
    </row>
    <row r="11" customFormat="false" ht="15" hidden="false" customHeight="false" outlineLevel="0" collapsed="false">
      <c r="A11" s="50" t="n">
        <v>7</v>
      </c>
      <c r="B11" s="38" t="s">
        <v>285</v>
      </c>
      <c r="C11" s="51" t="n">
        <f aca="false">Settings!$B$4+(A11-1)*7</f>
        <v>46349</v>
      </c>
      <c r="D11" s="51" t="n">
        <f aca="false">C11+4</f>
        <v>46353</v>
      </c>
      <c r="E11" s="38" t="n">
        <f aca="false">COUNTIFS(Journal!$C$5:$C$304,A11,Journal!$T$5:$T$304,"&gt;-9999")</f>
        <v>0</v>
      </c>
      <c r="F11" s="38" t="n">
        <f aca="false">COUNTIFS(Journal!$C$5:$C$304,A11,Journal!$U$5:$U$304,"Win")</f>
        <v>0</v>
      </c>
      <c r="G11" s="38" t="n">
        <f aca="false">COUNTIFS(Journal!$C$5:$C$304,A11,Journal!$U$5:$U$304,"Loss")</f>
        <v>0</v>
      </c>
      <c r="H11" s="38" t="n">
        <f aca="false">COUNTIFS(Journal!$C$5:$C$304,A11,Journal!$U$5:$U$304,"BE")</f>
        <v>0</v>
      </c>
      <c r="I11" s="52" t="n">
        <f aca="false">IFERROR(F11/E11,0)</f>
        <v>0</v>
      </c>
      <c r="J11" s="44" t="n">
        <f aca="false">SUMIFS(Journal!$T$5:$T$304,Journal!$C$5:$C$304,A11)</f>
        <v>0</v>
      </c>
      <c r="K11" s="44" t="n">
        <f aca="false">IFERROR(J11/E11,0)</f>
        <v>0</v>
      </c>
      <c r="L11" s="52" t="n">
        <f aca="false">IFERROR(COUNTIFS(Journal!$C$5:$C$304,A11,Journal!$AE$5:$AE$304,"Yes")/COUNTIF(Journal!$C$5:$C$304,A11),0)</f>
        <v>0</v>
      </c>
      <c r="M11" s="52" t="n">
        <f aca="false">IFERROR((COUNTIFS('Daily Log'!$B$5:$B$64,A11,'Daily Log'!$C$5:$C$64,"Y")+COUNTIFS('Daily Log'!$B$5:$B$64,A11,'Daily Log'!$D$5:$D$64,"Y"))/(2*COUNTIF('Daily Log'!$B$5:$B$64,A11)),0)</f>
        <v>0</v>
      </c>
      <c r="N11" s="44" t="n">
        <f aca="false">SUM($J$5:J11)</f>
        <v>0</v>
      </c>
      <c r="O11" s="38" t="str">
        <f aca="false">IF(J11&lt;=Settings!$B$12,"YES - stopped","No")</f>
        <v>No</v>
      </c>
      <c r="P11" s="53"/>
      <c r="Q11" s="53"/>
      <c r="R11" s="53"/>
      <c r="S11" s="53"/>
    </row>
    <row r="12" customFormat="false" ht="15" hidden="false" customHeight="false" outlineLevel="0" collapsed="false">
      <c r="A12" s="50" t="n">
        <v>8</v>
      </c>
      <c r="B12" s="38" t="s">
        <v>286</v>
      </c>
      <c r="C12" s="51" t="n">
        <f aca="false">Settings!$B$4+(A12-1)*7</f>
        <v>46356</v>
      </c>
      <c r="D12" s="51" t="n">
        <f aca="false">C12+4</f>
        <v>46360</v>
      </c>
      <c r="E12" s="38" t="n">
        <f aca="false">COUNTIFS(Journal!$C$5:$C$304,A12,Journal!$T$5:$T$304,"&gt;-9999")</f>
        <v>0</v>
      </c>
      <c r="F12" s="38" t="n">
        <f aca="false">COUNTIFS(Journal!$C$5:$C$304,A12,Journal!$U$5:$U$304,"Win")</f>
        <v>0</v>
      </c>
      <c r="G12" s="38" t="n">
        <f aca="false">COUNTIFS(Journal!$C$5:$C$304,A12,Journal!$U$5:$U$304,"Loss")</f>
        <v>0</v>
      </c>
      <c r="H12" s="38" t="n">
        <f aca="false">COUNTIFS(Journal!$C$5:$C$304,A12,Journal!$U$5:$U$304,"BE")</f>
        <v>0</v>
      </c>
      <c r="I12" s="52" t="n">
        <f aca="false">IFERROR(F12/E12,0)</f>
        <v>0</v>
      </c>
      <c r="J12" s="44" t="n">
        <f aca="false">SUMIFS(Journal!$T$5:$T$304,Journal!$C$5:$C$304,A12)</f>
        <v>0</v>
      </c>
      <c r="K12" s="44" t="n">
        <f aca="false">IFERROR(J12/E12,0)</f>
        <v>0</v>
      </c>
      <c r="L12" s="52" t="n">
        <f aca="false">IFERROR(COUNTIFS(Journal!$C$5:$C$304,A12,Journal!$AE$5:$AE$304,"Yes")/COUNTIF(Journal!$C$5:$C$304,A12),0)</f>
        <v>0</v>
      </c>
      <c r="M12" s="52" t="n">
        <f aca="false">IFERROR((COUNTIFS('Daily Log'!$B$5:$B$64,A12,'Daily Log'!$C$5:$C$64,"Y")+COUNTIFS('Daily Log'!$B$5:$B$64,A12,'Daily Log'!$D$5:$D$64,"Y"))/(2*COUNTIF('Daily Log'!$B$5:$B$64,A12)),0)</f>
        <v>0</v>
      </c>
      <c r="N12" s="44" t="n">
        <f aca="false">SUM($J$5:J12)</f>
        <v>0</v>
      </c>
      <c r="O12" s="38" t="str">
        <f aca="false">IF(J12&lt;=Settings!$B$12,"YES - stopped","No")</f>
        <v>No</v>
      </c>
      <c r="P12" s="53"/>
      <c r="Q12" s="53"/>
      <c r="R12" s="53"/>
      <c r="S12" s="53"/>
    </row>
    <row r="13" customFormat="false" ht="15" hidden="false" customHeight="false" outlineLevel="0" collapsed="false">
      <c r="A13" s="50" t="n">
        <v>9</v>
      </c>
      <c r="B13" s="38" t="s">
        <v>287</v>
      </c>
      <c r="C13" s="51" t="n">
        <f aca="false">Settings!$B$4+(A13-1)*7</f>
        <v>46363</v>
      </c>
      <c r="D13" s="51" t="n">
        <f aca="false">C13+4</f>
        <v>46367</v>
      </c>
      <c r="E13" s="38" t="n">
        <f aca="false">COUNTIFS(Journal!$C$5:$C$304,A13,Journal!$T$5:$T$304,"&gt;-9999")</f>
        <v>0</v>
      </c>
      <c r="F13" s="38" t="n">
        <f aca="false">COUNTIFS(Journal!$C$5:$C$304,A13,Journal!$U$5:$U$304,"Win")</f>
        <v>0</v>
      </c>
      <c r="G13" s="38" t="n">
        <f aca="false">COUNTIFS(Journal!$C$5:$C$304,A13,Journal!$U$5:$U$304,"Loss")</f>
        <v>0</v>
      </c>
      <c r="H13" s="38" t="n">
        <f aca="false">COUNTIFS(Journal!$C$5:$C$304,A13,Journal!$U$5:$U$304,"BE")</f>
        <v>0</v>
      </c>
      <c r="I13" s="52" t="n">
        <f aca="false">IFERROR(F13/E13,0)</f>
        <v>0</v>
      </c>
      <c r="J13" s="44" t="n">
        <f aca="false">SUMIFS(Journal!$T$5:$T$304,Journal!$C$5:$C$304,A13)</f>
        <v>0</v>
      </c>
      <c r="K13" s="44" t="n">
        <f aca="false">IFERROR(J13/E13,0)</f>
        <v>0</v>
      </c>
      <c r="L13" s="52" t="n">
        <f aca="false">IFERROR(COUNTIFS(Journal!$C$5:$C$304,A13,Journal!$AE$5:$AE$304,"Yes")/COUNTIF(Journal!$C$5:$C$304,A13),0)</f>
        <v>0</v>
      </c>
      <c r="M13" s="52" t="n">
        <f aca="false">IFERROR((COUNTIFS('Daily Log'!$B$5:$B$64,A13,'Daily Log'!$C$5:$C$64,"Y")+COUNTIFS('Daily Log'!$B$5:$B$64,A13,'Daily Log'!$D$5:$D$64,"Y"))/(2*COUNTIF('Daily Log'!$B$5:$B$64,A13)),0)</f>
        <v>0</v>
      </c>
      <c r="N13" s="44" t="n">
        <f aca="false">SUM($J$5:J13)</f>
        <v>0</v>
      </c>
      <c r="O13" s="38" t="str">
        <f aca="false">IF(J13&lt;=Settings!$B$12,"YES - stopped","No")</f>
        <v>No</v>
      </c>
      <c r="P13" s="53"/>
      <c r="Q13" s="53"/>
      <c r="R13" s="53"/>
      <c r="S13" s="53"/>
    </row>
    <row r="14" customFormat="false" ht="15" hidden="false" customHeight="false" outlineLevel="0" collapsed="false">
      <c r="A14" s="50" t="n">
        <v>10</v>
      </c>
      <c r="B14" s="38" t="s">
        <v>287</v>
      </c>
      <c r="C14" s="51" t="n">
        <f aca="false">Settings!$B$4+(A14-1)*7</f>
        <v>46370</v>
      </c>
      <c r="D14" s="51" t="n">
        <f aca="false">C14+4</f>
        <v>46374</v>
      </c>
      <c r="E14" s="38" t="n">
        <f aca="false">COUNTIFS(Journal!$C$5:$C$304,A14,Journal!$T$5:$T$304,"&gt;-9999")</f>
        <v>0</v>
      </c>
      <c r="F14" s="38" t="n">
        <f aca="false">COUNTIFS(Journal!$C$5:$C$304,A14,Journal!$U$5:$U$304,"Win")</f>
        <v>0</v>
      </c>
      <c r="G14" s="38" t="n">
        <f aca="false">COUNTIFS(Journal!$C$5:$C$304,A14,Journal!$U$5:$U$304,"Loss")</f>
        <v>0</v>
      </c>
      <c r="H14" s="38" t="n">
        <f aca="false">COUNTIFS(Journal!$C$5:$C$304,A14,Journal!$U$5:$U$304,"BE")</f>
        <v>0</v>
      </c>
      <c r="I14" s="52" t="n">
        <f aca="false">IFERROR(F14/E14,0)</f>
        <v>0</v>
      </c>
      <c r="J14" s="44" t="n">
        <f aca="false">SUMIFS(Journal!$T$5:$T$304,Journal!$C$5:$C$304,A14)</f>
        <v>0</v>
      </c>
      <c r="K14" s="44" t="n">
        <f aca="false">IFERROR(J14/E14,0)</f>
        <v>0</v>
      </c>
      <c r="L14" s="52" t="n">
        <f aca="false">IFERROR(COUNTIFS(Journal!$C$5:$C$304,A14,Journal!$AE$5:$AE$304,"Yes")/COUNTIF(Journal!$C$5:$C$304,A14),0)</f>
        <v>0</v>
      </c>
      <c r="M14" s="52" t="n">
        <f aca="false">IFERROR((COUNTIFS('Daily Log'!$B$5:$B$64,A14,'Daily Log'!$C$5:$C$64,"Y")+COUNTIFS('Daily Log'!$B$5:$B$64,A14,'Daily Log'!$D$5:$D$64,"Y"))/(2*COUNTIF('Daily Log'!$B$5:$B$64,A14)),0)</f>
        <v>0</v>
      </c>
      <c r="N14" s="44" t="n">
        <f aca="false">SUM($J$5:J14)</f>
        <v>0</v>
      </c>
      <c r="O14" s="38" t="str">
        <f aca="false">IF(J14&lt;=Settings!$B$12,"YES - stopped","No")</f>
        <v>No</v>
      </c>
      <c r="P14" s="53"/>
      <c r="Q14" s="53"/>
      <c r="R14" s="53"/>
      <c r="S14" s="53"/>
    </row>
    <row r="15" customFormat="false" ht="15" hidden="false" customHeight="false" outlineLevel="0" collapsed="false">
      <c r="A15" s="50" t="n">
        <v>11</v>
      </c>
      <c r="B15" s="38" t="s">
        <v>287</v>
      </c>
      <c r="C15" s="51" t="n">
        <f aca="false">Settings!$B$4+(A15-1)*7</f>
        <v>46377</v>
      </c>
      <c r="D15" s="51" t="n">
        <f aca="false">C15+4</f>
        <v>46381</v>
      </c>
      <c r="E15" s="38" t="n">
        <f aca="false">COUNTIFS(Journal!$C$5:$C$304,A15,Journal!$T$5:$T$304,"&gt;-9999")</f>
        <v>0</v>
      </c>
      <c r="F15" s="38" t="n">
        <f aca="false">COUNTIFS(Journal!$C$5:$C$304,A15,Journal!$U$5:$U$304,"Win")</f>
        <v>0</v>
      </c>
      <c r="G15" s="38" t="n">
        <f aca="false">COUNTIFS(Journal!$C$5:$C$304,A15,Journal!$U$5:$U$304,"Loss")</f>
        <v>0</v>
      </c>
      <c r="H15" s="38" t="n">
        <f aca="false">COUNTIFS(Journal!$C$5:$C$304,A15,Journal!$U$5:$U$304,"BE")</f>
        <v>0</v>
      </c>
      <c r="I15" s="52" t="n">
        <f aca="false">IFERROR(F15/E15,0)</f>
        <v>0</v>
      </c>
      <c r="J15" s="44" t="n">
        <f aca="false">SUMIFS(Journal!$T$5:$T$304,Journal!$C$5:$C$304,A15)</f>
        <v>0</v>
      </c>
      <c r="K15" s="44" t="n">
        <f aca="false">IFERROR(J15/E15,0)</f>
        <v>0</v>
      </c>
      <c r="L15" s="52" t="n">
        <f aca="false">IFERROR(COUNTIFS(Journal!$C$5:$C$304,A15,Journal!$AE$5:$AE$304,"Yes")/COUNTIF(Journal!$C$5:$C$304,A15),0)</f>
        <v>0</v>
      </c>
      <c r="M15" s="52" t="n">
        <f aca="false">IFERROR((COUNTIFS('Daily Log'!$B$5:$B$64,A15,'Daily Log'!$C$5:$C$64,"Y")+COUNTIFS('Daily Log'!$B$5:$B$64,A15,'Daily Log'!$D$5:$D$64,"Y"))/(2*COUNTIF('Daily Log'!$B$5:$B$64,A15)),0)</f>
        <v>0</v>
      </c>
      <c r="N15" s="44" t="n">
        <f aca="false">SUM($J$5:J15)</f>
        <v>0</v>
      </c>
      <c r="O15" s="38" t="str">
        <f aca="false">IF(J15&lt;=Settings!$B$12,"YES - stopped","No")</f>
        <v>No</v>
      </c>
      <c r="P15" s="53"/>
      <c r="Q15" s="53"/>
      <c r="R15" s="53"/>
      <c r="S15" s="53"/>
    </row>
    <row r="16" customFormat="false" ht="15" hidden="false" customHeight="false" outlineLevel="0" collapsed="false">
      <c r="A16" s="50" t="n">
        <v>12</v>
      </c>
      <c r="B16" s="38" t="s">
        <v>287</v>
      </c>
      <c r="C16" s="51" t="n">
        <f aca="false">Settings!$B$4+(A16-1)*7</f>
        <v>46384</v>
      </c>
      <c r="D16" s="51" t="n">
        <f aca="false">C16+4</f>
        <v>46388</v>
      </c>
      <c r="E16" s="38" t="n">
        <f aca="false">COUNTIFS(Journal!$C$5:$C$304,A16,Journal!$T$5:$T$304,"&gt;-9999")</f>
        <v>0</v>
      </c>
      <c r="F16" s="38" t="n">
        <f aca="false">COUNTIFS(Journal!$C$5:$C$304,A16,Journal!$U$5:$U$304,"Win")</f>
        <v>0</v>
      </c>
      <c r="G16" s="38" t="n">
        <f aca="false">COUNTIFS(Journal!$C$5:$C$304,A16,Journal!$U$5:$U$304,"Loss")</f>
        <v>0</v>
      </c>
      <c r="H16" s="38" t="n">
        <f aca="false">COUNTIFS(Journal!$C$5:$C$304,A16,Journal!$U$5:$U$304,"BE")</f>
        <v>0</v>
      </c>
      <c r="I16" s="52" t="n">
        <f aca="false">IFERROR(F16/E16,0)</f>
        <v>0</v>
      </c>
      <c r="J16" s="44" t="n">
        <f aca="false">SUMIFS(Journal!$T$5:$T$304,Journal!$C$5:$C$304,A16)</f>
        <v>0</v>
      </c>
      <c r="K16" s="44" t="n">
        <f aca="false">IFERROR(J16/E16,0)</f>
        <v>0</v>
      </c>
      <c r="L16" s="52" t="n">
        <f aca="false">IFERROR(COUNTIFS(Journal!$C$5:$C$304,A16,Journal!$AE$5:$AE$304,"Yes")/COUNTIF(Journal!$C$5:$C$304,A16),0)</f>
        <v>0</v>
      </c>
      <c r="M16" s="52" t="n">
        <f aca="false">IFERROR((COUNTIFS('Daily Log'!$B$5:$B$64,A16,'Daily Log'!$C$5:$C$64,"Y")+COUNTIFS('Daily Log'!$B$5:$B$64,A16,'Daily Log'!$D$5:$D$64,"Y"))/(2*COUNTIF('Daily Log'!$B$5:$B$64,A16)),0)</f>
        <v>0</v>
      </c>
      <c r="N16" s="44" t="n">
        <f aca="false">SUM($J$5:J16)</f>
        <v>0</v>
      </c>
      <c r="O16" s="38" t="str">
        <f aca="false">IF(J16&lt;=Settings!$B$12,"YES - stopped","No")</f>
        <v>No</v>
      </c>
      <c r="P16" s="53"/>
      <c r="Q16" s="53"/>
      <c r="R16" s="53"/>
      <c r="S16" s="53"/>
    </row>
    <row r="18" customFormat="false" ht="15" hidden="false" customHeight="false" outlineLevel="0" collapsed="false">
      <c r="A18" s="9" t="s">
        <v>288</v>
      </c>
    </row>
  </sheetData>
  <conditionalFormatting sqref="J5:J16">
    <cfRule type="cellIs" priority="2" operator="lessThan" aboveAverage="0" equalAverage="0" bottom="0" percent="0" rank="0" text="" dxfId="9">
      <formula>0</formula>
    </cfRule>
    <cfRule type="cellIs" priority="3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3"/>
    <col collapsed="false" customWidth="true" hidden="false" outlineLevel="0" max="12" min="5" style="0" width="22"/>
  </cols>
  <sheetData>
    <row r="1" customFormat="false" ht="19.7" hidden="false" customHeight="false" outlineLevel="0" collapsed="false">
      <c r="A1" s="1" t="s">
        <v>289</v>
      </c>
    </row>
    <row r="2" customFormat="false" ht="15" hidden="false" customHeight="false" outlineLevel="0" collapsed="false">
      <c r="A2" s="2" t="s">
        <v>290</v>
      </c>
    </row>
    <row r="3" customFormat="false" ht="15" hidden="false" customHeight="false" outlineLevel="0" collapsed="false">
      <c r="A3" s="21" t="s">
        <v>291</v>
      </c>
      <c r="B3" s="21" t="s">
        <v>292</v>
      </c>
      <c r="C3" s="21" t="s">
        <v>293</v>
      </c>
      <c r="E3" s="8" t="s">
        <v>36</v>
      </c>
      <c r="F3" s="8" t="s">
        <v>38</v>
      </c>
      <c r="G3" s="8" t="s">
        <v>40</v>
      </c>
      <c r="H3" s="8" t="s">
        <v>42</v>
      </c>
      <c r="I3" s="8" t="s">
        <v>294</v>
      </c>
      <c r="J3" s="8" t="s">
        <v>55</v>
      </c>
      <c r="K3" s="8" t="s">
        <v>59</v>
      </c>
      <c r="L3" s="8" t="s">
        <v>295</v>
      </c>
    </row>
    <row r="4" customFormat="false" ht="15" hidden="false" customHeight="false" outlineLevel="0" collapsed="false">
      <c r="A4" s="5" t="s">
        <v>296</v>
      </c>
      <c r="B4" s="55" t="n">
        <v>46307</v>
      </c>
      <c r="C4" s="56" t="s">
        <v>297</v>
      </c>
      <c r="E4" s="5" t="s">
        <v>220</v>
      </c>
      <c r="F4" s="5" t="s">
        <v>213</v>
      </c>
      <c r="G4" s="5" t="s">
        <v>222</v>
      </c>
      <c r="H4" s="5" t="s">
        <v>43</v>
      </c>
      <c r="I4" s="5" t="s">
        <v>298</v>
      </c>
      <c r="J4" s="5" t="s">
        <v>56</v>
      </c>
      <c r="K4" s="5" t="s">
        <v>60</v>
      </c>
      <c r="L4" s="5" t="s">
        <v>299</v>
      </c>
    </row>
    <row r="5" customFormat="false" ht="15" hidden="false" customHeight="false" outlineLevel="0" collapsed="false">
      <c r="A5" s="5" t="s">
        <v>300</v>
      </c>
      <c r="B5" s="57" t="n">
        <v>1000</v>
      </c>
      <c r="C5" s="56" t="s">
        <v>301</v>
      </c>
      <c r="E5" s="5" t="s">
        <v>37</v>
      </c>
      <c r="F5" s="5" t="s">
        <v>39</v>
      </c>
      <c r="G5" s="5" t="s">
        <v>41</v>
      </c>
      <c r="H5" s="5" t="s">
        <v>224</v>
      </c>
      <c r="I5" s="5" t="s">
        <v>302</v>
      </c>
      <c r="J5" s="5" t="s">
        <v>242</v>
      </c>
      <c r="K5" s="5" t="s">
        <v>184</v>
      </c>
      <c r="L5" s="5" t="s">
        <v>62</v>
      </c>
    </row>
    <row r="6" customFormat="false" ht="15" hidden="false" customHeight="false" outlineLevel="0" collapsed="false">
      <c r="A6" s="5" t="s">
        <v>303</v>
      </c>
      <c r="B6" s="58" t="n">
        <v>0.005</v>
      </c>
      <c r="C6" s="56" t="s">
        <v>304</v>
      </c>
      <c r="H6" s="5" t="s">
        <v>225</v>
      </c>
      <c r="J6" s="5" t="s">
        <v>305</v>
      </c>
      <c r="K6" s="5" t="s">
        <v>187</v>
      </c>
      <c r="L6" s="5" t="s">
        <v>306</v>
      </c>
    </row>
    <row r="7" customFormat="false" ht="15" hidden="false" customHeight="false" outlineLevel="0" collapsed="false">
      <c r="A7" s="5" t="s">
        <v>307</v>
      </c>
      <c r="B7" s="59" t="n">
        <v>3</v>
      </c>
      <c r="C7" s="56" t="s">
        <v>308</v>
      </c>
      <c r="H7" s="5" t="s">
        <v>226</v>
      </c>
      <c r="J7" s="5" t="s">
        <v>309</v>
      </c>
      <c r="K7" s="5" t="s">
        <v>190</v>
      </c>
      <c r="L7" s="5" t="s">
        <v>310</v>
      </c>
    </row>
    <row r="8" customFormat="false" ht="15" hidden="false" customHeight="false" outlineLevel="0" collapsed="false">
      <c r="A8" s="5" t="s">
        <v>311</v>
      </c>
      <c r="B8" s="59" t="n">
        <v>1.5</v>
      </c>
      <c r="C8" s="56" t="s">
        <v>312</v>
      </c>
      <c r="H8" s="5" t="s">
        <v>227</v>
      </c>
      <c r="J8" s="5" t="s">
        <v>313</v>
      </c>
      <c r="K8" s="5" t="s">
        <v>193</v>
      </c>
      <c r="L8" s="5" t="s">
        <v>314</v>
      </c>
    </row>
    <row r="9" customFormat="false" ht="15" hidden="false" customHeight="false" outlineLevel="0" collapsed="false">
      <c r="A9" s="5" t="s">
        <v>315</v>
      </c>
      <c r="B9" s="60" t="n">
        <v>2</v>
      </c>
      <c r="C9" s="56"/>
      <c r="H9" s="5" t="s">
        <v>228</v>
      </c>
      <c r="K9" s="5" t="s">
        <v>196</v>
      </c>
    </row>
    <row r="10" customFormat="false" ht="15" hidden="false" customHeight="false" outlineLevel="0" collapsed="false">
      <c r="A10" s="5" t="s">
        <v>316</v>
      </c>
      <c r="B10" s="60" t="n">
        <v>3</v>
      </c>
      <c r="C10" s="56"/>
      <c r="K10" s="5" t="s">
        <v>199</v>
      </c>
    </row>
    <row r="11" customFormat="false" ht="15" hidden="false" customHeight="false" outlineLevel="0" collapsed="false">
      <c r="A11" s="5" t="s">
        <v>317</v>
      </c>
      <c r="B11" s="60" t="n">
        <v>2</v>
      </c>
      <c r="C11" s="56"/>
      <c r="K11" s="5" t="s">
        <v>201</v>
      </c>
    </row>
    <row r="12" customFormat="false" ht="15" hidden="false" customHeight="false" outlineLevel="0" collapsed="false">
      <c r="A12" s="5" t="s">
        <v>318</v>
      </c>
      <c r="B12" s="59" t="n">
        <v>-5</v>
      </c>
      <c r="C12" s="56" t="s">
        <v>319</v>
      </c>
      <c r="K12" s="5" t="s">
        <v>203</v>
      </c>
    </row>
    <row r="13" customFormat="false" ht="15" hidden="false" customHeight="false" outlineLevel="0" collapsed="false">
      <c r="A13" s="5" t="s">
        <v>320</v>
      </c>
      <c r="B13" s="60" t="n">
        <v>40</v>
      </c>
      <c r="C13" s="56" t="s">
        <v>321</v>
      </c>
      <c r="K13" s="5" t="s">
        <v>205</v>
      </c>
    </row>
    <row r="14" customFormat="false" ht="15" hidden="false" customHeight="false" outlineLevel="0" collapsed="false">
      <c r="A14" s="5" t="s">
        <v>322</v>
      </c>
      <c r="B14" s="61" t="n">
        <v>0.9</v>
      </c>
      <c r="C14" s="56" t="s">
        <v>323</v>
      </c>
      <c r="K14" s="5" t="s">
        <v>208</v>
      </c>
    </row>
    <row r="15" customFormat="false" ht="15" hidden="false" customHeight="false" outlineLevel="0" collapsed="false">
      <c r="A15" s="5" t="s">
        <v>324</v>
      </c>
      <c r="B15" s="62" t="n">
        <v>0.25</v>
      </c>
      <c r="C15" s="56" t="s">
        <v>325</v>
      </c>
    </row>
    <row r="16" customFormat="false" ht="15" hidden="false" customHeight="false" outlineLevel="0" collapsed="false">
      <c r="A16" s="5" t="s">
        <v>326</v>
      </c>
      <c r="B16" s="62" t="n">
        <v>1.3</v>
      </c>
      <c r="C16" s="56" t="s">
        <v>327</v>
      </c>
      <c r="L16" s="9" t="s">
        <v>328</v>
      </c>
    </row>
    <row r="17" customFormat="false" ht="15" hidden="false" customHeight="false" outlineLevel="0" collapsed="false">
      <c r="A17" s="5" t="s">
        <v>329</v>
      </c>
      <c r="B17" s="59" t="n">
        <v>10</v>
      </c>
      <c r="C17" s="56" t="s">
        <v>330</v>
      </c>
    </row>
    <row r="18" customFormat="false" ht="15" hidden="false" customHeight="false" outlineLevel="0" collapsed="false">
      <c r="A18" s="5" t="s">
        <v>331</v>
      </c>
      <c r="B18" s="61" t="n">
        <v>0.9</v>
      </c>
      <c r="C18" s="56" t="s">
        <v>332</v>
      </c>
    </row>
    <row r="19" customFormat="false" ht="15" hidden="false" customHeight="false" outlineLevel="0" collapsed="false">
      <c r="A19" s="5" t="s">
        <v>333</v>
      </c>
      <c r="B19" s="63" t="s">
        <v>64</v>
      </c>
      <c r="C19" s="56" t="s">
        <v>334</v>
      </c>
    </row>
    <row r="20" customFormat="false" ht="15" hidden="false" customHeight="false" outlineLevel="0" collapsed="false">
      <c r="A20" s="5" t="s">
        <v>335</v>
      </c>
      <c r="B20" s="62" t="n">
        <v>0.1</v>
      </c>
      <c r="C20" s="56" t="s">
        <v>336</v>
      </c>
    </row>
    <row r="23" customFormat="false" ht="15" hidden="false" customHeight="false" outlineLevel="0" collapsed="false">
      <c r="A23" s="3" t="s">
        <v>337</v>
      </c>
    </row>
    <row r="24" customFormat="false" ht="15" hidden="false" customHeight="false" outlineLevel="0" collapsed="false">
      <c r="A24" s="5" t="s">
        <v>212</v>
      </c>
      <c r="B24" s="64" t="n">
        <f aca="false">Settings!B5+SUM(Journal!$X$5:$X$304)</f>
        <v>1000</v>
      </c>
      <c r="C24" s="56" t="s">
        <v>338</v>
      </c>
    </row>
    <row r="25" customFormat="false" ht="15" hidden="false" customHeight="false" outlineLevel="0" collapsed="false">
      <c r="A25" s="5" t="s">
        <v>339</v>
      </c>
      <c r="B25" s="64" t="n">
        <f aca="false">B24*Settings!B6</f>
        <v>5</v>
      </c>
      <c r="C25" s="56"/>
    </row>
    <row r="26" customFormat="false" ht="15" hidden="false" customHeight="false" outlineLevel="0" collapsed="false">
      <c r="A26" s="5" t="s">
        <v>340</v>
      </c>
      <c r="B26" s="62" t="n">
        <v>3.5</v>
      </c>
      <c r="C26" s="56" t="s">
        <v>341</v>
      </c>
    </row>
    <row r="27" customFormat="false" ht="15" hidden="false" customHeight="false" outlineLevel="0" collapsed="false">
      <c r="A27" s="5" t="s">
        <v>342</v>
      </c>
      <c r="B27" s="65" t="n">
        <v>100</v>
      </c>
      <c r="C27" s="56" t="s">
        <v>343</v>
      </c>
    </row>
    <row r="28" customFormat="false" ht="15" hidden="false" customHeight="false" outlineLevel="0" collapsed="false">
      <c r="A28" s="5" t="s">
        <v>344</v>
      </c>
      <c r="B28" s="66" t="n">
        <f aca="false">IFERROR(ROUNDDOWN(B25/(B26*B27),2),0)</f>
        <v>0.01</v>
      </c>
      <c r="C28" s="56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2026-10-08T14:23:47Z</dcterms:created>
  <dc:creator>openpyxl</dc:creator>
  <dc:description/>
  <dc:language>en-US</dc:language>
  <cp:lastModifiedBy/>
  <dcterms:modified xsi:type="dcterms:W3CDTF">2026-10-08T14:23:52Z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