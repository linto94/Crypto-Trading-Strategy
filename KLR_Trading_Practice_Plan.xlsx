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Plan" sheetId="2" state="visible" r:id="rId4"/>
    <sheet name="Checklist" sheetId="3" state="visible" r:id="rId5"/>
    <sheet name="Week 0" sheetId="4" state="visible" r:id="rId6"/>
    <sheet name="Journal" sheetId="5" state="visible" r:id="rId7"/>
    <sheet name="Summary" sheetId="6" state="visible" r:id="rId8"/>
    <sheet name="Inputs" sheetId="7" state="visible" r:id="rId9"/>
  </sheets>
  <definedNames>
    <definedName function="false" hidden="false" localSheetId="2" name="_xlnm.Print_Area" vbProcedure="false">Checklist!$A$1:$C$27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<sst xmlns="http://schemas.openxmlformats.org/spreadsheetml/2006/main" count="481" uniqueCount="335">
  <si>
    <t xml:space="preserve">KLR Trading Practice Plan</t>
  </si>
  <si>
    <t xml:space="preserve">Demo test of one strategy, v2.0. Times in WAT.</t>
  </si>
  <si>
    <t xml:space="preserve">Tabs</t>
  </si>
  <si>
    <t xml:space="preserve">Plan</t>
  </si>
  <si>
    <t xml:space="preserve">The rules, the decision tests and the assumptions to validate.</t>
  </si>
  <si>
    <t xml:space="preserve">Checklist</t>
  </si>
  <si>
    <t xml:space="preserve">Printable, one per session.</t>
  </si>
  <si>
    <t xml:space="preserve">Week 0</t>
  </si>
  <si>
    <t xml:space="preserve">Spread check and replay practice. Picks US500 or NAS100.</t>
  </si>
  <si>
    <t xml:space="preserve">Journal</t>
  </si>
  <si>
    <t xml:space="preserve">Log every trade.</t>
  </si>
  <si>
    <t xml:space="preserve">Summary</t>
  </si>
  <si>
    <t xml:space="preserve">Results and the decision. Read it on Fridays.</t>
  </si>
  <si>
    <t xml:space="preserve">Inputs</t>
  </si>
  <si>
    <t xml:space="preserve">Settings, lot size calculator and dropdown lists.</t>
  </si>
  <si>
    <t xml:space="preserve">Style key</t>
  </si>
  <si>
    <t xml:space="preserve">Input cell</t>
  </si>
  <si>
    <t xml:space="preserve">You type here.</t>
  </si>
  <si>
    <t xml:space="preserve">Formula cell</t>
  </si>
  <si>
    <t xml:space="preserve">Automatic. Don't type over it.</t>
  </si>
  <si>
    <t xml:space="preserve">Unit</t>
  </si>
  <si>
    <t xml:space="preserve">[R]</t>
  </si>
  <si>
    <t xml:space="preserve">What the column is measured in.</t>
  </si>
  <si>
    <t xml:space="preserve">Flag</t>
  </si>
  <si>
    <t xml:space="preserve">Not yet</t>
  </si>
  <si>
    <t xml:space="preserve">Something needs your attention.</t>
  </si>
  <si>
    <t xml:space="preserve">Dates</t>
  </si>
  <si>
    <t xml:space="preserve">Fri 9 to Fri 16 Oct</t>
  </si>
  <si>
    <t xml:space="preserve">Week 0: spread checks, 30+ replay setups, pick the US index.</t>
  </si>
  <si>
    <t xml:space="preserve">Mon 19 Oct</t>
  </si>
  <si>
    <t xml:space="preserve">Test starts (Week 1).</t>
  </si>
  <si>
    <t xml:space="preserve">Mon 26 Oct</t>
  </si>
  <si>
    <t xml:space="preserve">London window moves to 09:00–09:45 WAT.</t>
  </si>
  <si>
    <t xml:space="preserve">Mon 2 Nov</t>
  </si>
  <si>
    <t xml:space="preserve">New York window moves to 15:30–16:15 WAT.</t>
  </si>
  <si>
    <t xml:space="preserve">24 Dec to 1 Jan</t>
  </si>
  <si>
    <t xml:space="preserve">Holiday pause.</t>
  </si>
  <si>
    <t xml:space="preserve">At 50 test trades</t>
  </si>
  <si>
    <t xml:space="preserve">First decision on the Summary tab.</t>
  </si>
  <si>
    <t xml:space="preserve">Example journal row</t>
  </si>
  <si>
    <t xml:space="preserve">Date</t>
  </si>
  <si>
    <t xml:space="preserve">19-Oct-26</t>
  </si>
  <si>
    <t xml:space="preserve">Session / Instrument</t>
  </si>
  <si>
    <t xml:space="preserve">New York / US500</t>
  </si>
  <si>
    <t xml:space="preserve">Direction</t>
  </si>
  <si>
    <t xml:space="preserve">Short</t>
  </si>
  <si>
    <t xml:space="preserve">Confluence / All 5 met</t>
  </si>
  <si>
    <t xml:space="preserve">Y / Y</t>
  </si>
  <si>
    <t xml:space="preserve">Entry / Stop</t>
  </si>
  <si>
    <t xml:space="preserve">6712.50 / 6715.50</t>
  </si>
  <si>
    <t xml:space="preserve">Target (auto)</t>
  </si>
  <si>
    <t xml:space="preserve">6708.00</t>
  </si>
  <si>
    <t xml:space="preserve">Exit / Exit reason</t>
  </si>
  <si>
    <t xml:space="preserve">6708.00 / Target</t>
  </si>
  <si>
    <t xml:space="preserve">Max favourable price</t>
  </si>
  <si>
    <t xml:space="preserve">6705.20</t>
  </si>
  <si>
    <t xml:space="preserve">Mistake</t>
  </si>
  <si>
    <t xml:space="preserve">None</t>
  </si>
  <si>
    <t xml:space="preserve">Result (auto)</t>
  </si>
  <si>
    <t xml:space="preserve">1.50 R; max favourable 2.43 R</t>
  </si>
  <si>
    <t xml:space="preserve">Prices are illustrative only.</t>
  </si>
  <si>
    <t xml:space="preserve">Plan: Key-Level Reversal v2.0</t>
  </si>
  <si>
    <t xml:space="preserve">The rules are fixed for the whole test. Nothing here is proven yet.</t>
  </si>
  <si>
    <t xml:space="preserve">Strategy rules</t>
  </si>
  <si>
    <t xml:space="preserve">Idea</t>
  </si>
  <si>
    <t xml:space="preserve">Price runs into a clustered horizontal S/R zone, fails, and the 1M structure turns against the run. Trade the pullback. Long or short; no bias needed.</t>
  </si>
  <si>
    <t xml:space="preserve">Timeframes</t>
  </si>
  <si>
    <t xml:space="preserve">1H and 15M: mark zones only. 1M: execution only (the zone is too wide to fit a 1.5R target with a 15M stop).</t>
  </si>
  <si>
    <t xml:space="preserve">Valid zone</t>
  </si>
  <si>
    <t xml:space="preserve">3+ clear reactions (swing highs/lows) in a narrow band on 1H or 15M, no wider than about one 15M candle. Max 2 zones above and 2 below price per instrument.</t>
  </si>
  <si>
    <t xml:space="preserve">Confluence (tag only)</t>
  </si>
  <si>
    <t xml:space="preserve">Previous day high/low or session high/low inside the zone. Record Y/N; not required.</t>
  </si>
  <si>
    <t xml:space="preserve">Entry: all 5 or no trade</t>
  </si>
  <si>
    <t xml:space="preserve">1  Level</t>
  </si>
  <si>
    <t xml:space="preserve">Price trades into a zone marked before the session.</t>
  </si>
  <si>
    <t xml:space="preserve">2  Run</t>
  </si>
  <si>
    <t xml:space="preserve">Price arrives with a clear one-way move: 3+ higher highs and higher lows on 1M (mirror for longs).</t>
  </si>
  <si>
    <t xml:space="preserve">3  Shift</t>
  </si>
  <si>
    <t xml:space="preserve">1M breaks its last higher low, then forms a lower high below the zone extreme.</t>
  </si>
  <si>
    <t xml:space="preserve">4  Trigger</t>
  </si>
  <si>
    <t xml:space="preserve">Strong candle (body ≥ 60% of its range). Stop order just past its low. Cancel if not filled within 5 candles or price makes a new extreme.</t>
  </si>
  <si>
    <t xml:space="preserve">5  Room and cost</t>
  </si>
  <si>
    <t xml:space="preserve">Stop beyond the run's extreme + spread. Next opposite level ≥ 1.5R away. Spread ≤ 10% of stop. No red news within 15 min.</t>
  </si>
  <si>
    <t xml:space="preserve">Exit and risk</t>
  </si>
  <si>
    <t xml:space="preserve">Target</t>
  </si>
  <si>
    <t xml:space="preserve">Fixed 1.5R. No break-even, no trailing.</t>
  </si>
  <si>
    <t xml:space="preserve">Time stop</t>
  </si>
  <si>
    <t xml:space="preserve">Close at market 30 minutes after entry if still open.</t>
  </si>
  <si>
    <t xml:space="preserve">Never</t>
  </si>
  <si>
    <t xml:space="preserve">Move the stop, add to a trade, or close early because of nerves.</t>
  </si>
  <si>
    <t xml:space="preserve">Risk</t>
  </si>
  <si>
    <t xml:space="preserve">0.5% per trade. Max 2 trades a day, one at a time. Weekly stop at −5R.</t>
  </si>
  <si>
    <t xml:space="preserve">Markets and windows (WAT)</t>
  </si>
  <si>
    <t xml:space="preserve">London open</t>
  </si>
  <si>
    <t xml:space="preserve">GER40, EURUSD, GBPUSD, XAUUSD. 08:00–08:45; from Mon 26 Oct 09:00–09:45.</t>
  </si>
  <si>
    <t xml:space="preserve">New York open</t>
  </si>
  <si>
    <t xml:space="preserve">US index, XAUUSD, EURUSD, GBPUSD. 14:30–15:15; from Mon 2 Nov 15:30–16:15.</t>
  </si>
  <si>
    <t xml:space="preserve">US index</t>
  </si>
  <si>
    <t xml:space="preserve">US500 or NAS100, chosen at the end of Week 0 (spread first, then replay results).</t>
  </si>
  <si>
    <t xml:space="preserve">Holiday gap</t>
  </si>
  <si>
    <t xml:space="preserve">No trading 24 Dec to 1 Jan; markets are thin. The test pauses and resumes after.</t>
  </si>
  <si>
    <t xml:space="preserve">Routine</t>
  </si>
  <si>
    <t xml:space="preserve">Evening, 10 min</t>
  </si>
  <si>
    <t xml:space="preserve">Update the 1H/15M zones on the 5 instruments (max 2 above, 2 below each).</t>
  </si>
  <si>
    <t xml:space="preserve">Before window, 5 min</t>
  </si>
  <si>
    <t xml:space="preserve">Check red news. Delete broken zones. Set alerts. Then wait; the alerts do the watching.</t>
  </si>
  <si>
    <t xml:space="preserve">After window, 5 min</t>
  </si>
  <si>
    <t xml:space="preserve">Log trades in the Journal, including max favourable price.</t>
  </si>
  <si>
    <t xml:space="preserve">Friday, 15 min</t>
  </si>
  <si>
    <t xml:space="preserve">Read the Summary. One line of notes per week. No rule changes.</t>
  </si>
  <si>
    <t xml:space="preserve">Test and decision</t>
  </si>
  <si>
    <t xml:space="preserve">Sample</t>
  </si>
  <si>
    <t xml:space="preserve">Only rule-compliant trades count. First decision at 50 trades, final at 100. If under 50 by Fri 11 Dec, keep going; low frequency is itself a finding.</t>
  </si>
  <si>
    <t xml:space="preserve">Early stop</t>
  </si>
  <si>
    <t xml:space="preserve">After 30+ trades, if total R ≤ −10R: stop and review.</t>
  </si>
  <si>
    <t xml:space="preserve">Edge supported</t>
  </si>
  <si>
    <t xml:space="preserve">50+ trades AND t-stat ≥ 1.65 AND expectancy ≥ +0.15R AND profit factor ≥ 1.2 AND max drawdown ≤ 10R AND adherence ≥ 90%.</t>
  </si>
  <si>
    <t xml:space="preserve">No edge</t>
  </si>
  <si>
    <t xml:space="preserve">At 50 trades, expectancy ≤ 0. Change one thing, new version, new test.</t>
  </si>
  <si>
    <t xml:space="preserve">Inconclusive</t>
  </si>
  <si>
    <t xml:space="preserve">Anything in between: continue to 100 trades with no changes, then apply the same test.</t>
  </si>
  <si>
    <t xml:space="preserve">If supported</t>
  </si>
  <si>
    <t xml:space="preserve">Go live on the MT5 cent account at 0.5%. Skip any trade where the minimum lot would risk more than 1%.</t>
  </si>
  <si>
    <t xml:space="preserve">Assumptions still to be validated</t>
  </si>
  <si>
    <t xml:space="preserve">Assumption</t>
  </si>
  <si>
    <t xml:space="preserve">How the workbook checks it</t>
  </si>
  <si>
    <t xml:space="preserve">Status</t>
  </si>
  <si>
    <t xml:space="preserve">Positive expectancy</t>
  </si>
  <si>
    <t xml:space="preserve">The setup makes money after costs on these instruments. Summary: decision tests.</t>
  </si>
  <si>
    <t xml:space="preserve">Untested</t>
  </si>
  <si>
    <t xml:space="preserve">1M confirmation helps</t>
  </si>
  <si>
    <t xml:space="preserve">The shift and trigger beat entering at the level. Compare win rate with the replay; review at the end.</t>
  </si>
  <si>
    <t xml:space="preserve">1.5R is the right target</t>
  </si>
  <si>
    <t xml:space="preserve">Summary: target comparison (1.5R vs 2R vs 3R on the same trades).</t>
  </si>
  <si>
    <t xml:space="preserve">All 5 instruments work</t>
  </si>
  <si>
    <t xml:space="preserve">Summary: by instrument. Drop one only in a new version.</t>
  </si>
  <si>
    <t xml:space="preserve">Session opens are best</t>
  </si>
  <si>
    <t xml:space="preserve">Summary: by session.</t>
  </si>
  <si>
    <t xml:space="preserve">Spreads ≤ 10% of stop</t>
  </si>
  <si>
    <t xml:space="preserve">Week 0: spread check.</t>
  </si>
  <si>
    <t xml:space="preserve">Demo ≈ live</t>
  </si>
  <si>
    <t xml:space="preserve">First 20 live trades compared with demo results.</t>
  </si>
  <si>
    <t xml:space="preserve">The video's results are one trader's self-reported results on ES futures, with a different setup. They are not evidence for these rules.</t>
  </si>
  <si>
    <t xml:space="preserve">Session checklist</t>
  </si>
  <si>
    <t xml:space="preserve">Print one per session. Any empty box in the entry section = no trade.</t>
  </si>
  <si>
    <t xml:space="preserve">Before the window (5 min)</t>
  </si>
  <si>
    <t xml:space="preserve">☐</t>
  </si>
  <si>
    <t xml:space="preserve">Red news times checked: ____________</t>
  </si>
  <si>
    <t xml:space="preserve">Broken zones deleted</t>
  </si>
  <si>
    <t xml:space="preserve">Alerts set on every zone</t>
  </si>
  <si>
    <t xml:space="preserve">Entry: all 5</t>
  </si>
  <si>
    <t xml:space="preserve">1  Level: zone was marked before the session</t>
  </si>
  <si>
    <t xml:space="preserve">2  Run: clear one-way move into the zone (3+ swings on 1M)</t>
  </si>
  <si>
    <t xml:space="preserve">3  Shift: last 1M swing broken, then a lower high / higher low</t>
  </si>
  <si>
    <t xml:space="preserve">4  Trigger: strong candle; stop order past it (cancel after 5 candles)</t>
  </si>
  <si>
    <t xml:space="preserve">5  Room: next level ≥ 1.5R away, spread ≤ 10% of stop, no red news within 15 min</t>
  </si>
  <si>
    <t xml:space="preserve">In the trade</t>
  </si>
  <si>
    <t xml:space="preserve">Lot size from the calculator (0.5%)</t>
  </si>
  <si>
    <t xml:space="preserve">Stop and 1.5R target placed at once</t>
  </si>
  <si>
    <t xml:space="preserve">30 minutes: close if still open</t>
  </si>
  <si>
    <t xml:space="preserve">Note the max favourable price</t>
  </si>
  <si>
    <t xml:space="preserve">Limits</t>
  </si>
  <si>
    <t xml:space="preserve">Max 2 trades today</t>
  </si>
  <si>
    <t xml:space="preserve">Week at −5R = stop for the week</t>
  </si>
  <si>
    <t xml:space="preserve">Date ________   Window: London / New York   Trades ___   Result ____ R</t>
  </si>
  <si>
    <t xml:space="preserve">Fri 9 to Fri 16 Oct. Check spreads at the session times and replay 30+ setups. Nothing here counts in the test.</t>
  </si>
  <si>
    <t xml:space="preserve">1. Spread check (during the session windows)</t>
  </si>
  <si>
    <t xml:space="preserve">3. Replay results</t>
  </si>
  <si>
    <t xml:space="preserve">Instrument</t>
  </si>
  <si>
    <t xml:space="preserve">Spread 1</t>
  </si>
  <si>
    <t xml:space="preserve">Spread 2</t>
  </si>
  <si>
    <t xml:space="preserve">Spread 3</t>
  </si>
  <si>
    <t xml:space="preserve">Average spread</t>
  </si>
  <si>
    <t xml:space="preserve">Typical 1M stop</t>
  </si>
  <si>
    <t xml:space="preserve">Spread vs stop</t>
  </si>
  <si>
    <t xml:space="preserve">Result</t>
  </si>
  <si>
    <t xml:space="preserve">Setups</t>
  </si>
  <si>
    <t xml:space="preserve">Win rate</t>
  </si>
  <si>
    <t xml:space="preserve">Average R</t>
  </si>
  <si>
    <t xml:space="preserve">Avg max favourable</t>
  </si>
  <si>
    <t xml:space="preserve">[price]</t>
  </si>
  <si>
    <t xml:space="preserve">[%]</t>
  </si>
  <si>
    <t xml:space="preserve">XAUUSD</t>
  </si>
  <si>
    <t xml:space="preserve">EURUSD</t>
  </si>
  <si>
    <t xml:space="preserve">GBPUSD</t>
  </si>
  <si>
    <t xml:space="preserve">GER40</t>
  </si>
  <si>
    <t xml:space="preserve">US500</t>
  </si>
  <si>
    <t xml:space="preserve">NAS100</t>
  </si>
  <si>
    <t xml:space="preserve">Read the spread in MT5 at a quiet moment in each window, on 3 different days. Typical 1M stop = the usual stop size from your replay setups.</t>
  </si>
  <si>
    <t xml:space="preserve">Total</t>
  </si>
  <si>
    <t xml:space="preserve">2. Replay log (TradingView bar replay, same 5 rules)</t>
  </si>
  <si>
    <t xml:space="preserve">4. US500 or NAS100?</t>
  </si>
  <si>
    <t xml:space="preserve">Entry</t>
  </si>
  <si>
    <t xml:space="preserve">Stop</t>
  </si>
  <si>
    <t xml:space="preserve">Exit</t>
  </si>
  <si>
    <t xml:space="preserve">Max favourable</t>
  </si>
  <si>
    <t xml:space="preserve">Suggested</t>
  </si>
  <si>
    <t xml:space="preserve">[list]</t>
  </si>
  <si>
    <t xml:space="preserve">Rule: spread must pass first; then pick the higher average R. Enter the choice on the Inputs tab.</t>
  </si>
  <si>
    <t xml:space="preserve">One row per trade, straight after the session. Blue = you type. Black = automatic.</t>
  </si>
  <si>
    <t xml:space="preserve">Max favourable price = the best price reached before the stop or the 30-minute time stop, ignoring the 1.5R target. The 2R and 3R columns are a conservative estimate: a 1.5R win that never reached 2R or 3R is counted as −1R.</t>
  </si>
  <si>
    <t xml:space="preserve">Week</t>
  </si>
  <si>
    <t xml:space="preserve">Trade of day</t>
  </si>
  <si>
    <t xml:space="preserve">Session</t>
  </si>
  <si>
    <t xml:space="preserve">Confluence</t>
  </si>
  <si>
    <t xml:space="preserve">All 5 checks met</t>
  </si>
  <si>
    <t xml:space="preserve">Exit reason</t>
  </si>
  <si>
    <t xml:space="preserve">Notes</t>
  </si>
  <si>
    <t xml:space="preserve">Counts in test</t>
  </si>
  <si>
    <t xml:space="preserve">If target 2R</t>
  </si>
  <si>
    <t xml:space="preserve">If target 3R</t>
  </si>
  <si>
    <t xml:space="preserve">P&amp;L</t>
  </si>
  <si>
    <t xml:space="preserve">Balance</t>
  </si>
  <si>
    <t xml:space="preserve">Test R</t>
  </si>
  <si>
    <t xml:space="preserve">Test cum. R</t>
  </si>
  <si>
    <t xml:space="preserve">Test peak</t>
  </si>
  <si>
    <t xml:space="preserve">Test drawdown</t>
  </si>
  <si>
    <t xml:space="preserve">[date]</t>
  </si>
  <si>
    <t xml:space="preserve">[#]</t>
  </si>
  <si>
    <t xml:space="preserve">[Y/N]</t>
  </si>
  <si>
    <t xml:space="preserve">[text]</t>
  </si>
  <si>
    <t xml:space="preserve">[$]</t>
  </si>
  <si>
    <t xml:space="preserve">[helper]</t>
  </si>
  <si>
    <t xml:space="preserve">Automatic. Read it every Friday. Only rule-compliant trades count towards the test.</t>
  </si>
  <si>
    <t xml:space="preserve">Decision</t>
  </si>
  <si>
    <t xml:space="preserve">Where the test stands</t>
  </si>
  <si>
    <t xml:space="preserve">Test results (rule-compliant trades)</t>
  </si>
  <si>
    <t xml:space="preserve">By instrument (test trades)</t>
  </si>
  <si>
    <t xml:space="preserve">value</t>
  </si>
  <si>
    <t xml:space="preserve">Trades</t>
  </si>
  <si>
    <t xml:space="preserve">Trades in test</t>
  </si>
  <si>
    <t xml:space="preserve">Win rate needed to break even</t>
  </si>
  <si>
    <t xml:space="preserve">Expectancy (average R)</t>
  </si>
  <si>
    <t xml:space="preserve">Standard deviation of R</t>
  </si>
  <si>
    <t xml:space="preserve">t-statistic</t>
  </si>
  <si>
    <t xml:space="preserve">Total R</t>
  </si>
  <si>
    <t xml:space="preserve">By session (test trades)</t>
  </si>
  <si>
    <t xml:space="preserve">Profit factor</t>
  </si>
  <si>
    <t xml:space="preserve">Max drawdown (R)</t>
  </si>
  <si>
    <t xml:space="preserve">London</t>
  </si>
  <si>
    <t xml:space="preserve">Rule adherence (all trades)</t>
  </si>
  <si>
    <t xml:space="preserve">New York</t>
  </si>
  <si>
    <t xml:space="preserve">Decision tests</t>
  </si>
  <si>
    <t xml:space="preserve">Test</t>
  </si>
  <si>
    <t xml:space="preserve">Pass?</t>
  </si>
  <si>
    <t xml:space="preserve">By week</t>
  </si>
  <si>
    <t xml:space="preserve">Enough trades</t>
  </si>
  <si>
    <t xml:space="preserve">Week starting</t>
  </si>
  <si>
    <t xml:space="preserve">Test trades</t>
  </si>
  <si>
    <t xml:space="preserve">Expectancy</t>
  </si>
  <si>
    <t xml:space="preserve">Max drawdown</t>
  </si>
  <si>
    <t xml:space="preserve">Rule adherence</t>
  </si>
  <si>
    <t xml:space="preserve">Target comparison (same trades)</t>
  </si>
  <si>
    <t xml:space="preserve">1.5R (actual)</t>
  </si>
  <si>
    <t xml:space="preserve">2R (estimate)</t>
  </si>
  <si>
    <t xml:space="preserve">3R (estimate)</t>
  </si>
  <si>
    <t xml:space="preserve">Uses only test trades with a max favourable price logged.</t>
  </si>
  <si>
    <t xml:space="preserve">Every number the workbook uses. Change the blue cells only.</t>
  </si>
  <si>
    <t xml:space="preserve">Description</t>
  </si>
  <si>
    <t xml:space="preserve">unit</t>
  </si>
  <si>
    <t xml:space="preserve">note</t>
  </si>
  <si>
    <t xml:space="preserve">Test setup</t>
  </si>
  <si>
    <t xml:space="preserve">Test start date (Week 1, Monday)</t>
  </si>
  <si>
    <t xml:space="preserve">Week 0 runs Fri 9 to Fri 16 Oct, before this date.</t>
  </si>
  <si>
    <t xml:space="preserve">Starting demo balance</t>
  </si>
  <si>
    <t xml:space="preserve">MT5 demo account.</t>
  </si>
  <si>
    <t xml:space="preserve">Risk per trade</t>
  </si>
  <si>
    <t xml:space="preserve">0.5% = $50 on $10,000.</t>
  </si>
  <si>
    <t xml:space="preserve">Plan version</t>
  </si>
  <si>
    <t xml:space="preserve">v2.0</t>
  </si>
  <si>
    <t xml:space="preserve">Any rule change = new version and a new sample.</t>
  </si>
  <si>
    <t xml:space="preserve">US index chosen in Week 0</t>
  </si>
  <si>
    <t xml:space="preserve">Pick US500 or NAS100 after the Week 0 comparison.</t>
  </si>
  <si>
    <t xml:space="preserve">Trade rules</t>
  </si>
  <si>
    <t xml:space="preserve">Profit target</t>
  </si>
  <si>
    <t xml:space="preserve">Fixed. No break-even, no trailing.</t>
  </si>
  <si>
    <t xml:space="preserve">[minutes]</t>
  </si>
  <si>
    <t xml:space="preserve">Close at market if still open.</t>
  </si>
  <si>
    <t xml:space="preserve">Max trades per day</t>
  </si>
  <si>
    <t xml:space="preserve">One open position at a time.</t>
  </si>
  <si>
    <t xml:space="preserve">Weekly loss limit</t>
  </si>
  <si>
    <t xml:space="preserve">Hit it = no more trades that week.</t>
  </si>
  <si>
    <t xml:space="preserve">Max spread vs stop</t>
  </si>
  <si>
    <t xml:space="preserve">Spread must be ≤ 10% of the stop distance.</t>
  </si>
  <si>
    <t xml:space="preserve">Decision rules</t>
  </si>
  <si>
    <t xml:space="preserve">Trades for first decision</t>
  </si>
  <si>
    <t xml:space="preserve">Rule-compliant trades only.</t>
  </si>
  <si>
    <t xml:space="preserve">Trades for final decision</t>
  </si>
  <si>
    <t xml:space="preserve">Used if the 50-trade result is inconclusive.</t>
  </si>
  <si>
    <t xml:space="preserve">Minimum t-statistic</t>
  </si>
  <si>
    <t xml:space="preserve">[t]</t>
  </si>
  <si>
    <t xml:space="preserve">≈ 95% confidence (one-sided) that the average R is above zero.</t>
  </si>
  <si>
    <t xml:space="preserve">Minimum expectancy</t>
  </si>
  <si>
    <t xml:space="preserve">[R/trade]</t>
  </si>
  <si>
    <t xml:space="preserve">Average R per trade.</t>
  </si>
  <si>
    <t xml:space="preserve">Minimum profit factor</t>
  </si>
  <si>
    <t xml:space="preserve">[x]</t>
  </si>
  <si>
    <t xml:space="preserve">Gross R won ÷ gross R lost.</t>
  </si>
  <si>
    <t xml:space="preserve">Maximum drawdown</t>
  </si>
  <si>
    <t xml:space="preserve">Largest fall from a peak in cumulative R.</t>
  </si>
  <si>
    <t xml:space="preserve">Minimum rule adherence</t>
  </si>
  <si>
    <t xml:space="preserve">Share of all trades that followed every rule.</t>
  </si>
  <si>
    <t xml:space="preserve">Early stop: after this many trades</t>
  </si>
  <si>
    <t xml:space="preserve">Early stop: if total R at or below</t>
  </si>
  <si>
    <t xml:space="preserve">Setup is likely broken; stop and review.</t>
  </si>
  <si>
    <t xml:space="preserve">Lot size calculator</t>
  </si>
  <si>
    <t xml:space="preserve">Current balance</t>
  </si>
  <si>
    <t xml:space="preserve">Start balance + all closed P&amp;L.</t>
  </si>
  <si>
    <t xml:space="preserve">Risk this trade</t>
  </si>
  <si>
    <t xml:space="preserve">Stop distance</t>
  </si>
  <si>
    <t xml:space="preserve">Example: entry 2650.00, stop 2653.50 = 3.50</t>
  </si>
  <si>
    <t xml:space="preserve">$ value of a 1.00 move for 1.00 lot</t>
  </si>
  <si>
    <t xml:space="preserve">From the MT5 contract spec. XAUUSD is usually $100. Check every instrument once in Week 0.</t>
  </si>
  <si>
    <t xml:space="preserve">Lot size</t>
  </si>
  <si>
    <t xml:space="preserve">[lots]</t>
  </si>
  <si>
    <t xml:space="preserve">Rounded down to 0.01. If 0.00, skip the trade.</t>
  </si>
  <si>
    <t xml:space="preserve">Dropdown lists</t>
  </si>
  <si>
    <t xml:space="preserve">Week 0 instrument</t>
  </si>
  <si>
    <t xml:space="preserve">Long</t>
  </si>
  <si>
    <t xml:space="preserve">Y/N</t>
  </si>
  <si>
    <t xml:space="preserve">Y</t>
  </si>
  <si>
    <t xml:space="preserve">N</t>
  </si>
  <si>
    <t xml:space="preserve">Manual</t>
  </si>
  <si>
    <t xml:space="preserve">Entered early</t>
  </si>
  <si>
    <t xml:space="preserve">Level not pre-marked</t>
  </si>
  <si>
    <t xml:space="preserve">Moved stop</t>
  </si>
  <si>
    <t xml:space="preserve">Closed early</t>
  </si>
  <si>
    <t xml:space="preserve">Chased</t>
  </si>
  <si>
    <t xml:space="preserve">Outside window</t>
  </si>
  <si>
    <t xml:space="preserve">Over 2 trades</t>
  </si>
  <si>
    <t xml:space="preserve">Traded news</t>
  </si>
  <si>
    <t xml:space="preserve">Wrong size</t>
  </si>
  <si>
    <t xml:space="preserve">Assumption status</t>
  </si>
  <si>
    <t xml:space="preserve">Supported</t>
  </si>
  <si>
    <t xml:space="preserve">Not supported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</si>
</sst>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"/>
    <numFmt numFmtId="166" formatCode="0.00"/>
    <numFmt numFmtId="167" formatCode="0.0%"/>
    <numFmt numFmtId="168" formatCode="0"/>
    <numFmt numFmtId="169" formatCode="0%;\(0%\);\-"/>
    <numFmt numFmtId="170" formatCode="0.00;\(0.00\);\-"/>
    <numFmt numFmtId="171" formatCode="dd\-mmm\-yy"/>
    <numFmt numFmtId="172" formatCode="#,##0.00;\(#,##0.00\);\-"/>
    <numFmt numFmtId="173" formatCode="#,##0"/>
    <numFmt numFmtId="174" formatCode="@"/>
    <numFmt numFmtId="175" formatCode="0.0;\(0.0\)"/>
    <numFmt numFmtId="176" formatCode="0%"/>
    <numFmt numFmtId="177" formatCode="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000000"/>
      <name val="Arial Nova"/>
      <family val="0"/>
      <charset val="1"/>
    </font>
    <font>
      <sz val="10"/>
      <color rgb="FF7F7F7F"/>
      <name val="Arial Nova"/>
      <family val="0"/>
      <charset val="1"/>
    </font>
    <font>
      <b val="true"/>
      <sz val="15"/>
      <color rgb="FF000000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sz val="11"/>
      <color rgb="FF000000"/>
      <name val="Arial Nova"/>
      <family val="0"/>
      <charset val="1"/>
    </font>
    <font>
      <sz val="11"/>
      <color rgb="FF3333FF"/>
      <name val="Arial Nova"/>
      <family val="0"/>
      <charset val="1"/>
    </font>
    <font>
      <b val="true"/>
      <sz val="11"/>
      <color rgb="FFC00000"/>
      <name val="Arial Nova"/>
      <family val="0"/>
      <charset val="1"/>
    </font>
    <font>
      <sz val="9"/>
      <color rgb="FF7F7F7F"/>
      <name val="Arial Nova"/>
      <family val="0"/>
      <charset val="1"/>
    </font>
    <font>
      <b val="true"/>
      <sz val="10"/>
      <color rgb="FF000000"/>
      <name val="Arial Nova"/>
      <family val="0"/>
      <charset val="1"/>
    </font>
    <font>
      <b val="true"/>
      <sz val="13"/>
      <color rgb="FFC00000"/>
      <name val="Arial Nova"/>
      <family val="0"/>
      <charset val="1"/>
    </font>
    <font>
      <sz val="13"/>
      <color rgb="FF000000"/>
      <name val="Arial Nova"/>
      <family val="0"/>
      <charset val="1"/>
    </font>
    <font>
      <sz val="10"/>
      <color rgb="FF3333FF"/>
      <name val="Arial Nova"/>
      <family val="0"/>
      <charset val="1"/>
    </font>
    <font>
      <sz val="10"/>
      <color rgb="FF000000"/>
      <name val="Arial Nova"/>
      <family val="0"/>
      <charset val="1"/>
    </font>
    <font>
      <b val="true"/>
      <sz val="10"/>
      <color rgb="FF7F7F7F"/>
      <name val="Arial Nova"/>
      <family val="0"/>
      <charset val="1"/>
    </font>
    <font>
      <b val="true"/>
      <sz val="13"/>
      <color rgb="FF000000"/>
      <name val="Arial Nov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2F7FC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C00000"/>
      </font>
    </dxf>
    <dxf>
      <font>
        <name val="Arial Nova"/>
        <charset val="1"/>
        <family val="0"/>
        <b val="1"/>
        <color rgb="FFC00000"/>
        <sz val="13"/>
      </font>
    </dxf>
  </dxfs>
  <colors>
    <indexedColors>
      <rgbColor rgb="FF000000"/>
      <rgbColor rgb="FFF2F7FC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70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1.75" hidden="false" customHeight="true" outlineLevel="0" collapsed="false">
      <c r="B5" s="3" t="s">
        <v>2</v>
      </c>
      <c r="C5" s="4"/>
      <c r="D5" s="4"/>
      <c r="E5" s="4"/>
    </row>
    <row r="6" customFormat="false" ht="15" hidden="false" customHeight="false" outlineLevel="0" collapsed="false">
      <c r="C6" s="5" t="s">
        <v>3</v>
      </c>
      <c r="D6" s="6" t="s">
        <v>4</v>
      </c>
    </row>
    <row r="7" customFormat="false" ht="15" hidden="false" customHeight="false" outlineLevel="0" collapsed="false">
      <c r="C7" s="5" t="s">
        <v>5</v>
      </c>
      <c r="D7" s="6" t="s">
        <v>6</v>
      </c>
    </row>
    <row r="8" customFormat="false" ht="15" hidden="false" customHeight="false" outlineLevel="0" collapsed="false">
      <c r="C8" s="5" t="s">
        <v>7</v>
      </c>
      <c r="D8" s="6" t="s">
        <v>8</v>
      </c>
    </row>
    <row r="9" customFormat="false" ht="15" hidden="false" customHeight="false" outlineLevel="0" collapsed="false">
      <c r="C9" s="5" t="s">
        <v>9</v>
      </c>
      <c r="D9" s="6" t="s">
        <v>10</v>
      </c>
    </row>
    <row r="10" customFormat="false" ht="15" hidden="false" customHeight="false" outlineLevel="0" collapsed="false">
      <c r="C10" s="5" t="s">
        <v>11</v>
      </c>
      <c r="D10" s="6" t="s">
        <v>12</v>
      </c>
    </row>
    <row r="11" customFormat="false" ht="15" hidden="false" customHeight="false" outlineLevel="0" collapsed="false">
      <c r="C11" s="5" t="s">
        <v>13</v>
      </c>
      <c r="D11" s="6" t="s">
        <v>14</v>
      </c>
    </row>
    <row r="13" customFormat="false" ht="21.75" hidden="false" customHeight="true" outlineLevel="0" collapsed="false">
      <c r="B13" s="3" t="s">
        <v>15</v>
      </c>
      <c r="C13" s="4"/>
      <c r="D13" s="4"/>
      <c r="E13" s="4"/>
    </row>
    <row r="14" customFormat="false" ht="15" hidden="false" customHeight="false" outlineLevel="0" collapsed="false">
      <c r="C14" s="6" t="s">
        <v>16</v>
      </c>
      <c r="D14" s="7" t="n">
        <v>1.5</v>
      </c>
      <c r="E14" s="2" t="s">
        <v>17</v>
      </c>
    </row>
    <row r="15" customFormat="false" ht="15" hidden="false" customHeight="false" outlineLevel="0" collapsed="false">
      <c r="C15" s="6" t="s">
        <v>18</v>
      </c>
      <c r="D15" s="8" t="n">
        <f aca="false">D14*2</f>
        <v>3</v>
      </c>
      <c r="E15" s="2" t="s">
        <v>19</v>
      </c>
    </row>
    <row r="16" customFormat="false" ht="15" hidden="false" customHeight="false" outlineLevel="0" collapsed="false">
      <c r="C16" s="6" t="s">
        <v>20</v>
      </c>
      <c r="D16" s="9" t="s">
        <v>21</v>
      </c>
      <c r="E16" s="2" t="s">
        <v>22</v>
      </c>
    </row>
    <row r="17" customFormat="false" ht="15" hidden="false" customHeight="false" outlineLevel="0" collapsed="false">
      <c r="C17" s="6" t="s">
        <v>23</v>
      </c>
      <c r="D17" s="10" t="s">
        <v>24</v>
      </c>
      <c r="E17" s="2" t="s">
        <v>25</v>
      </c>
    </row>
    <row r="19" customFormat="false" ht="21.75" hidden="false" customHeight="true" outlineLevel="0" collapsed="false">
      <c r="B19" s="3" t="s">
        <v>26</v>
      </c>
      <c r="C19" s="4"/>
      <c r="D19" s="4"/>
      <c r="E19" s="4"/>
    </row>
    <row r="20" customFormat="false" ht="15" hidden="false" customHeight="false" outlineLevel="0" collapsed="false">
      <c r="C20" s="5" t="s">
        <v>27</v>
      </c>
      <c r="D20" s="6" t="s">
        <v>28</v>
      </c>
    </row>
    <row r="21" customFormat="false" ht="15" hidden="false" customHeight="false" outlineLevel="0" collapsed="false">
      <c r="C21" s="5" t="s">
        <v>29</v>
      </c>
      <c r="D21" s="6" t="s">
        <v>30</v>
      </c>
    </row>
    <row r="22" customFormat="false" ht="15" hidden="false" customHeight="false" outlineLevel="0" collapsed="false">
      <c r="C22" s="5" t="s">
        <v>31</v>
      </c>
      <c r="D22" s="6" t="s">
        <v>32</v>
      </c>
    </row>
    <row r="23" customFormat="false" ht="15" hidden="false" customHeight="false" outlineLevel="0" collapsed="false">
      <c r="C23" s="5" t="s">
        <v>33</v>
      </c>
      <c r="D23" s="6" t="s">
        <v>34</v>
      </c>
    </row>
    <row r="24" customFormat="false" ht="15" hidden="false" customHeight="false" outlineLevel="0" collapsed="false">
      <c r="C24" s="5" t="s">
        <v>35</v>
      </c>
      <c r="D24" s="6" t="s">
        <v>36</v>
      </c>
    </row>
    <row r="25" customFormat="false" ht="15" hidden="false" customHeight="false" outlineLevel="0" collapsed="false">
      <c r="C25" s="5" t="s">
        <v>37</v>
      </c>
      <c r="D25" s="6" t="s">
        <v>38</v>
      </c>
    </row>
    <row r="27" customFormat="false" ht="21.75" hidden="false" customHeight="true" outlineLevel="0" collapsed="false">
      <c r="B27" s="3" t="s">
        <v>39</v>
      </c>
      <c r="C27" s="4"/>
      <c r="D27" s="4"/>
      <c r="E27" s="4"/>
    </row>
    <row r="28" customFormat="false" ht="15" hidden="false" customHeight="false" outlineLevel="0" collapsed="false">
      <c r="C28" s="6" t="s">
        <v>40</v>
      </c>
      <c r="D28" s="11" t="s">
        <v>41</v>
      </c>
      <c r="E28" s="11"/>
    </row>
    <row r="29" customFormat="false" ht="15" hidden="false" customHeight="false" outlineLevel="0" collapsed="false">
      <c r="C29" s="6" t="s">
        <v>42</v>
      </c>
      <c r="D29" s="11" t="s">
        <v>43</v>
      </c>
      <c r="E29" s="11"/>
    </row>
    <row r="30" customFormat="false" ht="15" hidden="false" customHeight="false" outlineLevel="0" collapsed="false">
      <c r="C30" s="6" t="s">
        <v>44</v>
      </c>
      <c r="D30" s="11" t="s">
        <v>45</v>
      </c>
      <c r="E30" s="11"/>
    </row>
    <row r="31" customFormat="false" ht="15" hidden="false" customHeight="false" outlineLevel="0" collapsed="false">
      <c r="C31" s="6" t="s">
        <v>46</v>
      </c>
      <c r="D31" s="11" t="s">
        <v>47</v>
      </c>
      <c r="E31" s="11"/>
    </row>
    <row r="32" customFormat="false" ht="15" hidden="false" customHeight="false" outlineLevel="0" collapsed="false">
      <c r="C32" s="6" t="s">
        <v>48</v>
      </c>
      <c r="D32" s="11" t="s">
        <v>49</v>
      </c>
      <c r="E32" s="11"/>
    </row>
    <row r="33" customFormat="false" ht="15" hidden="false" customHeight="false" outlineLevel="0" collapsed="false">
      <c r="C33" s="6" t="s">
        <v>50</v>
      </c>
      <c r="D33" s="11" t="s">
        <v>51</v>
      </c>
      <c r="E33" s="11"/>
    </row>
    <row r="34" customFormat="false" ht="15" hidden="false" customHeight="false" outlineLevel="0" collapsed="false">
      <c r="C34" s="6" t="s">
        <v>52</v>
      </c>
      <c r="D34" s="11" t="s">
        <v>53</v>
      </c>
      <c r="E34" s="11"/>
    </row>
    <row r="35" customFormat="false" ht="15" hidden="false" customHeight="false" outlineLevel="0" collapsed="false">
      <c r="C35" s="6" t="s">
        <v>54</v>
      </c>
      <c r="D35" s="11" t="s">
        <v>55</v>
      </c>
      <c r="E35" s="11"/>
    </row>
    <row r="36" customFormat="false" ht="15" hidden="false" customHeight="false" outlineLevel="0" collapsed="false">
      <c r="C36" s="6" t="s">
        <v>56</v>
      </c>
      <c r="D36" s="11" t="s">
        <v>57</v>
      </c>
      <c r="E36" s="11"/>
    </row>
    <row r="37" customFormat="false" ht="15" hidden="false" customHeight="false" outlineLevel="0" collapsed="false">
      <c r="C37" s="6" t="s">
        <v>58</v>
      </c>
      <c r="D37" s="11" t="s">
        <v>59</v>
      </c>
      <c r="E37" s="11"/>
    </row>
    <row r="39" customFormat="false" ht="15" hidden="false" customHeight="false" outlineLevel="0" collapsed="false">
      <c r="C39" s="12" t="s">
        <v>60</v>
      </c>
    </row>
  </sheetData>
  <mergeCells count="10"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26"/>
    <col collapsed="false" customWidth="true" hidden="false" outlineLevel="0" max="4" min="4" style="0" width="100"/>
    <col collapsed="false" customWidth="true" hidden="false" outlineLevel="0" max="5" min="5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61</v>
      </c>
    </row>
    <row r="3" customFormat="false" ht="15" hidden="false" customHeight="false" outlineLevel="0" collapsed="false">
      <c r="B3" s="2" t="s">
        <v>62</v>
      </c>
    </row>
    <row r="5" customFormat="false" ht="21.75" hidden="false" customHeight="true" outlineLevel="0" collapsed="false">
      <c r="B5" s="3" t="s">
        <v>63</v>
      </c>
      <c r="C5" s="4"/>
      <c r="D5" s="4"/>
    </row>
    <row r="6" customFormat="false" ht="30" hidden="false" customHeight="true" outlineLevel="0" collapsed="false">
      <c r="C6" s="13" t="s">
        <v>64</v>
      </c>
      <c r="D6" s="14" t="s">
        <v>65</v>
      </c>
    </row>
    <row r="7" customFormat="false" ht="29.85" hidden="false" customHeight="false" outlineLevel="0" collapsed="false">
      <c r="C7" s="13" t="s">
        <v>66</v>
      </c>
      <c r="D7" s="14" t="s">
        <v>67</v>
      </c>
    </row>
    <row r="8" customFormat="false" ht="30" hidden="false" customHeight="true" outlineLevel="0" collapsed="false">
      <c r="C8" s="13" t="s">
        <v>68</v>
      </c>
      <c r="D8" s="14" t="s">
        <v>69</v>
      </c>
    </row>
    <row r="9" customFormat="false" ht="15" hidden="false" customHeight="false" outlineLevel="0" collapsed="false">
      <c r="C9" s="13" t="s">
        <v>70</v>
      </c>
      <c r="D9" s="14" t="s">
        <v>71</v>
      </c>
    </row>
    <row r="11" customFormat="false" ht="21.75" hidden="false" customHeight="true" outlineLevel="0" collapsed="false">
      <c r="B11" s="3" t="s">
        <v>72</v>
      </c>
      <c r="C11" s="4"/>
      <c r="D11" s="4"/>
    </row>
    <row r="12" customFormat="false" ht="15" hidden="false" customHeight="false" outlineLevel="0" collapsed="false">
      <c r="C12" s="13" t="s">
        <v>73</v>
      </c>
      <c r="D12" s="14" t="s">
        <v>74</v>
      </c>
    </row>
    <row r="13" customFormat="false" ht="15" hidden="false" customHeight="false" outlineLevel="0" collapsed="false">
      <c r="C13" s="13" t="s">
        <v>75</v>
      </c>
      <c r="D13" s="14" t="s">
        <v>76</v>
      </c>
    </row>
    <row r="14" customFormat="false" ht="15" hidden="false" customHeight="false" outlineLevel="0" collapsed="false">
      <c r="C14" s="13" t="s">
        <v>77</v>
      </c>
      <c r="D14" s="14" t="s">
        <v>78</v>
      </c>
    </row>
    <row r="15" customFormat="false" ht="30" hidden="false" customHeight="true" outlineLevel="0" collapsed="false">
      <c r="C15" s="13" t="s">
        <v>79</v>
      </c>
      <c r="D15" s="14" t="s">
        <v>80</v>
      </c>
    </row>
    <row r="16" customFormat="false" ht="30" hidden="false" customHeight="true" outlineLevel="0" collapsed="false">
      <c r="C16" s="13" t="s">
        <v>81</v>
      </c>
      <c r="D16" s="14" t="s">
        <v>82</v>
      </c>
    </row>
    <row r="18" customFormat="false" ht="21.75" hidden="false" customHeight="true" outlineLevel="0" collapsed="false">
      <c r="B18" s="3" t="s">
        <v>83</v>
      </c>
      <c r="C18" s="4"/>
      <c r="D18" s="4"/>
    </row>
    <row r="19" customFormat="false" ht="15" hidden="false" customHeight="false" outlineLevel="0" collapsed="false">
      <c r="C19" s="13" t="s">
        <v>84</v>
      </c>
      <c r="D19" s="14" t="s">
        <v>85</v>
      </c>
    </row>
    <row r="20" customFormat="false" ht="15" hidden="false" customHeight="false" outlineLevel="0" collapsed="false">
      <c r="C20" s="13" t="s">
        <v>86</v>
      </c>
      <c r="D20" s="14" t="s">
        <v>87</v>
      </c>
    </row>
    <row r="21" customFormat="false" ht="15" hidden="false" customHeight="false" outlineLevel="0" collapsed="false">
      <c r="C21" s="13" t="s">
        <v>88</v>
      </c>
      <c r="D21" s="14" t="s">
        <v>89</v>
      </c>
    </row>
    <row r="22" customFormat="false" ht="15" hidden="false" customHeight="false" outlineLevel="0" collapsed="false">
      <c r="C22" s="13" t="s">
        <v>90</v>
      </c>
      <c r="D22" s="14" t="s">
        <v>91</v>
      </c>
    </row>
    <row r="24" customFormat="false" ht="21.75" hidden="false" customHeight="true" outlineLevel="0" collapsed="false">
      <c r="B24" s="3" t="s">
        <v>92</v>
      </c>
      <c r="C24" s="4"/>
      <c r="D24" s="4"/>
    </row>
    <row r="25" customFormat="false" ht="15" hidden="false" customHeight="false" outlineLevel="0" collapsed="false">
      <c r="C25" s="13" t="s">
        <v>93</v>
      </c>
      <c r="D25" s="14" t="s">
        <v>94</v>
      </c>
    </row>
    <row r="26" customFormat="false" ht="15" hidden="false" customHeight="false" outlineLevel="0" collapsed="false">
      <c r="C26" s="13" t="s">
        <v>95</v>
      </c>
      <c r="D26" s="14" t="s">
        <v>96</v>
      </c>
    </row>
    <row r="27" customFormat="false" ht="15" hidden="false" customHeight="false" outlineLevel="0" collapsed="false">
      <c r="C27" s="13" t="s">
        <v>97</v>
      </c>
      <c r="D27" s="14" t="s">
        <v>98</v>
      </c>
    </row>
    <row r="28" customFormat="false" ht="15" hidden="false" customHeight="false" outlineLevel="0" collapsed="false">
      <c r="C28" s="13" t="s">
        <v>99</v>
      </c>
      <c r="D28" s="14" t="s">
        <v>100</v>
      </c>
    </row>
    <row r="30" customFormat="false" ht="21.75" hidden="false" customHeight="true" outlineLevel="0" collapsed="false">
      <c r="B30" s="3" t="s">
        <v>101</v>
      </c>
      <c r="C30" s="4"/>
      <c r="D30" s="4"/>
    </row>
    <row r="31" customFormat="false" ht="15" hidden="false" customHeight="false" outlineLevel="0" collapsed="false">
      <c r="C31" s="13" t="s">
        <v>102</v>
      </c>
      <c r="D31" s="14" t="s">
        <v>103</v>
      </c>
    </row>
    <row r="32" customFormat="false" ht="15" hidden="false" customHeight="false" outlineLevel="0" collapsed="false">
      <c r="C32" s="13" t="s">
        <v>104</v>
      </c>
      <c r="D32" s="14" t="s">
        <v>105</v>
      </c>
    </row>
    <row r="33" customFormat="false" ht="15" hidden="false" customHeight="false" outlineLevel="0" collapsed="false">
      <c r="C33" s="13" t="s">
        <v>106</v>
      </c>
      <c r="D33" s="14" t="s">
        <v>107</v>
      </c>
    </row>
    <row r="34" customFormat="false" ht="15" hidden="false" customHeight="false" outlineLevel="0" collapsed="false">
      <c r="C34" s="13" t="s">
        <v>108</v>
      </c>
      <c r="D34" s="14" t="s">
        <v>109</v>
      </c>
    </row>
    <row r="36" customFormat="false" ht="21.75" hidden="false" customHeight="true" outlineLevel="0" collapsed="false">
      <c r="B36" s="3" t="s">
        <v>110</v>
      </c>
      <c r="C36" s="4"/>
      <c r="D36" s="4"/>
    </row>
    <row r="37" customFormat="false" ht="30" hidden="false" customHeight="true" outlineLevel="0" collapsed="false">
      <c r="C37" s="13" t="s">
        <v>111</v>
      </c>
      <c r="D37" s="14" t="s">
        <v>112</v>
      </c>
    </row>
    <row r="38" customFormat="false" ht="15" hidden="false" customHeight="false" outlineLevel="0" collapsed="false">
      <c r="C38" s="13" t="s">
        <v>113</v>
      </c>
      <c r="D38" s="14" t="s">
        <v>114</v>
      </c>
    </row>
    <row r="39" customFormat="false" ht="30" hidden="false" customHeight="true" outlineLevel="0" collapsed="false">
      <c r="C39" s="13" t="s">
        <v>115</v>
      </c>
      <c r="D39" s="14" t="s">
        <v>116</v>
      </c>
    </row>
    <row r="40" customFormat="false" ht="15" hidden="false" customHeight="false" outlineLevel="0" collapsed="false">
      <c r="C40" s="13" t="s">
        <v>117</v>
      </c>
      <c r="D40" s="14" t="s">
        <v>118</v>
      </c>
    </row>
    <row r="41" customFormat="false" ht="15" hidden="false" customHeight="false" outlineLevel="0" collapsed="false">
      <c r="C41" s="13" t="s">
        <v>119</v>
      </c>
      <c r="D41" s="14" t="s">
        <v>120</v>
      </c>
    </row>
    <row r="42" customFormat="false" ht="29.85" hidden="false" customHeight="false" outlineLevel="0" collapsed="false">
      <c r="C42" s="13" t="s">
        <v>121</v>
      </c>
      <c r="D42" s="14" t="s">
        <v>122</v>
      </c>
    </row>
    <row r="44" customFormat="false" ht="21.75" hidden="false" customHeight="true" outlineLevel="0" collapsed="false">
      <c r="B44" s="3" t="s">
        <v>123</v>
      </c>
      <c r="C44" s="4"/>
      <c r="D44" s="4"/>
      <c r="E44" s="4"/>
    </row>
    <row r="45" customFormat="false" ht="15" hidden="false" customHeight="false" outlineLevel="0" collapsed="false">
      <c r="C45" s="15" t="s">
        <v>124</v>
      </c>
      <c r="D45" s="15" t="s">
        <v>125</v>
      </c>
      <c r="E45" s="16" t="s">
        <v>126</v>
      </c>
    </row>
    <row r="46" customFormat="false" ht="15" hidden="false" customHeight="false" outlineLevel="0" collapsed="false">
      <c r="C46" s="5" t="s">
        <v>127</v>
      </c>
      <c r="D46" s="14" t="s">
        <v>128</v>
      </c>
      <c r="E46" s="17" t="s">
        <v>129</v>
      </c>
    </row>
    <row r="47" customFormat="false" ht="15" hidden="false" customHeight="false" outlineLevel="0" collapsed="false">
      <c r="C47" s="5" t="s">
        <v>130</v>
      </c>
      <c r="D47" s="14" t="s">
        <v>131</v>
      </c>
      <c r="E47" s="17" t="s">
        <v>129</v>
      </c>
    </row>
    <row r="48" customFormat="false" ht="15" hidden="false" customHeight="false" outlineLevel="0" collapsed="false">
      <c r="C48" s="5" t="s">
        <v>132</v>
      </c>
      <c r="D48" s="14" t="s">
        <v>133</v>
      </c>
      <c r="E48" s="17" t="s">
        <v>129</v>
      </c>
    </row>
    <row r="49" customFormat="false" ht="15" hidden="false" customHeight="false" outlineLevel="0" collapsed="false">
      <c r="C49" s="5" t="s">
        <v>134</v>
      </c>
      <c r="D49" s="14" t="s">
        <v>135</v>
      </c>
      <c r="E49" s="17" t="s">
        <v>129</v>
      </c>
    </row>
    <row r="50" customFormat="false" ht="15" hidden="false" customHeight="false" outlineLevel="0" collapsed="false">
      <c r="C50" s="5" t="s">
        <v>136</v>
      </c>
      <c r="D50" s="14" t="s">
        <v>137</v>
      </c>
      <c r="E50" s="17" t="s">
        <v>129</v>
      </c>
    </row>
    <row r="51" customFormat="false" ht="15" hidden="false" customHeight="false" outlineLevel="0" collapsed="false">
      <c r="C51" s="5" t="s">
        <v>138</v>
      </c>
      <c r="D51" s="14" t="s">
        <v>139</v>
      </c>
      <c r="E51" s="17" t="s">
        <v>129</v>
      </c>
    </row>
    <row r="52" customFormat="false" ht="15" hidden="false" customHeight="false" outlineLevel="0" collapsed="false">
      <c r="C52" s="5" t="s">
        <v>140</v>
      </c>
      <c r="D52" s="14" t="s">
        <v>141</v>
      </c>
      <c r="E52" s="17" t="s">
        <v>129</v>
      </c>
    </row>
    <row r="54" customFormat="false" ht="15" hidden="false" customHeight="false" outlineLevel="0" collapsed="false">
      <c r="C54" s="12" t="s">
        <v>142</v>
      </c>
    </row>
  </sheetData>
  <dataValidations count="1">
    <dataValidation allowBlank="true" errorStyle="stop" operator="between" showDropDown="false" showErrorMessage="false" showInputMessage="false" sqref="E46:E52" type="list">
      <formula1>Inputs!$F$49:$H$49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0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143</v>
      </c>
    </row>
    <row r="3" customFormat="false" ht="15" hidden="false" customHeight="false" outlineLevel="0" collapsed="false">
      <c r="B3" s="2" t="s">
        <v>144</v>
      </c>
    </row>
    <row r="5" customFormat="false" ht="16.15" hidden="false" customHeight="false" outlineLevel="0" collapsed="false">
      <c r="B5" s="18" t="s">
        <v>145</v>
      </c>
      <c r="C5" s="4"/>
    </row>
    <row r="6" customFormat="false" ht="18.75" hidden="false" customHeight="true" outlineLevel="0" collapsed="false">
      <c r="B6" s="19" t="s">
        <v>146</v>
      </c>
      <c r="C6" s="6" t="s">
        <v>147</v>
      </c>
    </row>
    <row r="7" customFormat="false" ht="18.75" hidden="false" customHeight="true" outlineLevel="0" collapsed="false">
      <c r="B7" s="19" t="s">
        <v>146</v>
      </c>
      <c r="C7" s="6" t="s">
        <v>148</v>
      </c>
    </row>
    <row r="8" customFormat="false" ht="18.75" hidden="false" customHeight="true" outlineLevel="0" collapsed="false">
      <c r="B8" s="19" t="s">
        <v>146</v>
      </c>
      <c r="C8" s="6" t="s">
        <v>149</v>
      </c>
    </row>
    <row r="10" customFormat="false" ht="16.15" hidden="false" customHeight="false" outlineLevel="0" collapsed="false">
      <c r="B10" s="18" t="s">
        <v>150</v>
      </c>
      <c r="C10" s="4"/>
    </row>
    <row r="11" customFormat="false" ht="18.75" hidden="false" customHeight="true" outlineLevel="0" collapsed="false">
      <c r="B11" s="19" t="s">
        <v>146</v>
      </c>
      <c r="C11" s="6" t="s">
        <v>151</v>
      </c>
    </row>
    <row r="12" customFormat="false" ht="18.75" hidden="false" customHeight="true" outlineLevel="0" collapsed="false">
      <c r="B12" s="19" t="s">
        <v>146</v>
      </c>
      <c r="C12" s="6" t="s">
        <v>152</v>
      </c>
    </row>
    <row r="13" customFormat="false" ht="18.75" hidden="false" customHeight="true" outlineLevel="0" collapsed="false">
      <c r="B13" s="19" t="s">
        <v>146</v>
      </c>
      <c r="C13" s="6" t="s">
        <v>153</v>
      </c>
    </row>
    <row r="14" customFormat="false" ht="18.75" hidden="false" customHeight="true" outlineLevel="0" collapsed="false">
      <c r="B14" s="19" t="s">
        <v>146</v>
      </c>
      <c r="C14" s="6" t="s">
        <v>154</v>
      </c>
    </row>
    <row r="15" customFormat="false" ht="18.75" hidden="false" customHeight="true" outlineLevel="0" collapsed="false">
      <c r="B15" s="19" t="s">
        <v>146</v>
      </c>
      <c r="C15" s="6" t="s">
        <v>155</v>
      </c>
    </row>
    <row r="17" customFormat="false" ht="16.15" hidden="false" customHeight="false" outlineLevel="0" collapsed="false">
      <c r="B17" s="18" t="s">
        <v>156</v>
      </c>
      <c r="C17" s="4"/>
    </row>
    <row r="18" customFormat="false" ht="18.75" hidden="false" customHeight="true" outlineLevel="0" collapsed="false">
      <c r="B18" s="19" t="s">
        <v>146</v>
      </c>
      <c r="C18" s="6" t="s">
        <v>157</v>
      </c>
    </row>
    <row r="19" customFormat="false" ht="18.75" hidden="false" customHeight="true" outlineLevel="0" collapsed="false">
      <c r="B19" s="19" t="s">
        <v>146</v>
      </c>
      <c r="C19" s="6" t="s">
        <v>158</v>
      </c>
    </row>
    <row r="20" customFormat="false" ht="18.75" hidden="false" customHeight="true" outlineLevel="0" collapsed="false">
      <c r="B20" s="19" t="s">
        <v>146</v>
      </c>
      <c r="C20" s="6" t="s">
        <v>159</v>
      </c>
    </row>
    <row r="21" customFormat="false" ht="18.75" hidden="false" customHeight="true" outlineLevel="0" collapsed="false">
      <c r="B21" s="19" t="s">
        <v>146</v>
      </c>
      <c r="C21" s="6" t="s">
        <v>160</v>
      </c>
    </row>
    <row r="23" customFormat="false" ht="16.15" hidden="false" customHeight="false" outlineLevel="0" collapsed="false">
      <c r="B23" s="18" t="s">
        <v>161</v>
      </c>
      <c r="C23" s="4"/>
    </row>
    <row r="24" customFormat="false" ht="18.75" hidden="false" customHeight="true" outlineLevel="0" collapsed="false">
      <c r="B24" s="19" t="s">
        <v>146</v>
      </c>
      <c r="C24" s="6" t="s">
        <v>162</v>
      </c>
    </row>
    <row r="25" customFormat="false" ht="18.75" hidden="false" customHeight="true" outlineLevel="0" collapsed="false">
      <c r="B25" s="19" t="s">
        <v>146</v>
      </c>
      <c r="C25" s="6" t="s">
        <v>163</v>
      </c>
    </row>
    <row r="27" customFormat="false" ht="15" hidden="false" customHeight="false" outlineLevel="0" collapsed="false">
      <c r="C27" s="5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12"/>
    <col collapsed="false" customWidth="true" hidden="false" outlineLevel="0" max="7" min="4" style="0" width="10"/>
    <col collapsed="false" customWidth="true" hidden="false" outlineLevel="0" max="9" min="8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12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7</v>
      </c>
    </row>
    <row r="3" customFormat="false" ht="15" hidden="false" customHeight="false" outlineLevel="0" collapsed="false">
      <c r="B3" s="2" t="s">
        <v>165</v>
      </c>
    </row>
    <row r="5" customFormat="false" ht="21.75" hidden="false" customHeight="true" outlineLevel="0" collapsed="false">
      <c r="B5" s="3" t="s">
        <v>166</v>
      </c>
      <c r="C5" s="4"/>
      <c r="D5" s="4"/>
      <c r="E5" s="4"/>
      <c r="F5" s="4"/>
      <c r="G5" s="4"/>
      <c r="H5" s="4"/>
      <c r="I5" s="4"/>
      <c r="J5" s="4"/>
      <c r="L5" s="3" t="s">
        <v>167</v>
      </c>
      <c r="M5" s="4"/>
      <c r="N5" s="4"/>
      <c r="O5" s="4"/>
      <c r="P5" s="4"/>
    </row>
    <row r="6" customFormat="false" ht="25.35" hidden="false" customHeight="false" outlineLevel="0" collapsed="false">
      <c r="C6" s="20" t="s">
        <v>168</v>
      </c>
      <c r="D6" s="20" t="s">
        <v>169</v>
      </c>
      <c r="E6" s="20" t="s">
        <v>170</v>
      </c>
      <c r="F6" s="20" t="s">
        <v>171</v>
      </c>
      <c r="G6" s="20" t="s">
        <v>172</v>
      </c>
      <c r="H6" s="20" t="s">
        <v>173</v>
      </c>
      <c r="I6" s="20" t="s">
        <v>174</v>
      </c>
      <c r="J6" s="20" t="s">
        <v>175</v>
      </c>
      <c r="L6" s="20" t="s">
        <v>168</v>
      </c>
      <c r="M6" s="20" t="s">
        <v>176</v>
      </c>
      <c r="N6" s="20" t="s">
        <v>177</v>
      </c>
      <c r="O6" s="20" t="s">
        <v>178</v>
      </c>
      <c r="P6" s="20" t="s">
        <v>179</v>
      </c>
    </row>
    <row r="7" customFormat="false" ht="15" hidden="false" customHeight="false" outlineLevel="0" collapsed="false">
      <c r="C7" s="21"/>
      <c r="D7" s="21" t="s">
        <v>180</v>
      </c>
      <c r="E7" s="21" t="s">
        <v>180</v>
      </c>
      <c r="F7" s="21" t="s">
        <v>180</v>
      </c>
      <c r="G7" s="21" t="s">
        <v>180</v>
      </c>
      <c r="H7" s="21" t="s">
        <v>180</v>
      </c>
      <c r="I7" s="21" t="s">
        <v>181</v>
      </c>
      <c r="J7" s="21"/>
    </row>
    <row r="8" customFormat="false" ht="15" hidden="false" customHeight="false" outlineLevel="0" collapsed="false">
      <c r="C8" s="6" t="s">
        <v>182</v>
      </c>
      <c r="D8" s="22"/>
      <c r="E8" s="22"/>
      <c r="F8" s="22"/>
      <c r="G8" s="23" t="str">
        <f aca="false">IF(COUNT(D8:F8)=0,"",AVERAGE(D8:F8))</f>
        <v/>
      </c>
      <c r="H8" s="22"/>
      <c r="I8" s="24" t="str">
        <f aca="false">IF(OR(G8="",H8=""),"",G8/H8)</f>
        <v/>
      </c>
      <c r="J8" s="25" t="str">
        <f aca="false">IF(I8="","",IF(I8&lt;=Inputs!$F$19,"OK","Too wide"))</f>
        <v/>
      </c>
      <c r="L8" s="6" t="s">
        <v>182</v>
      </c>
      <c r="M8" s="26" t="n">
        <f aca="false">COUNTIFS($C$19:$C$78,L8,$I$19:$I$78,"&gt;-99")</f>
        <v>0</v>
      </c>
      <c r="N8" s="27" t="n">
        <f aca="false">IFERROR(COUNTIFS($C$19:$C$78,L8,$I$19:$I$78,"&gt;0")/M8,0)</f>
        <v>0</v>
      </c>
      <c r="O8" s="28" t="n">
        <f aca="false">IFERROR(SUMIFS($I$19:$I$78,$C$19:$C$78,L8)/M8,0)</f>
        <v>0</v>
      </c>
      <c r="P8" s="28" t="n">
        <f aca="false">IFERROR(AVERAGEIFS($J$19:$J$78,$C$19:$C$78,L8),0)</f>
        <v>0</v>
      </c>
    </row>
    <row r="9" customFormat="false" ht="15" hidden="false" customHeight="false" outlineLevel="0" collapsed="false">
      <c r="C9" s="6" t="s">
        <v>183</v>
      </c>
      <c r="D9" s="22"/>
      <c r="E9" s="22"/>
      <c r="F9" s="22"/>
      <c r="G9" s="23" t="str">
        <f aca="false">IF(COUNT(D9:F9)=0,"",AVERAGE(D9:F9))</f>
        <v/>
      </c>
      <c r="H9" s="22"/>
      <c r="I9" s="24" t="str">
        <f aca="false">IF(OR(G9="",H9=""),"",G9/H9)</f>
        <v/>
      </c>
      <c r="J9" s="25" t="str">
        <f aca="false">IF(I9="","",IF(I9&lt;=Inputs!$F$19,"OK","Too wide"))</f>
        <v/>
      </c>
      <c r="L9" s="6" t="s">
        <v>183</v>
      </c>
      <c r="M9" s="26" t="n">
        <f aca="false">COUNTIFS($C$19:$C$78,L9,$I$19:$I$78,"&gt;-99")</f>
        <v>0</v>
      </c>
      <c r="N9" s="27" t="n">
        <f aca="false">IFERROR(COUNTIFS($C$19:$C$78,L9,$I$19:$I$78,"&gt;0")/M9,0)</f>
        <v>0</v>
      </c>
      <c r="O9" s="28" t="n">
        <f aca="false">IFERROR(SUMIFS($I$19:$I$78,$C$19:$C$78,L9)/M9,0)</f>
        <v>0</v>
      </c>
      <c r="P9" s="28" t="n">
        <f aca="false">IFERROR(AVERAGEIFS($J$19:$J$78,$C$19:$C$78,L9),0)</f>
        <v>0</v>
      </c>
    </row>
    <row r="10" customFormat="false" ht="15" hidden="false" customHeight="false" outlineLevel="0" collapsed="false">
      <c r="C10" s="6" t="s">
        <v>184</v>
      </c>
      <c r="D10" s="22"/>
      <c r="E10" s="22"/>
      <c r="F10" s="22"/>
      <c r="G10" s="23" t="str">
        <f aca="false">IF(COUNT(D10:F10)=0,"",AVERAGE(D10:F10))</f>
        <v/>
      </c>
      <c r="H10" s="22"/>
      <c r="I10" s="24" t="str">
        <f aca="false">IF(OR(G10="",H10=""),"",G10/H10)</f>
        <v/>
      </c>
      <c r="J10" s="25" t="str">
        <f aca="false">IF(I10="","",IF(I10&lt;=Inputs!$F$19,"OK","Too wide"))</f>
        <v/>
      </c>
      <c r="L10" s="6" t="s">
        <v>184</v>
      </c>
      <c r="M10" s="26" t="n">
        <f aca="false">COUNTIFS($C$19:$C$78,L10,$I$19:$I$78,"&gt;-99")</f>
        <v>0</v>
      </c>
      <c r="N10" s="27" t="n">
        <f aca="false">IFERROR(COUNTIFS($C$19:$C$78,L10,$I$19:$I$78,"&gt;0")/M10,0)</f>
        <v>0</v>
      </c>
      <c r="O10" s="28" t="n">
        <f aca="false">IFERROR(SUMIFS($I$19:$I$78,$C$19:$C$78,L10)/M10,0)</f>
        <v>0</v>
      </c>
      <c r="P10" s="28" t="n">
        <f aca="false">IFERROR(AVERAGEIFS($J$19:$J$78,$C$19:$C$78,L10),0)</f>
        <v>0</v>
      </c>
    </row>
    <row r="11" customFormat="false" ht="15" hidden="false" customHeight="false" outlineLevel="0" collapsed="false">
      <c r="C11" s="6" t="s">
        <v>185</v>
      </c>
      <c r="D11" s="22"/>
      <c r="E11" s="22"/>
      <c r="F11" s="22"/>
      <c r="G11" s="23" t="str">
        <f aca="false">IF(COUNT(D11:F11)=0,"",AVERAGE(D11:F11))</f>
        <v/>
      </c>
      <c r="H11" s="22"/>
      <c r="I11" s="24" t="str">
        <f aca="false">IF(OR(G11="",H11=""),"",G11/H11)</f>
        <v/>
      </c>
      <c r="J11" s="25" t="str">
        <f aca="false">IF(I11="","",IF(I11&lt;=Inputs!$F$19,"OK","Too wide"))</f>
        <v/>
      </c>
      <c r="L11" s="6" t="s">
        <v>185</v>
      </c>
      <c r="M11" s="26" t="n">
        <f aca="false">COUNTIFS($C$19:$C$78,L11,$I$19:$I$78,"&gt;-99")</f>
        <v>0</v>
      </c>
      <c r="N11" s="27" t="n">
        <f aca="false">IFERROR(COUNTIFS($C$19:$C$78,L11,$I$19:$I$78,"&gt;0")/M11,0)</f>
        <v>0</v>
      </c>
      <c r="O11" s="28" t="n">
        <f aca="false">IFERROR(SUMIFS($I$19:$I$78,$C$19:$C$78,L11)/M11,0)</f>
        <v>0</v>
      </c>
      <c r="P11" s="28" t="n">
        <f aca="false">IFERROR(AVERAGEIFS($J$19:$J$78,$C$19:$C$78,L11),0)</f>
        <v>0</v>
      </c>
    </row>
    <row r="12" customFormat="false" ht="15" hidden="false" customHeight="false" outlineLevel="0" collapsed="false">
      <c r="C12" s="6" t="s">
        <v>186</v>
      </c>
      <c r="D12" s="22"/>
      <c r="E12" s="22"/>
      <c r="F12" s="22"/>
      <c r="G12" s="23" t="str">
        <f aca="false">IF(COUNT(D12:F12)=0,"",AVERAGE(D12:F12))</f>
        <v/>
      </c>
      <c r="H12" s="22"/>
      <c r="I12" s="24" t="str">
        <f aca="false">IF(OR(G12="",H12=""),"",G12/H12)</f>
        <v/>
      </c>
      <c r="J12" s="25" t="str">
        <f aca="false">IF(I12="","",IF(I12&lt;=Inputs!$F$19,"OK","Too wide"))</f>
        <v/>
      </c>
      <c r="L12" s="6" t="s">
        <v>186</v>
      </c>
      <c r="M12" s="26" t="n">
        <f aca="false">COUNTIFS($C$19:$C$78,L12,$I$19:$I$78,"&gt;-99")</f>
        <v>0</v>
      </c>
      <c r="N12" s="27" t="n">
        <f aca="false">IFERROR(COUNTIFS($C$19:$C$78,L12,$I$19:$I$78,"&gt;0")/M12,0)</f>
        <v>0</v>
      </c>
      <c r="O12" s="28" t="n">
        <f aca="false">IFERROR(SUMIFS($I$19:$I$78,$C$19:$C$78,L12)/M12,0)</f>
        <v>0</v>
      </c>
      <c r="P12" s="28" t="n">
        <f aca="false">IFERROR(AVERAGEIFS($J$19:$J$78,$C$19:$C$78,L12),0)</f>
        <v>0</v>
      </c>
    </row>
    <row r="13" customFormat="false" ht="15" hidden="false" customHeight="false" outlineLevel="0" collapsed="false">
      <c r="C13" s="6" t="s">
        <v>187</v>
      </c>
      <c r="D13" s="22"/>
      <c r="E13" s="22"/>
      <c r="F13" s="22"/>
      <c r="G13" s="23" t="str">
        <f aca="false">IF(COUNT(D13:F13)=0,"",AVERAGE(D13:F13))</f>
        <v/>
      </c>
      <c r="H13" s="22"/>
      <c r="I13" s="24" t="str">
        <f aca="false">IF(OR(G13="",H13=""),"",G13/H13)</f>
        <v/>
      </c>
      <c r="J13" s="25" t="str">
        <f aca="false">IF(I13="","",IF(I13&lt;=Inputs!$F$19,"OK","Too wide"))</f>
        <v/>
      </c>
      <c r="L13" s="6" t="s">
        <v>187</v>
      </c>
      <c r="M13" s="26" t="n">
        <f aca="false">COUNTIFS($C$19:$C$78,L13,$I$19:$I$78,"&gt;-99")</f>
        <v>0</v>
      </c>
      <c r="N13" s="27" t="n">
        <f aca="false">IFERROR(COUNTIFS($C$19:$C$78,L13,$I$19:$I$78,"&gt;0")/M13,0)</f>
        <v>0</v>
      </c>
      <c r="O13" s="28" t="n">
        <f aca="false">IFERROR(SUMIFS($I$19:$I$78,$C$19:$C$78,L13)/M13,0)</f>
        <v>0</v>
      </c>
      <c r="P13" s="28" t="n">
        <f aca="false">IFERROR(AVERAGEIFS($J$19:$J$78,$C$19:$C$78,L13),0)</f>
        <v>0</v>
      </c>
    </row>
    <row r="14" customFormat="false" ht="15" hidden="false" customHeight="false" outlineLevel="0" collapsed="false">
      <c r="C14" s="12" t="s">
        <v>188</v>
      </c>
      <c r="L14" s="29" t="s">
        <v>189</v>
      </c>
      <c r="M14" s="30" t="n">
        <f aca="false">SUM(M8:M13)</f>
        <v>0</v>
      </c>
      <c r="N14" s="31"/>
      <c r="O14" s="32" t="n">
        <f aca="false">IFERROR(AVERAGE($I$19:$I$78),0)</f>
        <v>0</v>
      </c>
      <c r="P14" s="31"/>
    </row>
    <row r="16" customFormat="false" ht="21.75" hidden="false" customHeight="true" outlineLevel="0" collapsed="false">
      <c r="B16" s="3" t="s">
        <v>190</v>
      </c>
      <c r="C16" s="4"/>
      <c r="D16" s="4"/>
      <c r="E16" s="4"/>
      <c r="F16" s="4"/>
      <c r="G16" s="4"/>
      <c r="H16" s="4"/>
      <c r="I16" s="4"/>
      <c r="J16" s="4"/>
      <c r="L16" s="3" t="s">
        <v>191</v>
      </c>
      <c r="M16" s="4"/>
      <c r="N16" s="4"/>
      <c r="O16" s="4"/>
      <c r="P16" s="4"/>
    </row>
    <row r="17" customFormat="false" ht="37.3" hidden="false" customHeight="false" outlineLevel="0" collapsed="false">
      <c r="C17" s="20" t="s">
        <v>168</v>
      </c>
      <c r="D17" s="20" t="s">
        <v>44</v>
      </c>
      <c r="E17" s="20" t="s">
        <v>192</v>
      </c>
      <c r="F17" s="20" t="s">
        <v>193</v>
      </c>
      <c r="G17" s="20" t="s">
        <v>194</v>
      </c>
      <c r="H17" s="20" t="s">
        <v>54</v>
      </c>
      <c r="I17" s="20" t="s">
        <v>175</v>
      </c>
      <c r="J17" s="20" t="s">
        <v>195</v>
      </c>
      <c r="L17" s="6" t="s">
        <v>196</v>
      </c>
      <c r="N17" s="33" t="str">
        <f aca="false">IF(OR(M12&lt;10,M13&lt;10),"Need 10+ replays of each",IF(AND(J12="OK",J13&lt;&gt;"OK"),"US500",IF(AND(J13="OK",J12&lt;&gt;"OK"),"NAS100",IF(AND(J12&lt;&gt;"OK",J13&lt;&gt;"OK"),"Neither: spreads too wide",IF(O13&gt;O12,"NAS100","US500")))))</f>
        <v>Need 10+ replays of each</v>
      </c>
    </row>
    <row r="18" customFormat="false" ht="15" hidden="false" customHeight="false" outlineLevel="0" collapsed="false">
      <c r="C18" s="21" t="s">
        <v>197</v>
      </c>
      <c r="D18" s="21" t="s">
        <v>197</v>
      </c>
      <c r="E18" s="21" t="s">
        <v>180</v>
      </c>
      <c r="F18" s="21" t="s">
        <v>180</v>
      </c>
      <c r="G18" s="21" t="s">
        <v>180</v>
      </c>
      <c r="H18" s="21" t="s">
        <v>180</v>
      </c>
      <c r="I18" s="21" t="s">
        <v>21</v>
      </c>
      <c r="J18" s="21" t="s">
        <v>21</v>
      </c>
      <c r="L18" s="12" t="s">
        <v>198</v>
      </c>
    </row>
    <row r="19" customFormat="false" ht="15" hidden="false" customHeight="false" outlineLevel="0" collapsed="false">
      <c r="C19" s="34"/>
      <c r="D19" s="34"/>
      <c r="E19" s="35"/>
      <c r="F19" s="35"/>
      <c r="G19" s="35"/>
      <c r="H19" s="35"/>
      <c r="I19" s="36" t="str">
        <f aca="false">IF(OR(G19="",E19="",F19="",E19=F19),"",ROUND(IF(D19="Long",(G19-E19)/(E19-F19),(E19-G19)/(F19-E19)),2))</f>
        <v/>
      </c>
      <c r="J19" s="36" t="str">
        <f aca="false">IF(OR(H19="",E19="",F19="",E19=F19),"",ROUND(IF(D19="Long",(H19-E19)/(E19-F19),(E19-H19)/(F19-E19)),2))</f>
        <v/>
      </c>
    </row>
    <row r="20" customFormat="false" ht="15" hidden="false" customHeight="false" outlineLevel="0" collapsed="false">
      <c r="C20" s="34"/>
      <c r="D20" s="34"/>
      <c r="E20" s="35"/>
      <c r="F20" s="35"/>
      <c r="G20" s="35"/>
      <c r="H20" s="35"/>
      <c r="I20" s="36" t="str">
        <f aca="false">IF(OR(G20="",E20="",F20="",E20=F20),"",ROUND(IF(D20="Long",(G20-E20)/(E20-F20),(E20-G20)/(F20-E20)),2))</f>
        <v/>
      </c>
      <c r="J20" s="36" t="str">
        <f aca="false">IF(OR(H20="",E20="",F20="",E20=F20),"",ROUND(IF(D20="Long",(H20-E20)/(E20-F20),(E20-H20)/(F20-E20)),2))</f>
        <v/>
      </c>
    </row>
    <row r="21" customFormat="false" ht="15" hidden="false" customHeight="false" outlineLevel="0" collapsed="false">
      <c r="C21" s="34"/>
      <c r="D21" s="34"/>
      <c r="E21" s="35"/>
      <c r="F21" s="35"/>
      <c r="G21" s="35"/>
      <c r="H21" s="35"/>
      <c r="I21" s="36" t="str">
        <f aca="false">IF(OR(G21="",E21="",F21="",E21=F21),"",ROUND(IF(D21="Long",(G21-E21)/(E21-F21),(E21-G21)/(F21-E21)),2))</f>
        <v/>
      </c>
      <c r="J21" s="36" t="str">
        <f aca="false">IF(OR(H21="",E21="",F21="",E21=F21),"",ROUND(IF(D21="Long",(H21-E21)/(E21-F21),(E21-H21)/(F21-E21)),2))</f>
        <v/>
      </c>
    </row>
    <row r="22" customFormat="false" ht="15" hidden="false" customHeight="false" outlineLevel="0" collapsed="false">
      <c r="C22" s="34"/>
      <c r="D22" s="34"/>
      <c r="E22" s="35"/>
      <c r="F22" s="35"/>
      <c r="G22" s="35"/>
      <c r="H22" s="35"/>
      <c r="I22" s="36" t="str">
        <f aca="false">IF(OR(G22="",E22="",F22="",E22=F22),"",ROUND(IF(D22="Long",(G22-E22)/(E22-F22),(E22-G22)/(F22-E22)),2))</f>
        <v/>
      </c>
      <c r="J22" s="36" t="str">
        <f aca="false">IF(OR(H22="",E22="",F22="",E22=F22),"",ROUND(IF(D22="Long",(H22-E22)/(E22-F22),(E22-H22)/(F22-E22)),2))</f>
        <v/>
      </c>
    </row>
    <row r="23" customFormat="false" ht="15" hidden="false" customHeight="false" outlineLevel="0" collapsed="false">
      <c r="C23" s="34"/>
      <c r="D23" s="34"/>
      <c r="E23" s="35"/>
      <c r="F23" s="35"/>
      <c r="G23" s="35"/>
      <c r="H23" s="35"/>
      <c r="I23" s="36" t="str">
        <f aca="false">IF(OR(G23="",E23="",F23="",E23=F23),"",ROUND(IF(D23="Long",(G23-E23)/(E23-F23),(E23-G23)/(F23-E23)),2))</f>
        <v/>
      </c>
      <c r="J23" s="36" t="str">
        <f aca="false">IF(OR(H23="",E23="",F23="",E23=F23),"",ROUND(IF(D23="Long",(H23-E23)/(E23-F23),(E23-H23)/(F23-E23)),2))</f>
        <v/>
      </c>
    </row>
    <row r="24" customFormat="false" ht="15" hidden="false" customHeight="false" outlineLevel="0" collapsed="false">
      <c r="C24" s="34"/>
      <c r="D24" s="34"/>
      <c r="E24" s="35"/>
      <c r="F24" s="35"/>
      <c r="G24" s="35"/>
      <c r="H24" s="35"/>
      <c r="I24" s="36" t="str">
        <f aca="false">IF(OR(G24="",E24="",F24="",E24=F24),"",ROUND(IF(D24="Long",(G24-E24)/(E24-F24),(E24-G24)/(F24-E24)),2))</f>
        <v/>
      </c>
      <c r="J24" s="36" t="str">
        <f aca="false">IF(OR(H24="",E24="",F24="",E24=F24),"",ROUND(IF(D24="Long",(H24-E24)/(E24-F24),(E24-H24)/(F24-E24)),2))</f>
        <v/>
      </c>
    </row>
    <row r="25" customFormat="false" ht="15" hidden="false" customHeight="false" outlineLevel="0" collapsed="false">
      <c r="C25" s="34"/>
      <c r="D25" s="34"/>
      <c r="E25" s="35"/>
      <c r="F25" s="35"/>
      <c r="G25" s="35"/>
      <c r="H25" s="35"/>
      <c r="I25" s="36" t="str">
        <f aca="false">IF(OR(G25="",E25="",F25="",E25=F25),"",ROUND(IF(D25="Long",(G25-E25)/(E25-F25),(E25-G25)/(F25-E25)),2))</f>
        <v/>
      </c>
      <c r="J25" s="36" t="str">
        <f aca="false">IF(OR(H25="",E25="",F25="",E25=F25),"",ROUND(IF(D25="Long",(H25-E25)/(E25-F25),(E25-H25)/(F25-E25)),2))</f>
        <v/>
      </c>
    </row>
    <row r="26" customFormat="false" ht="15" hidden="false" customHeight="false" outlineLevel="0" collapsed="false">
      <c r="C26" s="34"/>
      <c r="D26" s="34"/>
      <c r="E26" s="35"/>
      <c r="F26" s="35"/>
      <c r="G26" s="35"/>
      <c r="H26" s="35"/>
      <c r="I26" s="36" t="str">
        <f aca="false">IF(OR(G26="",E26="",F26="",E26=F26),"",ROUND(IF(D26="Long",(G26-E26)/(E26-F26),(E26-G26)/(F26-E26)),2))</f>
        <v/>
      </c>
      <c r="J26" s="36" t="str">
        <f aca="false">IF(OR(H26="",E26="",F26="",E26=F26),"",ROUND(IF(D26="Long",(H26-E26)/(E26-F26),(E26-H26)/(F26-E26)),2))</f>
        <v/>
      </c>
    </row>
    <row r="27" customFormat="false" ht="15" hidden="false" customHeight="false" outlineLevel="0" collapsed="false">
      <c r="C27" s="34"/>
      <c r="D27" s="34"/>
      <c r="E27" s="35"/>
      <c r="F27" s="35"/>
      <c r="G27" s="35"/>
      <c r="H27" s="35"/>
      <c r="I27" s="36" t="str">
        <f aca="false">IF(OR(G27="",E27="",F27="",E27=F27),"",ROUND(IF(D27="Long",(G27-E27)/(E27-F27),(E27-G27)/(F27-E27)),2))</f>
        <v/>
      </c>
      <c r="J27" s="36" t="str">
        <f aca="false">IF(OR(H27="",E27="",F27="",E27=F27),"",ROUND(IF(D27="Long",(H27-E27)/(E27-F27),(E27-H27)/(F27-E27)),2))</f>
        <v/>
      </c>
    </row>
    <row r="28" customFormat="false" ht="15" hidden="false" customHeight="false" outlineLevel="0" collapsed="false">
      <c r="C28" s="34"/>
      <c r="D28" s="34"/>
      <c r="E28" s="35"/>
      <c r="F28" s="35"/>
      <c r="G28" s="35"/>
      <c r="H28" s="35"/>
      <c r="I28" s="36" t="str">
        <f aca="false">IF(OR(G28="",E28="",F28="",E28=F28),"",ROUND(IF(D28="Long",(G28-E28)/(E28-F28),(E28-G28)/(F28-E28)),2))</f>
        <v/>
      </c>
      <c r="J28" s="36" t="str">
        <f aca="false">IF(OR(H28="",E28="",F28="",E28=F28),"",ROUND(IF(D28="Long",(H28-E28)/(E28-F28),(E28-H28)/(F28-E28)),2))</f>
        <v/>
      </c>
    </row>
    <row r="29" customFormat="false" ht="15" hidden="false" customHeight="false" outlineLevel="0" collapsed="false">
      <c r="C29" s="34"/>
      <c r="D29" s="34"/>
      <c r="E29" s="35"/>
      <c r="F29" s="35"/>
      <c r="G29" s="35"/>
      <c r="H29" s="35"/>
      <c r="I29" s="36" t="str">
        <f aca="false">IF(OR(G29="",E29="",F29="",E29=F29),"",ROUND(IF(D29="Long",(G29-E29)/(E29-F29),(E29-G29)/(F29-E29)),2))</f>
        <v/>
      </c>
      <c r="J29" s="36" t="str">
        <f aca="false">IF(OR(H29="",E29="",F29="",E29=F29),"",ROUND(IF(D29="Long",(H29-E29)/(E29-F29),(E29-H29)/(F29-E29)),2))</f>
        <v/>
      </c>
    </row>
    <row r="30" customFormat="false" ht="15" hidden="false" customHeight="false" outlineLevel="0" collapsed="false">
      <c r="C30" s="34"/>
      <c r="D30" s="34"/>
      <c r="E30" s="35"/>
      <c r="F30" s="35"/>
      <c r="G30" s="35"/>
      <c r="H30" s="35"/>
      <c r="I30" s="36" t="str">
        <f aca="false">IF(OR(G30="",E30="",F30="",E30=F30),"",ROUND(IF(D30="Long",(G30-E30)/(E30-F30),(E30-G30)/(F30-E30)),2))</f>
        <v/>
      </c>
      <c r="J30" s="36" t="str">
        <f aca="false">IF(OR(H30="",E30="",F30="",E30=F30),"",ROUND(IF(D30="Long",(H30-E30)/(E30-F30),(E30-H30)/(F30-E30)),2))</f>
        <v/>
      </c>
    </row>
    <row r="31" customFormat="false" ht="15" hidden="false" customHeight="false" outlineLevel="0" collapsed="false">
      <c r="C31" s="34"/>
      <c r="D31" s="34"/>
      <c r="E31" s="35"/>
      <c r="F31" s="35"/>
      <c r="G31" s="35"/>
      <c r="H31" s="35"/>
      <c r="I31" s="36" t="str">
        <f aca="false">IF(OR(G31="",E31="",F31="",E31=F31),"",ROUND(IF(D31="Long",(G31-E31)/(E31-F31),(E31-G31)/(F31-E31)),2))</f>
        <v/>
      </c>
      <c r="J31" s="36" t="str">
        <f aca="false">IF(OR(H31="",E31="",F31="",E31=F31),"",ROUND(IF(D31="Long",(H31-E31)/(E31-F31),(E31-H31)/(F31-E31)),2))</f>
        <v/>
      </c>
    </row>
    <row r="32" customFormat="false" ht="15" hidden="false" customHeight="false" outlineLevel="0" collapsed="false">
      <c r="C32" s="34"/>
      <c r="D32" s="34"/>
      <c r="E32" s="35"/>
      <c r="F32" s="35"/>
      <c r="G32" s="35"/>
      <c r="H32" s="35"/>
      <c r="I32" s="36" t="str">
        <f aca="false">IF(OR(G32="",E32="",F32="",E32=F32),"",ROUND(IF(D32="Long",(G32-E32)/(E32-F32),(E32-G32)/(F32-E32)),2))</f>
        <v/>
      </c>
      <c r="J32" s="36" t="str">
        <f aca="false">IF(OR(H32="",E32="",F32="",E32=F32),"",ROUND(IF(D32="Long",(H32-E32)/(E32-F32),(E32-H32)/(F32-E32)),2))</f>
        <v/>
      </c>
    </row>
    <row r="33" customFormat="false" ht="15" hidden="false" customHeight="false" outlineLevel="0" collapsed="false">
      <c r="C33" s="34"/>
      <c r="D33" s="34"/>
      <c r="E33" s="35"/>
      <c r="F33" s="35"/>
      <c r="G33" s="35"/>
      <c r="H33" s="35"/>
      <c r="I33" s="36" t="str">
        <f aca="false">IF(OR(G33="",E33="",F33="",E33=F33),"",ROUND(IF(D33="Long",(G33-E33)/(E33-F33),(E33-G33)/(F33-E33)),2))</f>
        <v/>
      </c>
      <c r="J33" s="36" t="str">
        <f aca="false">IF(OR(H33="",E33="",F33="",E33=F33),"",ROUND(IF(D33="Long",(H33-E33)/(E33-F33),(E33-H33)/(F33-E33)),2))</f>
        <v/>
      </c>
    </row>
    <row r="34" customFormat="false" ht="15" hidden="false" customHeight="false" outlineLevel="0" collapsed="false">
      <c r="C34" s="34"/>
      <c r="D34" s="34"/>
      <c r="E34" s="35"/>
      <c r="F34" s="35"/>
      <c r="G34" s="35"/>
      <c r="H34" s="35"/>
      <c r="I34" s="36" t="str">
        <f aca="false">IF(OR(G34="",E34="",F34="",E34=F34),"",ROUND(IF(D34="Long",(G34-E34)/(E34-F34),(E34-G34)/(F34-E34)),2))</f>
        <v/>
      </c>
      <c r="J34" s="36" t="str">
        <f aca="false">IF(OR(H34="",E34="",F34="",E34=F34),"",ROUND(IF(D34="Long",(H34-E34)/(E34-F34),(E34-H34)/(F34-E34)),2))</f>
        <v/>
      </c>
    </row>
    <row r="35" customFormat="false" ht="15" hidden="false" customHeight="false" outlineLevel="0" collapsed="false">
      <c r="C35" s="34"/>
      <c r="D35" s="34"/>
      <c r="E35" s="35"/>
      <c r="F35" s="35"/>
      <c r="G35" s="35"/>
      <c r="H35" s="35"/>
      <c r="I35" s="36" t="str">
        <f aca="false">IF(OR(G35="",E35="",F35="",E35=F35),"",ROUND(IF(D35="Long",(G35-E35)/(E35-F35),(E35-G35)/(F35-E35)),2))</f>
        <v/>
      </c>
      <c r="J35" s="36" t="str">
        <f aca="false">IF(OR(H35="",E35="",F35="",E35=F35),"",ROUND(IF(D35="Long",(H35-E35)/(E35-F35),(E35-H35)/(F35-E35)),2))</f>
        <v/>
      </c>
    </row>
    <row r="36" customFormat="false" ht="15" hidden="false" customHeight="false" outlineLevel="0" collapsed="false">
      <c r="C36" s="34"/>
      <c r="D36" s="34"/>
      <c r="E36" s="35"/>
      <c r="F36" s="35"/>
      <c r="G36" s="35"/>
      <c r="H36" s="35"/>
      <c r="I36" s="36" t="str">
        <f aca="false">IF(OR(G36="",E36="",F36="",E36=F36),"",ROUND(IF(D36="Long",(G36-E36)/(E36-F36),(E36-G36)/(F36-E36)),2))</f>
        <v/>
      </c>
      <c r="J36" s="36" t="str">
        <f aca="false">IF(OR(H36="",E36="",F36="",E36=F36),"",ROUND(IF(D36="Long",(H36-E36)/(E36-F36),(E36-H36)/(F36-E36)),2))</f>
        <v/>
      </c>
    </row>
    <row r="37" customFormat="false" ht="15" hidden="false" customHeight="false" outlineLevel="0" collapsed="false">
      <c r="C37" s="34"/>
      <c r="D37" s="34"/>
      <c r="E37" s="35"/>
      <c r="F37" s="35"/>
      <c r="G37" s="35"/>
      <c r="H37" s="35"/>
      <c r="I37" s="36" t="str">
        <f aca="false">IF(OR(G37="",E37="",F37="",E37=F37),"",ROUND(IF(D37="Long",(G37-E37)/(E37-F37),(E37-G37)/(F37-E37)),2))</f>
        <v/>
      </c>
      <c r="J37" s="36" t="str">
        <f aca="false">IF(OR(H37="",E37="",F37="",E37=F37),"",ROUND(IF(D37="Long",(H37-E37)/(E37-F37),(E37-H37)/(F37-E37)),2))</f>
        <v/>
      </c>
    </row>
    <row r="38" customFormat="false" ht="15" hidden="false" customHeight="false" outlineLevel="0" collapsed="false">
      <c r="C38" s="34"/>
      <c r="D38" s="34"/>
      <c r="E38" s="35"/>
      <c r="F38" s="35"/>
      <c r="G38" s="35"/>
      <c r="H38" s="35"/>
      <c r="I38" s="36" t="str">
        <f aca="false">IF(OR(G38="",E38="",F38="",E38=F38),"",ROUND(IF(D38="Long",(G38-E38)/(E38-F38),(E38-G38)/(F38-E38)),2))</f>
        <v/>
      </c>
      <c r="J38" s="36" t="str">
        <f aca="false">IF(OR(H38="",E38="",F38="",E38=F38),"",ROUND(IF(D38="Long",(H38-E38)/(E38-F38),(E38-H38)/(F38-E38)),2))</f>
        <v/>
      </c>
    </row>
    <row r="39" customFormat="false" ht="15" hidden="false" customHeight="false" outlineLevel="0" collapsed="false">
      <c r="C39" s="34"/>
      <c r="D39" s="34"/>
      <c r="E39" s="35"/>
      <c r="F39" s="35"/>
      <c r="G39" s="35"/>
      <c r="H39" s="35"/>
      <c r="I39" s="36" t="str">
        <f aca="false">IF(OR(G39="",E39="",F39="",E39=F39),"",ROUND(IF(D39="Long",(G39-E39)/(E39-F39),(E39-G39)/(F39-E39)),2))</f>
        <v/>
      </c>
      <c r="J39" s="36" t="str">
        <f aca="false">IF(OR(H39="",E39="",F39="",E39=F39),"",ROUND(IF(D39="Long",(H39-E39)/(E39-F39),(E39-H39)/(F39-E39)),2))</f>
        <v/>
      </c>
    </row>
    <row r="40" customFormat="false" ht="15" hidden="false" customHeight="false" outlineLevel="0" collapsed="false">
      <c r="C40" s="34"/>
      <c r="D40" s="34"/>
      <c r="E40" s="35"/>
      <c r="F40" s="35"/>
      <c r="G40" s="35"/>
      <c r="H40" s="35"/>
      <c r="I40" s="36" t="str">
        <f aca="false">IF(OR(G40="",E40="",F40="",E40=F40),"",ROUND(IF(D40="Long",(G40-E40)/(E40-F40),(E40-G40)/(F40-E40)),2))</f>
        <v/>
      </c>
      <c r="J40" s="36" t="str">
        <f aca="false">IF(OR(H40="",E40="",F40="",E40=F40),"",ROUND(IF(D40="Long",(H40-E40)/(E40-F40),(E40-H40)/(F40-E40)),2))</f>
        <v/>
      </c>
    </row>
    <row r="41" customFormat="false" ht="15" hidden="false" customHeight="false" outlineLevel="0" collapsed="false">
      <c r="C41" s="34"/>
      <c r="D41" s="34"/>
      <c r="E41" s="35"/>
      <c r="F41" s="35"/>
      <c r="G41" s="35"/>
      <c r="H41" s="35"/>
      <c r="I41" s="36" t="str">
        <f aca="false">IF(OR(G41="",E41="",F41="",E41=F41),"",ROUND(IF(D41="Long",(G41-E41)/(E41-F41),(E41-G41)/(F41-E41)),2))</f>
        <v/>
      </c>
      <c r="J41" s="36" t="str">
        <f aca="false">IF(OR(H41="",E41="",F41="",E41=F41),"",ROUND(IF(D41="Long",(H41-E41)/(E41-F41),(E41-H41)/(F41-E41)),2))</f>
        <v/>
      </c>
    </row>
    <row r="42" customFormat="false" ht="15" hidden="false" customHeight="false" outlineLevel="0" collapsed="false">
      <c r="C42" s="34"/>
      <c r="D42" s="34"/>
      <c r="E42" s="35"/>
      <c r="F42" s="35"/>
      <c r="G42" s="35"/>
      <c r="H42" s="35"/>
      <c r="I42" s="36" t="str">
        <f aca="false">IF(OR(G42="",E42="",F42="",E42=F42),"",ROUND(IF(D42="Long",(G42-E42)/(E42-F42),(E42-G42)/(F42-E42)),2))</f>
        <v/>
      </c>
      <c r="J42" s="36" t="str">
        <f aca="false">IF(OR(H42="",E42="",F42="",E42=F42),"",ROUND(IF(D42="Long",(H42-E42)/(E42-F42),(E42-H42)/(F42-E42)),2))</f>
        <v/>
      </c>
    </row>
    <row r="43" customFormat="false" ht="15" hidden="false" customHeight="false" outlineLevel="0" collapsed="false">
      <c r="C43" s="34"/>
      <c r="D43" s="34"/>
      <c r="E43" s="35"/>
      <c r="F43" s="35"/>
      <c r="G43" s="35"/>
      <c r="H43" s="35"/>
      <c r="I43" s="36" t="str">
        <f aca="false">IF(OR(G43="",E43="",F43="",E43=F43),"",ROUND(IF(D43="Long",(G43-E43)/(E43-F43),(E43-G43)/(F43-E43)),2))</f>
        <v/>
      </c>
      <c r="J43" s="36" t="str">
        <f aca="false">IF(OR(H43="",E43="",F43="",E43=F43),"",ROUND(IF(D43="Long",(H43-E43)/(E43-F43),(E43-H43)/(F43-E43)),2))</f>
        <v/>
      </c>
    </row>
    <row r="44" customFormat="false" ht="15" hidden="false" customHeight="false" outlineLevel="0" collapsed="false">
      <c r="C44" s="34"/>
      <c r="D44" s="34"/>
      <c r="E44" s="35"/>
      <c r="F44" s="35"/>
      <c r="G44" s="35"/>
      <c r="H44" s="35"/>
      <c r="I44" s="36" t="str">
        <f aca="false">IF(OR(G44="",E44="",F44="",E44=F44),"",ROUND(IF(D44="Long",(G44-E44)/(E44-F44),(E44-G44)/(F44-E44)),2))</f>
        <v/>
      </c>
      <c r="J44" s="36" t="str">
        <f aca="false">IF(OR(H44="",E44="",F44="",E44=F44),"",ROUND(IF(D44="Long",(H44-E44)/(E44-F44),(E44-H44)/(F44-E44)),2))</f>
        <v/>
      </c>
    </row>
    <row r="45" customFormat="false" ht="15" hidden="false" customHeight="false" outlineLevel="0" collapsed="false">
      <c r="C45" s="34"/>
      <c r="D45" s="34"/>
      <c r="E45" s="35"/>
      <c r="F45" s="35"/>
      <c r="G45" s="35"/>
      <c r="H45" s="35"/>
      <c r="I45" s="36" t="str">
        <f aca="false">IF(OR(G45="",E45="",F45="",E45=F45),"",ROUND(IF(D45="Long",(G45-E45)/(E45-F45),(E45-G45)/(F45-E45)),2))</f>
        <v/>
      </c>
      <c r="J45" s="36" t="str">
        <f aca="false">IF(OR(H45="",E45="",F45="",E45=F45),"",ROUND(IF(D45="Long",(H45-E45)/(E45-F45),(E45-H45)/(F45-E45)),2))</f>
        <v/>
      </c>
    </row>
    <row r="46" customFormat="false" ht="15" hidden="false" customHeight="false" outlineLevel="0" collapsed="false">
      <c r="C46" s="34"/>
      <c r="D46" s="34"/>
      <c r="E46" s="35"/>
      <c r="F46" s="35"/>
      <c r="G46" s="35"/>
      <c r="H46" s="35"/>
      <c r="I46" s="36" t="str">
        <f aca="false">IF(OR(G46="",E46="",F46="",E46=F46),"",ROUND(IF(D46="Long",(G46-E46)/(E46-F46),(E46-G46)/(F46-E46)),2))</f>
        <v/>
      </c>
      <c r="J46" s="36" t="str">
        <f aca="false">IF(OR(H46="",E46="",F46="",E46=F46),"",ROUND(IF(D46="Long",(H46-E46)/(E46-F46),(E46-H46)/(F46-E46)),2))</f>
        <v/>
      </c>
    </row>
    <row r="47" customFormat="false" ht="15" hidden="false" customHeight="false" outlineLevel="0" collapsed="false">
      <c r="C47" s="34"/>
      <c r="D47" s="34"/>
      <c r="E47" s="35"/>
      <c r="F47" s="35"/>
      <c r="G47" s="35"/>
      <c r="H47" s="35"/>
      <c r="I47" s="36" t="str">
        <f aca="false">IF(OR(G47="",E47="",F47="",E47=F47),"",ROUND(IF(D47="Long",(G47-E47)/(E47-F47),(E47-G47)/(F47-E47)),2))</f>
        <v/>
      </c>
      <c r="J47" s="36" t="str">
        <f aca="false">IF(OR(H47="",E47="",F47="",E47=F47),"",ROUND(IF(D47="Long",(H47-E47)/(E47-F47),(E47-H47)/(F47-E47)),2))</f>
        <v/>
      </c>
    </row>
    <row r="48" customFormat="false" ht="15" hidden="false" customHeight="false" outlineLevel="0" collapsed="false">
      <c r="C48" s="34"/>
      <c r="D48" s="34"/>
      <c r="E48" s="35"/>
      <c r="F48" s="35"/>
      <c r="G48" s="35"/>
      <c r="H48" s="35"/>
      <c r="I48" s="36" t="str">
        <f aca="false">IF(OR(G48="",E48="",F48="",E48=F48),"",ROUND(IF(D48="Long",(G48-E48)/(E48-F48),(E48-G48)/(F48-E48)),2))</f>
        <v/>
      </c>
      <c r="J48" s="36" t="str">
        <f aca="false">IF(OR(H48="",E48="",F48="",E48=F48),"",ROUND(IF(D48="Long",(H48-E48)/(E48-F48),(E48-H48)/(F48-E48)),2))</f>
        <v/>
      </c>
    </row>
    <row r="49" customFormat="false" ht="15" hidden="false" customHeight="false" outlineLevel="0" collapsed="false">
      <c r="C49" s="34"/>
      <c r="D49" s="34"/>
      <c r="E49" s="35"/>
      <c r="F49" s="35"/>
      <c r="G49" s="35"/>
      <c r="H49" s="35"/>
      <c r="I49" s="36" t="str">
        <f aca="false">IF(OR(G49="",E49="",F49="",E49=F49),"",ROUND(IF(D49="Long",(G49-E49)/(E49-F49),(E49-G49)/(F49-E49)),2))</f>
        <v/>
      </c>
      <c r="J49" s="36" t="str">
        <f aca="false">IF(OR(H49="",E49="",F49="",E49=F49),"",ROUND(IF(D49="Long",(H49-E49)/(E49-F49),(E49-H49)/(F49-E49)),2))</f>
        <v/>
      </c>
    </row>
    <row r="50" customFormat="false" ht="15" hidden="false" customHeight="false" outlineLevel="0" collapsed="false">
      <c r="C50" s="34"/>
      <c r="D50" s="34"/>
      <c r="E50" s="35"/>
      <c r="F50" s="35"/>
      <c r="G50" s="35"/>
      <c r="H50" s="35"/>
      <c r="I50" s="36" t="str">
        <f aca="false">IF(OR(G50="",E50="",F50="",E50=F50),"",ROUND(IF(D50="Long",(G50-E50)/(E50-F50),(E50-G50)/(F50-E50)),2))</f>
        <v/>
      </c>
      <c r="J50" s="36" t="str">
        <f aca="false">IF(OR(H50="",E50="",F50="",E50=F50),"",ROUND(IF(D50="Long",(H50-E50)/(E50-F50),(E50-H50)/(F50-E50)),2))</f>
        <v/>
      </c>
    </row>
    <row r="51" customFormat="false" ht="15" hidden="false" customHeight="false" outlineLevel="0" collapsed="false">
      <c r="C51" s="34"/>
      <c r="D51" s="34"/>
      <c r="E51" s="35"/>
      <c r="F51" s="35"/>
      <c r="G51" s="35"/>
      <c r="H51" s="35"/>
      <c r="I51" s="36" t="str">
        <f aca="false">IF(OR(G51="",E51="",F51="",E51=F51),"",ROUND(IF(D51="Long",(G51-E51)/(E51-F51),(E51-G51)/(F51-E51)),2))</f>
        <v/>
      </c>
      <c r="J51" s="36" t="str">
        <f aca="false">IF(OR(H51="",E51="",F51="",E51=F51),"",ROUND(IF(D51="Long",(H51-E51)/(E51-F51),(E51-H51)/(F51-E51)),2))</f>
        <v/>
      </c>
    </row>
    <row r="52" customFormat="false" ht="15" hidden="false" customHeight="false" outlineLevel="0" collapsed="false">
      <c r="C52" s="34"/>
      <c r="D52" s="34"/>
      <c r="E52" s="35"/>
      <c r="F52" s="35"/>
      <c r="G52" s="35"/>
      <c r="H52" s="35"/>
      <c r="I52" s="36" t="str">
        <f aca="false">IF(OR(G52="",E52="",F52="",E52=F52),"",ROUND(IF(D52="Long",(G52-E52)/(E52-F52),(E52-G52)/(F52-E52)),2))</f>
        <v/>
      </c>
      <c r="J52" s="36" t="str">
        <f aca="false">IF(OR(H52="",E52="",F52="",E52=F52),"",ROUND(IF(D52="Long",(H52-E52)/(E52-F52),(E52-H52)/(F52-E52)),2))</f>
        <v/>
      </c>
    </row>
    <row r="53" customFormat="false" ht="15" hidden="false" customHeight="false" outlineLevel="0" collapsed="false">
      <c r="C53" s="34"/>
      <c r="D53" s="34"/>
      <c r="E53" s="35"/>
      <c r="F53" s="35"/>
      <c r="G53" s="35"/>
      <c r="H53" s="35"/>
      <c r="I53" s="36" t="str">
        <f aca="false">IF(OR(G53="",E53="",F53="",E53=F53),"",ROUND(IF(D53="Long",(G53-E53)/(E53-F53),(E53-G53)/(F53-E53)),2))</f>
        <v/>
      </c>
      <c r="J53" s="36" t="str">
        <f aca="false">IF(OR(H53="",E53="",F53="",E53=F53),"",ROUND(IF(D53="Long",(H53-E53)/(E53-F53),(E53-H53)/(F53-E53)),2))</f>
        <v/>
      </c>
    </row>
    <row r="54" customFormat="false" ht="15" hidden="false" customHeight="false" outlineLevel="0" collapsed="false">
      <c r="C54" s="34"/>
      <c r="D54" s="34"/>
      <c r="E54" s="35"/>
      <c r="F54" s="35"/>
      <c r="G54" s="35"/>
      <c r="H54" s="35"/>
      <c r="I54" s="36" t="str">
        <f aca="false">IF(OR(G54="",E54="",F54="",E54=F54),"",ROUND(IF(D54="Long",(G54-E54)/(E54-F54),(E54-G54)/(F54-E54)),2))</f>
        <v/>
      </c>
      <c r="J54" s="36" t="str">
        <f aca="false">IF(OR(H54="",E54="",F54="",E54=F54),"",ROUND(IF(D54="Long",(H54-E54)/(E54-F54),(E54-H54)/(F54-E54)),2))</f>
        <v/>
      </c>
    </row>
    <row r="55" customFormat="false" ht="15" hidden="false" customHeight="false" outlineLevel="0" collapsed="false">
      <c r="C55" s="34"/>
      <c r="D55" s="34"/>
      <c r="E55" s="35"/>
      <c r="F55" s="35"/>
      <c r="G55" s="35"/>
      <c r="H55" s="35"/>
      <c r="I55" s="36" t="str">
        <f aca="false">IF(OR(G55="",E55="",F55="",E55=F55),"",ROUND(IF(D55="Long",(G55-E55)/(E55-F55),(E55-G55)/(F55-E55)),2))</f>
        <v/>
      </c>
      <c r="J55" s="36" t="str">
        <f aca="false">IF(OR(H55="",E55="",F55="",E55=F55),"",ROUND(IF(D55="Long",(H55-E55)/(E55-F55),(E55-H55)/(F55-E55)),2))</f>
        <v/>
      </c>
    </row>
    <row r="56" customFormat="false" ht="15" hidden="false" customHeight="false" outlineLevel="0" collapsed="false">
      <c r="C56" s="34"/>
      <c r="D56" s="34"/>
      <c r="E56" s="35"/>
      <c r="F56" s="35"/>
      <c r="G56" s="35"/>
      <c r="H56" s="35"/>
      <c r="I56" s="36" t="str">
        <f aca="false">IF(OR(G56="",E56="",F56="",E56=F56),"",ROUND(IF(D56="Long",(G56-E56)/(E56-F56),(E56-G56)/(F56-E56)),2))</f>
        <v/>
      </c>
      <c r="J56" s="36" t="str">
        <f aca="false">IF(OR(H56="",E56="",F56="",E56=F56),"",ROUND(IF(D56="Long",(H56-E56)/(E56-F56),(E56-H56)/(F56-E56)),2))</f>
        <v/>
      </c>
    </row>
    <row r="57" customFormat="false" ht="15" hidden="false" customHeight="false" outlineLevel="0" collapsed="false">
      <c r="C57" s="34"/>
      <c r="D57" s="34"/>
      <c r="E57" s="35"/>
      <c r="F57" s="35"/>
      <c r="G57" s="35"/>
      <c r="H57" s="35"/>
      <c r="I57" s="36" t="str">
        <f aca="false">IF(OR(G57="",E57="",F57="",E57=F57),"",ROUND(IF(D57="Long",(G57-E57)/(E57-F57),(E57-G57)/(F57-E57)),2))</f>
        <v/>
      </c>
      <c r="J57" s="36" t="str">
        <f aca="false">IF(OR(H57="",E57="",F57="",E57=F57),"",ROUND(IF(D57="Long",(H57-E57)/(E57-F57),(E57-H57)/(F57-E57)),2))</f>
        <v/>
      </c>
    </row>
    <row r="58" customFormat="false" ht="15" hidden="false" customHeight="false" outlineLevel="0" collapsed="false">
      <c r="C58" s="34"/>
      <c r="D58" s="34"/>
      <c r="E58" s="35"/>
      <c r="F58" s="35"/>
      <c r="G58" s="35"/>
      <c r="H58" s="35"/>
      <c r="I58" s="36" t="str">
        <f aca="false">IF(OR(G58="",E58="",F58="",E58=F58),"",ROUND(IF(D58="Long",(G58-E58)/(E58-F58),(E58-G58)/(F58-E58)),2))</f>
        <v/>
      </c>
      <c r="J58" s="36" t="str">
        <f aca="false">IF(OR(H58="",E58="",F58="",E58=F58),"",ROUND(IF(D58="Long",(H58-E58)/(E58-F58),(E58-H58)/(F58-E58)),2))</f>
        <v/>
      </c>
    </row>
    <row r="59" customFormat="false" ht="15" hidden="false" customHeight="false" outlineLevel="0" collapsed="false">
      <c r="C59" s="34"/>
      <c r="D59" s="34"/>
      <c r="E59" s="35"/>
      <c r="F59" s="35"/>
      <c r="G59" s="35"/>
      <c r="H59" s="35"/>
      <c r="I59" s="36" t="str">
        <f aca="false">IF(OR(G59="",E59="",F59="",E59=F59),"",ROUND(IF(D59="Long",(G59-E59)/(E59-F59),(E59-G59)/(F59-E59)),2))</f>
        <v/>
      </c>
      <c r="J59" s="36" t="str">
        <f aca="false">IF(OR(H59="",E59="",F59="",E59=F59),"",ROUND(IF(D59="Long",(H59-E59)/(E59-F59),(E59-H59)/(F59-E59)),2))</f>
        <v/>
      </c>
    </row>
    <row r="60" customFormat="false" ht="15" hidden="false" customHeight="false" outlineLevel="0" collapsed="false">
      <c r="C60" s="34"/>
      <c r="D60" s="34"/>
      <c r="E60" s="35"/>
      <c r="F60" s="35"/>
      <c r="G60" s="35"/>
      <c r="H60" s="35"/>
      <c r="I60" s="36" t="str">
        <f aca="false">IF(OR(G60="",E60="",F60="",E60=F60),"",ROUND(IF(D60="Long",(G60-E60)/(E60-F60),(E60-G60)/(F60-E60)),2))</f>
        <v/>
      </c>
      <c r="J60" s="36" t="str">
        <f aca="false">IF(OR(H60="",E60="",F60="",E60=F60),"",ROUND(IF(D60="Long",(H60-E60)/(E60-F60),(E60-H60)/(F60-E60)),2))</f>
        <v/>
      </c>
    </row>
    <row r="61" customFormat="false" ht="15" hidden="false" customHeight="false" outlineLevel="0" collapsed="false">
      <c r="C61" s="34"/>
      <c r="D61" s="34"/>
      <c r="E61" s="35"/>
      <c r="F61" s="35"/>
      <c r="G61" s="35"/>
      <c r="H61" s="35"/>
      <c r="I61" s="36" t="str">
        <f aca="false">IF(OR(G61="",E61="",F61="",E61=F61),"",ROUND(IF(D61="Long",(G61-E61)/(E61-F61),(E61-G61)/(F61-E61)),2))</f>
        <v/>
      </c>
      <c r="J61" s="36" t="str">
        <f aca="false">IF(OR(H61="",E61="",F61="",E61=F61),"",ROUND(IF(D61="Long",(H61-E61)/(E61-F61),(E61-H61)/(F61-E61)),2))</f>
        <v/>
      </c>
    </row>
    <row r="62" customFormat="false" ht="15" hidden="false" customHeight="false" outlineLevel="0" collapsed="false">
      <c r="C62" s="34"/>
      <c r="D62" s="34"/>
      <c r="E62" s="35"/>
      <c r="F62" s="35"/>
      <c r="G62" s="35"/>
      <c r="H62" s="35"/>
      <c r="I62" s="36" t="str">
        <f aca="false">IF(OR(G62="",E62="",F62="",E62=F62),"",ROUND(IF(D62="Long",(G62-E62)/(E62-F62),(E62-G62)/(F62-E62)),2))</f>
        <v/>
      </c>
      <c r="J62" s="36" t="str">
        <f aca="false">IF(OR(H62="",E62="",F62="",E62=F62),"",ROUND(IF(D62="Long",(H62-E62)/(E62-F62),(E62-H62)/(F62-E62)),2))</f>
        <v/>
      </c>
    </row>
    <row r="63" customFormat="false" ht="15" hidden="false" customHeight="false" outlineLevel="0" collapsed="false">
      <c r="C63" s="34"/>
      <c r="D63" s="34"/>
      <c r="E63" s="35"/>
      <c r="F63" s="35"/>
      <c r="G63" s="35"/>
      <c r="H63" s="35"/>
      <c r="I63" s="36" t="str">
        <f aca="false">IF(OR(G63="",E63="",F63="",E63=F63),"",ROUND(IF(D63="Long",(G63-E63)/(E63-F63),(E63-G63)/(F63-E63)),2))</f>
        <v/>
      </c>
      <c r="J63" s="36" t="str">
        <f aca="false">IF(OR(H63="",E63="",F63="",E63=F63),"",ROUND(IF(D63="Long",(H63-E63)/(E63-F63),(E63-H63)/(F63-E63)),2))</f>
        <v/>
      </c>
    </row>
    <row r="64" customFormat="false" ht="15" hidden="false" customHeight="false" outlineLevel="0" collapsed="false">
      <c r="C64" s="34"/>
      <c r="D64" s="34"/>
      <c r="E64" s="35"/>
      <c r="F64" s="35"/>
      <c r="G64" s="35"/>
      <c r="H64" s="35"/>
      <c r="I64" s="36" t="str">
        <f aca="false">IF(OR(G64="",E64="",F64="",E64=F64),"",ROUND(IF(D64="Long",(G64-E64)/(E64-F64),(E64-G64)/(F64-E64)),2))</f>
        <v/>
      </c>
      <c r="J64" s="36" t="str">
        <f aca="false">IF(OR(H64="",E64="",F64="",E64=F64),"",ROUND(IF(D64="Long",(H64-E64)/(E64-F64),(E64-H64)/(F64-E64)),2))</f>
        <v/>
      </c>
    </row>
    <row r="65" customFormat="false" ht="15" hidden="false" customHeight="false" outlineLevel="0" collapsed="false">
      <c r="C65" s="34"/>
      <c r="D65" s="34"/>
      <c r="E65" s="35"/>
      <c r="F65" s="35"/>
      <c r="G65" s="35"/>
      <c r="H65" s="35"/>
      <c r="I65" s="36" t="str">
        <f aca="false">IF(OR(G65="",E65="",F65="",E65=F65),"",ROUND(IF(D65="Long",(G65-E65)/(E65-F65),(E65-G65)/(F65-E65)),2))</f>
        <v/>
      </c>
      <c r="J65" s="36" t="str">
        <f aca="false">IF(OR(H65="",E65="",F65="",E65=F65),"",ROUND(IF(D65="Long",(H65-E65)/(E65-F65),(E65-H65)/(F65-E65)),2))</f>
        <v/>
      </c>
    </row>
    <row r="66" customFormat="false" ht="15" hidden="false" customHeight="false" outlineLevel="0" collapsed="false">
      <c r="C66" s="34"/>
      <c r="D66" s="34"/>
      <c r="E66" s="35"/>
      <c r="F66" s="35"/>
      <c r="G66" s="35"/>
      <c r="H66" s="35"/>
      <c r="I66" s="36" t="str">
        <f aca="false">IF(OR(G66="",E66="",F66="",E66=F66),"",ROUND(IF(D66="Long",(G66-E66)/(E66-F66),(E66-G66)/(F66-E66)),2))</f>
        <v/>
      </c>
      <c r="J66" s="36" t="str">
        <f aca="false">IF(OR(H66="",E66="",F66="",E66=F66),"",ROUND(IF(D66="Long",(H66-E66)/(E66-F66),(E66-H66)/(F66-E66)),2))</f>
        <v/>
      </c>
    </row>
    <row r="67" customFormat="false" ht="15" hidden="false" customHeight="false" outlineLevel="0" collapsed="false">
      <c r="C67" s="34"/>
      <c r="D67" s="34"/>
      <c r="E67" s="35"/>
      <c r="F67" s="35"/>
      <c r="G67" s="35"/>
      <c r="H67" s="35"/>
      <c r="I67" s="36" t="str">
        <f aca="false">IF(OR(G67="",E67="",F67="",E67=F67),"",ROUND(IF(D67="Long",(G67-E67)/(E67-F67),(E67-G67)/(F67-E67)),2))</f>
        <v/>
      </c>
      <c r="J67" s="36" t="str">
        <f aca="false">IF(OR(H67="",E67="",F67="",E67=F67),"",ROUND(IF(D67="Long",(H67-E67)/(E67-F67),(E67-H67)/(F67-E67)),2))</f>
        <v/>
      </c>
    </row>
    <row r="68" customFormat="false" ht="15" hidden="false" customHeight="false" outlineLevel="0" collapsed="false">
      <c r="C68" s="34"/>
      <c r="D68" s="34"/>
      <c r="E68" s="35"/>
      <c r="F68" s="35"/>
      <c r="G68" s="35"/>
      <c r="H68" s="35"/>
      <c r="I68" s="36" t="str">
        <f aca="false">IF(OR(G68="",E68="",F68="",E68=F68),"",ROUND(IF(D68="Long",(G68-E68)/(E68-F68),(E68-G68)/(F68-E68)),2))</f>
        <v/>
      </c>
      <c r="J68" s="36" t="str">
        <f aca="false">IF(OR(H68="",E68="",F68="",E68=F68),"",ROUND(IF(D68="Long",(H68-E68)/(E68-F68),(E68-H68)/(F68-E68)),2))</f>
        <v/>
      </c>
    </row>
    <row r="69" customFormat="false" ht="15" hidden="false" customHeight="false" outlineLevel="0" collapsed="false">
      <c r="C69" s="34"/>
      <c r="D69" s="34"/>
      <c r="E69" s="35"/>
      <c r="F69" s="35"/>
      <c r="G69" s="35"/>
      <c r="H69" s="35"/>
      <c r="I69" s="36" t="str">
        <f aca="false">IF(OR(G69="",E69="",F69="",E69=F69),"",ROUND(IF(D69="Long",(G69-E69)/(E69-F69),(E69-G69)/(F69-E69)),2))</f>
        <v/>
      </c>
      <c r="J69" s="36" t="str">
        <f aca="false">IF(OR(H69="",E69="",F69="",E69=F69),"",ROUND(IF(D69="Long",(H69-E69)/(E69-F69),(E69-H69)/(F69-E69)),2))</f>
        <v/>
      </c>
    </row>
    <row r="70" customFormat="false" ht="15" hidden="false" customHeight="false" outlineLevel="0" collapsed="false">
      <c r="C70" s="34"/>
      <c r="D70" s="34"/>
      <c r="E70" s="35"/>
      <c r="F70" s="35"/>
      <c r="G70" s="35"/>
      <c r="H70" s="35"/>
      <c r="I70" s="36" t="str">
        <f aca="false">IF(OR(G70="",E70="",F70="",E70=F70),"",ROUND(IF(D70="Long",(G70-E70)/(E70-F70),(E70-G70)/(F70-E70)),2))</f>
        <v/>
      </c>
      <c r="J70" s="36" t="str">
        <f aca="false">IF(OR(H70="",E70="",F70="",E70=F70),"",ROUND(IF(D70="Long",(H70-E70)/(E70-F70),(E70-H70)/(F70-E70)),2))</f>
        <v/>
      </c>
    </row>
    <row r="71" customFormat="false" ht="15" hidden="false" customHeight="false" outlineLevel="0" collapsed="false">
      <c r="C71" s="34"/>
      <c r="D71" s="34"/>
      <c r="E71" s="35"/>
      <c r="F71" s="35"/>
      <c r="G71" s="35"/>
      <c r="H71" s="35"/>
      <c r="I71" s="36" t="str">
        <f aca="false">IF(OR(G71="",E71="",F71="",E71=F71),"",ROUND(IF(D71="Long",(G71-E71)/(E71-F71),(E71-G71)/(F71-E71)),2))</f>
        <v/>
      </c>
      <c r="J71" s="36" t="str">
        <f aca="false">IF(OR(H71="",E71="",F71="",E71=F71),"",ROUND(IF(D71="Long",(H71-E71)/(E71-F71),(E71-H71)/(F71-E71)),2))</f>
        <v/>
      </c>
    </row>
    <row r="72" customFormat="false" ht="15" hidden="false" customHeight="false" outlineLevel="0" collapsed="false">
      <c r="C72" s="34"/>
      <c r="D72" s="34"/>
      <c r="E72" s="35"/>
      <c r="F72" s="35"/>
      <c r="G72" s="35"/>
      <c r="H72" s="35"/>
      <c r="I72" s="36" t="str">
        <f aca="false">IF(OR(G72="",E72="",F72="",E72=F72),"",ROUND(IF(D72="Long",(G72-E72)/(E72-F72),(E72-G72)/(F72-E72)),2))</f>
        <v/>
      </c>
      <c r="J72" s="36" t="str">
        <f aca="false">IF(OR(H72="",E72="",F72="",E72=F72),"",ROUND(IF(D72="Long",(H72-E72)/(E72-F72),(E72-H72)/(F72-E72)),2))</f>
        <v/>
      </c>
    </row>
    <row r="73" customFormat="false" ht="15" hidden="false" customHeight="false" outlineLevel="0" collapsed="false">
      <c r="C73" s="34"/>
      <c r="D73" s="34"/>
      <c r="E73" s="35"/>
      <c r="F73" s="35"/>
      <c r="G73" s="35"/>
      <c r="H73" s="35"/>
      <c r="I73" s="36" t="str">
        <f aca="false">IF(OR(G73="",E73="",F73="",E73=F73),"",ROUND(IF(D73="Long",(G73-E73)/(E73-F73),(E73-G73)/(F73-E73)),2))</f>
        <v/>
      </c>
      <c r="J73" s="36" t="str">
        <f aca="false">IF(OR(H73="",E73="",F73="",E73=F73),"",ROUND(IF(D73="Long",(H73-E73)/(E73-F73),(E73-H73)/(F73-E73)),2))</f>
        <v/>
      </c>
    </row>
    <row r="74" customFormat="false" ht="15" hidden="false" customHeight="false" outlineLevel="0" collapsed="false">
      <c r="C74" s="34"/>
      <c r="D74" s="34"/>
      <c r="E74" s="35"/>
      <c r="F74" s="35"/>
      <c r="G74" s="35"/>
      <c r="H74" s="35"/>
      <c r="I74" s="36" t="str">
        <f aca="false">IF(OR(G74="",E74="",F74="",E74=F74),"",ROUND(IF(D74="Long",(G74-E74)/(E74-F74),(E74-G74)/(F74-E74)),2))</f>
        <v/>
      </c>
      <c r="J74" s="36" t="str">
        <f aca="false">IF(OR(H74="",E74="",F74="",E74=F74),"",ROUND(IF(D74="Long",(H74-E74)/(E74-F74),(E74-H74)/(F74-E74)),2))</f>
        <v/>
      </c>
    </row>
    <row r="75" customFormat="false" ht="15" hidden="false" customHeight="false" outlineLevel="0" collapsed="false">
      <c r="C75" s="34"/>
      <c r="D75" s="34"/>
      <c r="E75" s="35"/>
      <c r="F75" s="35"/>
      <c r="G75" s="35"/>
      <c r="H75" s="35"/>
      <c r="I75" s="36" t="str">
        <f aca="false">IF(OR(G75="",E75="",F75="",E75=F75),"",ROUND(IF(D75="Long",(G75-E75)/(E75-F75),(E75-G75)/(F75-E75)),2))</f>
        <v/>
      </c>
      <c r="J75" s="36" t="str">
        <f aca="false">IF(OR(H75="",E75="",F75="",E75=F75),"",ROUND(IF(D75="Long",(H75-E75)/(E75-F75),(E75-H75)/(F75-E75)),2))</f>
        <v/>
      </c>
    </row>
    <row r="76" customFormat="false" ht="15" hidden="false" customHeight="false" outlineLevel="0" collapsed="false">
      <c r="C76" s="34"/>
      <c r="D76" s="34"/>
      <c r="E76" s="35"/>
      <c r="F76" s="35"/>
      <c r="G76" s="35"/>
      <c r="H76" s="35"/>
      <c r="I76" s="36" t="str">
        <f aca="false">IF(OR(G76="",E76="",F76="",E76=F76),"",ROUND(IF(D76="Long",(G76-E76)/(E76-F76),(E76-G76)/(F76-E76)),2))</f>
        <v/>
      </c>
      <c r="J76" s="36" t="str">
        <f aca="false">IF(OR(H76="",E76="",F76="",E76=F76),"",ROUND(IF(D76="Long",(H76-E76)/(E76-F76),(E76-H76)/(F76-E76)),2))</f>
        <v/>
      </c>
    </row>
    <row r="77" customFormat="false" ht="15" hidden="false" customHeight="false" outlineLevel="0" collapsed="false">
      <c r="C77" s="34"/>
      <c r="D77" s="34"/>
      <c r="E77" s="35"/>
      <c r="F77" s="35"/>
      <c r="G77" s="35"/>
      <c r="H77" s="35"/>
      <c r="I77" s="36" t="str">
        <f aca="false">IF(OR(G77="",E77="",F77="",E77=F77),"",ROUND(IF(D77="Long",(G77-E77)/(E77-F77),(E77-G77)/(F77-E77)),2))</f>
        <v/>
      </c>
      <c r="J77" s="36" t="str">
        <f aca="false">IF(OR(H77="",E77="",F77="",E77=F77),"",ROUND(IF(D77="Long",(H77-E77)/(E77-F77),(E77-H77)/(F77-E77)),2))</f>
        <v/>
      </c>
    </row>
    <row r="78" customFormat="false" ht="15" hidden="false" customHeight="false" outlineLevel="0" collapsed="false">
      <c r="C78" s="34"/>
      <c r="D78" s="34"/>
      <c r="E78" s="35"/>
      <c r="F78" s="35"/>
      <c r="G78" s="35"/>
      <c r="H78" s="35"/>
      <c r="I78" s="36" t="str">
        <f aca="false">IF(OR(G78="",E78="",F78="",E78=F78),"",ROUND(IF(D78="Long",(G78-E78)/(E78-F78),(E78-G78)/(F78-E78)),2))</f>
        <v/>
      </c>
      <c r="J78" s="36" t="str">
        <f aca="false">IF(OR(H78="",E78="",F78="",E78=F78),"",ROUND(IF(D78="Long",(H78-E78)/(E78-F78),(E78-H78)/(F78-E78)),2))</f>
        <v/>
      </c>
    </row>
  </sheetData>
  <conditionalFormatting sqref="J8:J13">
    <cfRule type="cellIs" priority="2" operator="equal" aboveAverage="0" equalAverage="0" bottom="0" percent="0" rank="0" text="" dxfId="0">
      <formula>"Too wide"</formula>
    </cfRule>
  </conditionalFormatting>
  <dataValidations count="2">
    <dataValidation allowBlank="true" errorStyle="stop" operator="between" showDropDown="false" showErrorMessage="false" showInputMessage="false" sqref="C19:C78" type="list">
      <formula1>Inputs!$F$44:$K$44</formula1>
      <formula2>0</formula2>
    </dataValidation>
    <dataValidation allowBlank="true" errorStyle="stop" operator="between" showDropDown="false" showErrorMessage="false" showInputMessage="false" sqref="D19:D78" type="list">
      <formula1>Inputs!$F$45:$G$45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4" min="10" style="0" width="10"/>
    <col collapsed="false" customWidth="true" hidden="false" outlineLevel="0" max="15" min="15" style="0" width="11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  <col collapsed="false" customWidth="true" hidden="false" outlineLevel="0" max="23" min="23" style="0" width="10"/>
    <col collapsed="false" customWidth="true" hidden="false" outlineLevel="0" max="24" min="24" style="0" width="11"/>
    <col collapsed="false" customWidth="true" hidden="false" outlineLevel="0" max="27" min="25" style="0" width="7"/>
    <col collapsed="false" customWidth="true" hidden="false" outlineLevel="0" max="28" min="28" style="0" width="8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9</v>
      </c>
    </row>
    <row r="3" customFormat="false" ht="15" hidden="false" customHeight="false" outlineLevel="0" collapsed="false">
      <c r="B3" s="2" t="s">
        <v>199</v>
      </c>
    </row>
    <row r="4" customFormat="false" ht="15" hidden="false" customHeight="false" outlineLevel="0" collapsed="false">
      <c r="B4" s="12" t="s">
        <v>200</v>
      </c>
    </row>
    <row r="5" customFormat="false" ht="30" hidden="false" customHeight="true" outlineLevel="0" collapsed="false">
      <c r="B5" s="20" t="s">
        <v>40</v>
      </c>
      <c r="C5" s="20" t="s">
        <v>201</v>
      </c>
      <c r="D5" s="20" t="s">
        <v>202</v>
      </c>
      <c r="E5" s="20" t="s">
        <v>203</v>
      </c>
      <c r="F5" s="20" t="s">
        <v>168</v>
      </c>
      <c r="G5" s="20" t="s">
        <v>44</v>
      </c>
      <c r="H5" s="20" t="s">
        <v>204</v>
      </c>
      <c r="I5" s="20" t="s">
        <v>205</v>
      </c>
      <c r="J5" s="20" t="s">
        <v>192</v>
      </c>
      <c r="K5" s="20" t="s">
        <v>193</v>
      </c>
      <c r="L5" s="20" t="s">
        <v>84</v>
      </c>
      <c r="M5" s="20" t="s">
        <v>194</v>
      </c>
      <c r="N5" s="20" t="s">
        <v>206</v>
      </c>
      <c r="O5" s="20" t="s">
        <v>54</v>
      </c>
      <c r="P5" s="20" t="s">
        <v>56</v>
      </c>
      <c r="Q5" s="20" t="s">
        <v>207</v>
      </c>
      <c r="R5" s="20" t="s">
        <v>175</v>
      </c>
      <c r="S5" s="20" t="s">
        <v>208</v>
      </c>
      <c r="T5" s="20" t="s">
        <v>195</v>
      </c>
      <c r="U5" s="20" t="s">
        <v>209</v>
      </c>
      <c r="V5" s="20" t="s">
        <v>210</v>
      </c>
      <c r="W5" s="20" t="s">
        <v>211</v>
      </c>
      <c r="X5" s="20" t="s">
        <v>212</v>
      </c>
      <c r="Y5" s="37" t="s">
        <v>213</v>
      </c>
      <c r="Z5" s="37" t="s">
        <v>214</v>
      </c>
      <c r="AA5" s="37" t="s">
        <v>215</v>
      </c>
      <c r="AB5" s="37" t="s">
        <v>216</v>
      </c>
    </row>
    <row r="6" customFormat="false" ht="15" hidden="false" customHeight="false" outlineLevel="0" collapsed="false">
      <c r="B6" s="21" t="s">
        <v>217</v>
      </c>
      <c r="C6" s="21" t="s">
        <v>218</v>
      </c>
      <c r="D6" s="21" t="s">
        <v>218</v>
      </c>
      <c r="E6" s="21" t="s">
        <v>197</v>
      </c>
      <c r="F6" s="21" t="s">
        <v>197</v>
      </c>
      <c r="G6" s="21" t="s">
        <v>197</v>
      </c>
      <c r="H6" s="21" t="s">
        <v>219</v>
      </c>
      <c r="I6" s="21" t="s">
        <v>219</v>
      </c>
      <c r="J6" s="21" t="s">
        <v>180</v>
      </c>
      <c r="K6" s="21" t="s">
        <v>180</v>
      </c>
      <c r="L6" s="21" t="s">
        <v>180</v>
      </c>
      <c r="M6" s="21" t="s">
        <v>180</v>
      </c>
      <c r="N6" s="21" t="s">
        <v>197</v>
      </c>
      <c r="O6" s="21" t="s">
        <v>180</v>
      </c>
      <c r="P6" s="21" t="s">
        <v>197</v>
      </c>
      <c r="Q6" s="21" t="s">
        <v>220</v>
      </c>
      <c r="R6" s="21" t="s">
        <v>21</v>
      </c>
      <c r="S6" s="21" t="s">
        <v>219</v>
      </c>
      <c r="T6" s="21" t="s">
        <v>21</v>
      </c>
      <c r="U6" s="21" t="s">
        <v>21</v>
      </c>
      <c r="V6" s="21" t="s">
        <v>21</v>
      </c>
      <c r="W6" s="21" t="s">
        <v>221</v>
      </c>
      <c r="X6" s="21" t="s">
        <v>221</v>
      </c>
      <c r="Y6" s="21" t="s">
        <v>222</v>
      </c>
      <c r="Z6" s="21" t="s">
        <v>222</v>
      </c>
      <c r="AA6" s="21" t="s">
        <v>222</v>
      </c>
      <c r="AB6" s="21" t="s">
        <v>222</v>
      </c>
    </row>
    <row r="7" customFormat="false" ht="15" hidden="false" customHeight="false" outlineLevel="0" collapsed="false">
      <c r="B7" s="38"/>
      <c r="C7" s="39" t="str">
        <f aca="false">IF(B7="","",INT((B7-Inputs!$F$8)/7)+1)</f>
        <v/>
      </c>
      <c r="D7" s="39" t="str">
        <f aca="false">IF(B7="","",COUNTIF(B$7:B7,B7))</f>
        <v/>
      </c>
      <c r="E7" s="34"/>
      <c r="F7" s="34"/>
      <c r="G7" s="34"/>
      <c r="H7" s="34"/>
      <c r="I7" s="34"/>
      <c r="J7" s="35"/>
      <c r="K7" s="35"/>
      <c r="L7" s="40" t="str">
        <f aca="false">IF(OR(J7="",K7=""),"",IF(G7="Long",J7+Inputs!$F$15*(J7-K7),J7-Inputs!$F$15*(K7-J7)))</f>
        <v/>
      </c>
      <c r="M7" s="35"/>
      <c r="N7" s="34"/>
      <c r="O7" s="35"/>
      <c r="P7" s="34"/>
      <c r="Q7" s="41"/>
      <c r="R7" s="36" t="str">
        <f aca="false">IF(OR(M7="",J7="",K7="",J7=K7),"",ROUND(IF(G7="Long",(M7-J7)/(J7-K7),(J7-M7)/(K7-J7)),2))</f>
        <v/>
      </c>
      <c r="S7" s="39" t="str">
        <f aca="false">IF(B7="","",IF(AND(I7="Y",OR(P7="None",P7="")),"Yes","No"))</f>
        <v/>
      </c>
      <c r="T7" s="36" t="str">
        <f aca="false">IF(OR(O7="",J7="",K7="",J7=K7),"",ROUND(IF(G7="Long",(O7-J7)/(J7-K7),(J7-O7)/(K7-J7)),2))</f>
        <v/>
      </c>
      <c r="U7" s="36" t="str">
        <f aca="false">IF(OR(R7="",T7=""),"",IF(T7&gt;=2,2,IF(N7="Target",-1,R7)))</f>
        <v/>
      </c>
      <c r="V7" s="36" t="str">
        <f aca="false">IF(OR(R7="",T7=""),"",IF(T7&gt;=3,3,IF(N7="Target",-1,R7)))</f>
        <v/>
      </c>
      <c r="W7" s="42" t="str">
        <f aca="false">IF(R7="","",ROUND(R7*(Inputs!$F$9+SUM(W$6:W6))*Inputs!$F$10,2))</f>
        <v/>
      </c>
      <c r="X7" s="42" t="str">
        <f aca="false">IF(R7="","",Inputs!$F$9+SUM(W$7:W7))</f>
        <v/>
      </c>
      <c r="Y7" s="43" t="str">
        <f aca="false">IF(S7="Yes",R7,"")</f>
        <v/>
      </c>
      <c r="Z7" s="43" t="str">
        <f aca="false">IF(Y7="","",SUM(Y$7:Y7))</f>
        <v/>
      </c>
      <c r="AA7" s="43" t="str">
        <f aca="false">IF(Y7="","",MAX(0,MAX(Z$7:Z7)))</f>
        <v/>
      </c>
      <c r="AB7" s="43" t="str">
        <f aca="false">IF(Y7="","",Z7-AA7)</f>
        <v/>
      </c>
    </row>
    <row r="8" customFormat="false" ht="15" hidden="false" customHeight="false" outlineLevel="0" collapsed="false">
      <c r="B8" s="38"/>
      <c r="C8" s="39" t="str">
        <f aca="false">IF(B8="","",INT((B8-Inputs!$F$8)/7)+1)</f>
        <v/>
      </c>
      <c r="D8" s="39" t="str">
        <f aca="false">IF(B8="","",COUNTIF(B$7:B8,B8))</f>
        <v/>
      </c>
      <c r="E8" s="34"/>
      <c r="F8" s="34"/>
      <c r="G8" s="34"/>
      <c r="H8" s="34"/>
      <c r="I8" s="34"/>
      <c r="J8" s="35"/>
      <c r="K8" s="35"/>
      <c r="L8" s="40" t="str">
        <f aca="false">IF(OR(J8="",K8=""),"",IF(G8="Long",J8+Inputs!$F$15*(J8-K8),J8-Inputs!$F$15*(K8-J8)))</f>
        <v/>
      </c>
      <c r="M8" s="35"/>
      <c r="N8" s="34"/>
      <c r="O8" s="35"/>
      <c r="P8" s="34"/>
      <c r="Q8" s="41"/>
      <c r="R8" s="36" t="str">
        <f aca="false">IF(OR(M8="",J8="",K8="",J8=K8),"",ROUND(IF(G8="Long",(M8-J8)/(J8-K8),(J8-M8)/(K8-J8)),2))</f>
        <v/>
      </c>
      <c r="S8" s="39" t="str">
        <f aca="false">IF(B8="","",IF(AND(I8="Y",OR(P8="None",P8="")),"Yes","No"))</f>
        <v/>
      </c>
      <c r="T8" s="36" t="str">
        <f aca="false">IF(OR(O8="",J8="",K8="",J8=K8),"",ROUND(IF(G8="Long",(O8-J8)/(J8-K8),(J8-O8)/(K8-J8)),2))</f>
        <v/>
      </c>
      <c r="U8" s="36" t="str">
        <f aca="false">IF(OR(R8="",T8=""),"",IF(T8&gt;=2,2,IF(N8="Target",-1,R8)))</f>
        <v/>
      </c>
      <c r="V8" s="36" t="str">
        <f aca="false">IF(OR(R8="",T8=""),"",IF(T8&gt;=3,3,IF(N8="Target",-1,R8)))</f>
        <v/>
      </c>
      <c r="W8" s="42" t="str">
        <f aca="false">IF(R8="","",ROUND(R8*(Inputs!$F$9+SUM(W$6:W7))*Inputs!$F$10,2))</f>
        <v/>
      </c>
      <c r="X8" s="42" t="str">
        <f aca="false">IF(R8="","",Inputs!$F$9+SUM(W$7:W8))</f>
        <v/>
      </c>
      <c r="Y8" s="43" t="str">
        <f aca="false">IF(S8="Yes",R8,"")</f>
        <v/>
      </c>
      <c r="Z8" s="43" t="str">
        <f aca="false">IF(Y8="","",SUM(Y$7:Y8))</f>
        <v/>
      </c>
      <c r="AA8" s="43" t="str">
        <f aca="false">IF(Y8="","",MAX(0,MAX(Z$7:Z8)))</f>
        <v/>
      </c>
      <c r="AB8" s="43" t="str">
        <f aca="false">IF(Y8="","",Z8-AA8)</f>
        <v/>
      </c>
    </row>
    <row r="9" customFormat="false" ht="15" hidden="false" customHeight="false" outlineLevel="0" collapsed="false">
      <c r="B9" s="38"/>
      <c r="C9" s="39" t="str">
        <f aca="false">IF(B9="","",INT((B9-Inputs!$F$8)/7)+1)</f>
        <v/>
      </c>
      <c r="D9" s="39" t="str">
        <f aca="false">IF(B9="","",COUNTIF(B$7:B9,B9))</f>
        <v/>
      </c>
      <c r="E9" s="34"/>
      <c r="F9" s="34"/>
      <c r="G9" s="34"/>
      <c r="H9" s="34"/>
      <c r="I9" s="34"/>
      <c r="J9" s="35"/>
      <c r="K9" s="35"/>
      <c r="L9" s="40" t="str">
        <f aca="false">IF(OR(J9="",K9=""),"",IF(G9="Long",J9+Inputs!$F$15*(J9-K9),J9-Inputs!$F$15*(K9-J9)))</f>
        <v/>
      </c>
      <c r="M9" s="35"/>
      <c r="N9" s="34"/>
      <c r="O9" s="35"/>
      <c r="P9" s="34"/>
      <c r="Q9" s="41"/>
      <c r="R9" s="36" t="str">
        <f aca="false">IF(OR(M9="",J9="",K9="",J9=K9),"",ROUND(IF(G9="Long",(M9-J9)/(J9-K9),(J9-M9)/(K9-J9)),2))</f>
        <v/>
      </c>
      <c r="S9" s="39" t="str">
        <f aca="false">IF(B9="","",IF(AND(I9="Y",OR(P9="None",P9="")),"Yes","No"))</f>
        <v/>
      </c>
      <c r="T9" s="36" t="str">
        <f aca="false">IF(OR(O9="",J9="",K9="",J9=K9),"",ROUND(IF(G9="Long",(O9-J9)/(J9-K9),(J9-O9)/(K9-J9)),2))</f>
        <v/>
      </c>
      <c r="U9" s="36" t="str">
        <f aca="false">IF(OR(R9="",T9=""),"",IF(T9&gt;=2,2,IF(N9="Target",-1,R9)))</f>
        <v/>
      </c>
      <c r="V9" s="36" t="str">
        <f aca="false">IF(OR(R9="",T9=""),"",IF(T9&gt;=3,3,IF(N9="Target",-1,R9)))</f>
        <v/>
      </c>
      <c r="W9" s="42" t="str">
        <f aca="false">IF(R9="","",ROUND(R9*(Inputs!$F$9+SUM(W$6:W8))*Inputs!$F$10,2))</f>
        <v/>
      </c>
      <c r="X9" s="42" t="str">
        <f aca="false">IF(R9="","",Inputs!$F$9+SUM(W$7:W9))</f>
        <v/>
      </c>
      <c r="Y9" s="43" t="str">
        <f aca="false">IF(S9="Yes",R9,"")</f>
        <v/>
      </c>
      <c r="Z9" s="43" t="str">
        <f aca="false">IF(Y9="","",SUM(Y$7:Y9))</f>
        <v/>
      </c>
      <c r="AA9" s="43" t="str">
        <f aca="false">IF(Y9="","",MAX(0,MAX(Z$7:Z9)))</f>
        <v/>
      </c>
      <c r="AB9" s="43" t="str">
        <f aca="false">IF(Y9="","",Z9-AA9)</f>
        <v/>
      </c>
    </row>
    <row r="10" customFormat="false" ht="15" hidden="false" customHeight="false" outlineLevel="0" collapsed="false">
      <c r="B10" s="38"/>
      <c r="C10" s="39" t="str">
        <f aca="false">IF(B10="","",INT((B10-Inputs!$F$8)/7)+1)</f>
        <v/>
      </c>
      <c r="D10" s="39" t="str">
        <f aca="false">IF(B10="","",COUNTIF(B$7:B10,B10))</f>
        <v/>
      </c>
      <c r="E10" s="34"/>
      <c r="F10" s="34"/>
      <c r="G10" s="34"/>
      <c r="H10" s="34"/>
      <c r="I10" s="34"/>
      <c r="J10" s="35"/>
      <c r="K10" s="35"/>
      <c r="L10" s="40" t="str">
        <f aca="false">IF(OR(J10="",K10=""),"",IF(G10="Long",J10+Inputs!$F$15*(J10-K10),J10-Inputs!$F$15*(K10-J10)))</f>
        <v/>
      </c>
      <c r="M10" s="35"/>
      <c r="N10" s="34"/>
      <c r="O10" s="35"/>
      <c r="P10" s="34"/>
      <c r="Q10" s="41"/>
      <c r="R10" s="36" t="str">
        <f aca="false">IF(OR(M10="",J10="",K10="",J10=K10),"",ROUND(IF(G10="Long",(M10-J10)/(J10-K10),(J10-M10)/(K10-J10)),2))</f>
        <v/>
      </c>
      <c r="S10" s="39" t="str">
        <f aca="false">IF(B10="","",IF(AND(I10="Y",OR(P10="None",P10="")),"Yes","No"))</f>
        <v/>
      </c>
      <c r="T10" s="36" t="str">
        <f aca="false">IF(OR(O10="",J10="",K10="",J10=K10),"",ROUND(IF(G10="Long",(O10-J10)/(J10-K10),(J10-O10)/(K10-J10)),2))</f>
        <v/>
      </c>
      <c r="U10" s="36" t="str">
        <f aca="false">IF(OR(R10="",T10=""),"",IF(T10&gt;=2,2,IF(N10="Target",-1,R10)))</f>
        <v/>
      </c>
      <c r="V10" s="36" t="str">
        <f aca="false">IF(OR(R10="",T10=""),"",IF(T10&gt;=3,3,IF(N10="Target",-1,R10)))</f>
        <v/>
      </c>
      <c r="W10" s="42" t="str">
        <f aca="false">IF(R10="","",ROUND(R10*(Inputs!$F$9+SUM(W$6:W9))*Inputs!$F$10,2))</f>
        <v/>
      </c>
      <c r="X10" s="42" t="str">
        <f aca="false">IF(R10="","",Inputs!$F$9+SUM(W$7:W10))</f>
        <v/>
      </c>
      <c r="Y10" s="43" t="str">
        <f aca="false">IF(S10="Yes",R10,"")</f>
        <v/>
      </c>
      <c r="Z10" s="43" t="str">
        <f aca="false">IF(Y10="","",SUM(Y$7:Y10))</f>
        <v/>
      </c>
      <c r="AA10" s="43" t="str">
        <f aca="false">IF(Y10="","",MAX(0,MAX(Z$7:Z10)))</f>
        <v/>
      </c>
      <c r="AB10" s="43" t="str">
        <f aca="false">IF(Y10="","",Z10-AA10)</f>
        <v/>
      </c>
    </row>
    <row r="11" customFormat="false" ht="15" hidden="false" customHeight="false" outlineLevel="0" collapsed="false">
      <c r="B11" s="38"/>
      <c r="C11" s="39" t="str">
        <f aca="false">IF(B11="","",INT((B11-Inputs!$F$8)/7)+1)</f>
        <v/>
      </c>
      <c r="D11" s="39" t="str">
        <f aca="false">IF(B11="","",COUNTIF(B$7:B11,B11))</f>
        <v/>
      </c>
      <c r="E11" s="34"/>
      <c r="F11" s="34"/>
      <c r="G11" s="34"/>
      <c r="H11" s="34"/>
      <c r="I11" s="34"/>
      <c r="J11" s="35"/>
      <c r="K11" s="35"/>
      <c r="L11" s="40" t="str">
        <f aca="false">IF(OR(J11="",K11=""),"",IF(G11="Long",J11+Inputs!$F$15*(J11-K11),J11-Inputs!$F$15*(K11-J11)))</f>
        <v/>
      </c>
      <c r="M11" s="35"/>
      <c r="N11" s="34"/>
      <c r="O11" s="35"/>
      <c r="P11" s="34"/>
      <c r="Q11" s="41"/>
      <c r="R11" s="36" t="str">
        <f aca="false">IF(OR(M11="",J11="",K11="",J11=K11),"",ROUND(IF(G11="Long",(M11-J11)/(J11-K11),(J11-M11)/(K11-J11)),2))</f>
        <v/>
      </c>
      <c r="S11" s="39" t="str">
        <f aca="false">IF(B11="","",IF(AND(I11="Y",OR(P11="None",P11="")),"Yes","No"))</f>
        <v/>
      </c>
      <c r="T11" s="36" t="str">
        <f aca="false">IF(OR(O11="",J11="",K11="",J11=K11),"",ROUND(IF(G11="Long",(O11-J11)/(J11-K11),(J11-O11)/(K11-J11)),2))</f>
        <v/>
      </c>
      <c r="U11" s="36" t="str">
        <f aca="false">IF(OR(R11="",T11=""),"",IF(T11&gt;=2,2,IF(N11="Target",-1,R11)))</f>
        <v/>
      </c>
      <c r="V11" s="36" t="str">
        <f aca="false">IF(OR(R11="",T11=""),"",IF(T11&gt;=3,3,IF(N11="Target",-1,R11)))</f>
        <v/>
      </c>
      <c r="W11" s="42" t="str">
        <f aca="false">IF(R11="","",ROUND(R11*(Inputs!$F$9+SUM(W$6:W10))*Inputs!$F$10,2))</f>
        <v/>
      </c>
      <c r="X11" s="42" t="str">
        <f aca="false">IF(R11="","",Inputs!$F$9+SUM(W$7:W11))</f>
        <v/>
      </c>
      <c r="Y11" s="43" t="str">
        <f aca="false">IF(S11="Yes",R11,"")</f>
        <v/>
      </c>
      <c r="Z11" s="43" t="str">
        <f aca="false">IF(Y11="","",SUM(Y$7:Y11))</f>
        <v/>
      </c>
      <c r="AA11" s="43" t="str">
        <f aca="false">IF(Y11="","",MAX(0,MAX(Z$7:Z11)))</f>
        <v/>
      </c>
      <c r="AB11" s="43" t="str">
        <f aca="false">IF(Y11="","",Z11-AA11)</f>
        <v/>
      </c>
    </row>
    <row r="12" customFormat="false" ht="15" hidden="false" customHeight="false" outlineLevel="0" collapsed="false">
      <c r="B12" s="38"/>
      <c r="C12" s="39" t="str">
        <f aca="false">IF(B12="","",INT((B12-Inputs!$F$8)/7)+1)</f>
        <v/>
      </c>
      <c r="D12" s="39" t="str">
        <f aca="false">IF(B12="","",COUNTIF(B$7:B12,B12))</f>
        <v/>
      </c>
      <c r="E12" s="34"/>
      <c r="F12" s="34"/>
      <c r="G12" s="34"/>
      <c r="H12" s="34"/>
      <c r="I12" s="34"/>
      <c r="J12" s="35"/>
      <c r="K12" s="35"/>
      <c r="L12" s="40" t="str">
        <f aca="false">IF(OR(J12="",K12=""),"",IF(G12="Long",J12+Inputs!$F$15*(J12-K12),J12-Inputs!$F$15*(K12-J12)))</f>
        <v/>
      </c>
      <c r="M12" s="35"/>
      <c r="N12" s="34"/>
      <c r="O12" s="35"/>
      <c r="P12" s="34"/>
      <c r="Q12" s="41"/>
      <c r="R12" s="36" t="str">
        <f aca="false">IF(OR(M12="",J12="",K12="",J12=K12),"",ROUND(IF(G12="Long",(M12-J12)/(J12-K12),(J12-M12)/(K12-J12)),2))</f>
        <v/>
      </c>
      <c r="S12" s="39" t="str">
        <f aca="false">IF(B12="","",IF(AND(I12="Y",OR(P12="None",P12="")),"Yes","No"))</f>
        <v/>
      </c>
      <c r="T12" s="36" t="str">
        <f aca="false">IF(OR(O12="",J12="",K12="",J12=K12),"",ROUND(IF(G12="Long",(O12-J12)/(J12-K12),(J12-O12)/(K12-J12)),2))</f>
        <v/>
      </c>
      <c r="U12" s="36" t="str">
        <f aca="false">IF(OR(R12="",T12=""),"",IF(T12&gt;=2,2,IF(N12="Target",-1,R12)))</f>
        <v/>
      </c>
      <c r="V12" s="36" t="str">
        <f aca="false">IF(OR(R12="",T12=""),"",IF(T12&gt;=3,3,IF(N12="Target",-1,R12)))</f>
        <v/>
      </c>
      <c r="W12" s="42" t="str">
        <f aca="false">IF(R12="","",ROUND(R12*(Inputs!$F$9+SUM(W$6:W11))*Inputs!$F$10,2))</f>
        <v/>
      </c>
      <c r="X12" s="42" t="str">
        <f aca="false">IF(R12="","",Inputs!$F$9+SUM(W$7:W12))</f>
        <v/>
      </c>
      <c r="Y12" s="43" t="str">
        <f aca="false">IF(S12="Yes",R12,"")</f>
        <v/>
      </c>
      <c r="Z12" s="43" t="str">
        <f aca="false">IF(Y12="","",SUM(Y$7:Y12))</f>
        <v/>
      </c>
      <c r="AA12" s="43" t="str">
        <f aca="false">IF(Y12="","",MAX(0,MAX(Z$7:Z12)))</f>
        <v/>
      </c>
      <c r="AB12" s="43" t="str">
        <f aca="false">IF(Y12="","",Z12-AA12)</f>
        <v/>
      </c>
    </row>
    <row r="13" customFormat="false" ht="15" hidden="false" customHeight="false" outlineLevel="0" collapsed="false">
      <c r="B13" s="38"/>
      <c r="C13" s="39" t="str">
        <f aca="false">IF(B13="","",INT((B13-Inputs!$F$8)/7)+1)</f>
        <v/>
      </c>
      <c r="D13" s="39" t="str">
        <f aca="false">IF(B13="","",COUNTIF(B$7:B13,B13))</f>
        <v/>
      </c>
      <c r="E13" s="34"/>
      <c r="F13" s="34"/>
      <c r="G13" s="34"/>
      <c r="H13" s="34"/>
      <c r="I13" s="34"/>
      <c r="J13" s="35"/>
      <c r="K13" s="35"/>
      <c r="L13" s="40" t="str">
        <f aca="false">IF(OR(J13="",K13=""),"",IF(G13="Long",J13+Inputs!$F$15*(J13-K13),J13-Inputs!$F$15*(K13-J13)))</f>
        <v/>
      </c>
      <c r="M13" s="35"/>
      <c r="N13" s="34"/>
      <c r="O13" s="35"/>
      <c r="P13" s="34"/>
      <c r="Q13" s="41"/>
      <c r="R13" s="36" t="str">
        <f aca="false">IF(OR(M13="",J13="",K13="",J13=K13),"",ROUND(IF(G13="Long",(M13-J13)/(J13-K13),(J13-M13)/(K13-J13)),2))</f>
        <v/>
      </c>
      <c r="S13" s="39" t="str">
        <f aca="false">IF(B13="","",IF(AND(I13="Y",OR(P13="None",P13="")),"Yes","No"))</f>
        <v/>
      </c>
      <c r="T13" s="36" t="str">
        <f aca="false">IF(OR(O13="",J13="",K13="",J13=K13),"",ROUND(IF(G13="Long",(O13-J13)/(J13-K13),(J13-O13)/(K13-J13)),2))</f>
        <v/>
      </c>
      <c r="U13" s="36" t="str">
        <f aca="false">IF(OR(R13="",T13=""),"",IF(T13&gt;=2,2,IF(N13="Target",-1,R13)))</f>
        <v/>
      </c>
      <c r="V13" s="36" t="str">
        <f aca="false">IF(OR(R13="",T13=""),"",IF(T13&gt;=3,3,IF(N13="Target",-1,R13)))</f>
        <v/>
      </c>
      <c r="W13" s="42" t="str">
        <f aca="false">IF(R13="","",ROUND(R13*(Inputs!$F$9+SUM(W$6:W12))*Inputs!$F$10,2))</f>
        <v/>
      </c>
      <c r="X13" s="42" t="str">
        <f aca="false">IF(R13="","",Inputs!$F$9+SUM(W$7:W13))</f>
        <v/>
      </c>
      <c r="Y13" s="43" t="str">
        <f aca="false">IF(S13="Yes",R13,"")</f>
        <v/>
      </c>
      <c r="Z13" s="43" t="str">
        <f aca="false">IF(Y13="","",SUM(Y$7:Y13))</f>
        <v/>
      </c>
      <c r="AA13" s="43" t="str">
        <f aca="false">IF(Y13="","",MAX(0,MAX(Z$7:Z13)))</f>
        <v/>
      </c>
      <c r="AB13" s="43" t="str">
        <f aca="false">IF(Y13="","",Z13-AA13)</f>
        <v/>
      </c>
    </row>
    <row r="14" customFormat="false" ht="15" hidden="false" customHeight="false" outlineLevel="0" collapsed="false">
      <c r="B14" s="38"/>
      <c r="C14" s="39" t="str">
        <f aca="false">IF(B14="","",INT((B14-Inputs!$F$8)/7)+1)</f>
        <v/>
      </c>
      <c r="D14" s="39" t="str">
        <f aca="false">IF(B14="","",COUNTIF(B$7:B14,B14))</f>
        <v/>
      </c>
      <c r="E14" s="34"/>
      <c r="F14" s="34"/>
      <c r="G14" s="34"/>
      <c r="H14" s="34"/>
      <c r="I14" s="34"/>
      <c r="J14" s="35"/>
      <c r="K14" s="35"/>
      <c r="L14" s="40" t="str">
        <f aca="false">IF(OR(J14="",K14=""),"",IF(G14="Long",J14+Inputs!$F$15*(J14-K14),J14-Inputs!$F$15*(K14-J14)))</f>
        <v/>
      </c>
      <c r="M14" s="35"/>
      <c r="N14" s="34"/>
      <c r="O14" s="35"/>
      <c r="P14" s="34"/>
      <c r="Q14" s="41"/>
      <c r="R14" s="36" t="str">
        <f aca="false">IF(OR(M14="",J14="",K14="",J14=K14),"",ROUND(IF(G14="Long",(M14-J14)/(J14-K14),(J14-M14)/(K14-J14)),2))</f>
        <v/>
      </c>
      <c r="S14" s="39" t="str">
        <f aca="false">IF(B14="","",IF(AND(I14="Y",OR(P14="None",P14="")),"Yes","No"))</f>
        <v/>
      </c>
      <c r="T14" s="36" t="str">
        <f aca="false">IF(OR(O14="",J14="",K14="",J14=K14),"",ROUND(IF(G14="Long",(O14-J14)/(J14-K14),(J14-O14)/(K14-J14)),2))</f>
        <v/>
      </c>
      <c r="U14" s="36" t="str">
        <f aca="false">IF(OR(R14="",T14=""),"",IF(T14&gt;=2,2,IF(N14="Target",-1,R14)))</f>
        <v/>
      </c>
      <c r="V14" s="36" t="str">
        <f aca="false">IF(OR(R14="",T14=""),"",IF(T14&gt;=3,3,IF(N14="Target",-1,R14)))</f>
        <v/>
      </c>
      <c r="W14" s="42" t="str">
        <f aca="false">IF(R14="","",ROUND(R14*(Inputs!$F$9+SUM(W$6:W13))*Inputs!$F$10,2))</f>
        <v/>
      </c>
      <c r="X14" s="42" t="str">
        <f aca="false">IF(R14="","",Inputs!$F$9+SUM(W$7:W14))</f>
        <v/>
      </c>
      <c r="Y14" s="43" t="str">
        <f aca="false">IF(S14="Yes",R14,"")</f>
        <v/>
      </c>
      <c r="Z14" s="43" t="str">
        <f aca="false">IF(Y14="","",SUM(Y$7:Y14))</f>
        <v/>
      </c>
      <c r="AA14" s="43" t="str">
        <f aca="false">IF(Y14="","",MAX(0,MAX(Z$7:Z14)))</f>
        <v/>
      </c>
      <c r="AB14" s="43" t="str">
        <f aca="false">IF(Y14="","",Z14-AA14)</f>
        <v/>
      </c>
    </row>
    <row r="15" customFormat="false" ht="15" hidden="false" customHeight="false" outlineLevel="0" collapsed="false">
      <c r="B15" s="38"/>
      <c r="C15" s="39" t="str">
        <f aca="false">IF(B15="","",INT((B15-Inputs!$F$8)/7)+1)</f>
        <v/>
      </c>
      <c r="D15" s="39" t="str">
        <f aca="false">IF(B15="","",COUNTIF(B$7:B15,B15))</f>
        <v/>
      </c>
      <c r="E15" s="34"/>
      <c r="F15" s="34"/>
      <c r="G15" s="34"/>
      <c r="H15" s="34"/>
      <c r="I15" s="34"/>
      <c r="J15" s="35"/>
      <c r="K15" s="35"/>
      <c r="L15" s="40" t="str">
        <f aca="false">IF(OR(J15="",K15=""),"",IF(G15="Long",J15+Inputs!$F$15*(J15-K15),J15-Inputs!$F$15*(K15-J15)))</f>
        <v/>
      </c>
      <c r="M15" s="35"/>
      <c r="N15" s="34"/>
      <c r="O15" s="35"/>
      <c r="P15" s="34"/>
      <c r="Q15" s="41"/>
      <c r="R15" s="36" t="str">
        <f aca="false">IF(OR(M15="",J15="",K15="",J15=K15),"",ROUND(IF(G15="Long",(M15-J15)/(J15-K15),(J15-M15)/(K15-J15)),2))</f>
        <v/>
      </c>
      <c r="S15" s="39" t="str">
        <f aca="false">IF(B15="","",IF(AND(I15="Y",OR(P15="None",P15="")),"Yes","No"))</f>
        <v/>
      </c>
      <c r="T15" s="36" t="str">
        <f aca="false">IF(OR(O15="",J15="",K15="",J15=K15),"",ROUND(IF(G15="Long",(O15-J15)/(J15-K15),(J15-O15)/(K15-J15)),2))</f>
        <v/>
      </c>
      <c r="U15" s="36" t="str">
        <f aca="false">IF(OR(R15="",T15=""),"",IF(T15&gt;=2,2,IF(N15="Target",-1,R15)))</f>
        <v/>
      </c>
      <c r="V15" s="36" t="str">
        <f aca="false">IF(OR(R15="",T15=""),"",IF(T15&gt;=3,3,IF(N15="Target",-1,R15)))</f>
        <v/>
      </c>
      <c r="W15" s="42" t="str">
        <f aca="false">IF(R15="","",ROUND(R15*(Inputs!$F$9+SUM(W$6:W14))*Inputs!$F$10,2))</f>
        <v/>
      </c>
      <c r="X15" s="42" t="str">
        <f aca="false">IF(R15="","",Inputs!$F$9+SUM(W$7:W15))</f>
        <v/>
      </c>
      <c r="Y15" s="43" t="str">
        <f aca="false">IF(S15="Yes",R15,"")</f>
        <v/>
      </c>
      <c r="Z15" s="43" t="str">
        <f aca="false">IF(Y15="","",SUM(Y$7:Y15))</f>
        <v/>
      </c>
      <c r="AA15" s="43" t="str">
        <f aca="false">IF(Y15="","",MAX(0,MAX(Z$7:Z15)))</f>
        <v/>
      </c>
      <c r="AB15" s="43" t="str">
        <f aca="false">IF(Y15="","",Z15-AA15)</f>
        <v/>
      </c>
    </row>
    <row r="16" customFormat="false" ht="15" hidden="false" customHeight="false" outlineLevel="0" collapsed="false">
      <c r="B16" s="38"/>
      <c r="C16" s="39" t="str">
        <f aca="false">IF(B16="","",INT((B16-Inputs!$F$8)/7)+1)</f>
        <v/>
      </c>
      <c r="D16" s="39" t="str">
        <f aca="false">IF(B16="","",COUNTIF(B$7:B16,B16))</f>
        <v/>
      </c>
      <c r="E16" s="34"/>
      <c r="F16" s="34"/>
      <c r="G16" s="34"/>
      <c r="H16" s="34"/>
      <c r="I16" s="34"/>
      <c r="J16" s="35"/>
      <c r="K16" s="35"/>
      <c r="L16" s="40" t="str">
        <f aca="false">IF(OR(J16="",K16=""),"",IF(G16="Long",J16+Inputs!$F$15*(J16-K16),J16-Inputs!$F$15*(K16-J16)))</f>
        <v/>
      </c>
      <c r="M16" s="35"/>
      <c r="N16" s="34"/>
      <c r="O16" s="35"/>
      <c r="P16" s="34"/>
      <c r="Q16" s="41"/>
      <c r="R16" s="36" t="str">
        <f aca="false">IF(OR(M16="",J16="",K16="",J16=K16),"",ROUND(IF(G16="Long",(M16-J16)/(J16-K16),(J16-M16)/(K16-J16)),2))</f>
        <v/>
      </c>
      <c r="S16" s="39" t="str">
        <f aca="false">IF(B16="","",IF(AND(I16="Y",OR(P16="None",P16="")),"Yes","No"))</f>
        <v/>
      </c>
      <c r="T16" s="36" t="str">
        <f aca="false">IF(OR(O16="",J16="",K16="",J16=K16),"",ROUND(IF(G16="Long",(O16-J16)/(J16-K16),(J16-O16)/(K16-J16)),2))</f>
        <v/>
      </c>
      <c r="U16" s="36" t="str">
        <f aca="false">IF(OR(R16="",T16=""),"",IF(T16&gt;=2,2,IF(N16="Target",-1,R16)))</f>
        <v/>
      </c>
      <c r="V16" s="36" t="str">
        <f aca="false">IF(OR(R16="",T16=""),"",IF(T16&gt;=3,3,IF(N16="Target",-1,R16)))</f>
        <v/>
      </c>
      <c r="W16" s="42" t="str">
        <f aca="false">IF(R16="","",ROUND(R16*(Inputs!$F$9+SUM(W$6:W15))*Inputs!$F$10,2))</f>
        <v/>
      </c>
      <c r="X16" s="42" t="str">
        <f aca="false">IF(R16="","",Inputs!$F$9+SUM(W$7:W16))</f>
        <v/>
      </c>
      <c r="Y16" s="43" t="str">
        <f aca="false">IF(S16="Yes",R16,"")</f>
        <v/>
      </c>
      <c r="Z16" s="43" t="str">
        <f aca="false">IF(Y16="","",SUM(Y$7:Y16))</f>
        <v/>
      </c>
      <c r="AA16" s="43" t="str">
        <f aca="false">IF(Y16="","",MAX(0,MAX(Z$7:Z16)))</f>
        <v/>
      </c>
      <c r="AB16" s="43" t="str">
        <f aca="false">IF(Y16="","",Z16-AA16)</f>
        <v/>
      </c>
    </row>
    <row r="17" customFormat="false" ht="15" hidden="false" customHeight="false" outlineLevel="0" collapsed="false">
      <c r="B17" s="38"/>
      <c r="C17" s="39" t="str">
        <f aca="false">IF(B17="","",INT((B17-Inputs!$F$8)/7)+1)</f>
        <v/>
      </c>
      <c r="D17" s="39" t="str">
        <f aca="false">IF(B17="","",COUNTIF(B$7:B17,B17))</f>
        <v/>
      </c>
      <c r="E17" s="34"/>
      <c r="F17" s="34"/>
      <c r="G17" s="34"/>
      <c r="H17" s="34"/>
      <c r="I17" s="34"/>
      <c r="J17" s="35"/>
      <c r="K17" s="35"/>
      <c r="L17" s="40" t="str">
        <f aca="false">IF(OR(J17="",K17=""),"",IF(G17="Long",J17+Inputs!$F$15*(J17-K17),J17-Inputs!$F$15*(K17-J17)))</f>
        <v/>
      </c>
      <c r="M17" s="35"/>
      <c r="N17" s="34"/>
      <c r="O17" s="35"/>
      <c r="P17" s="34"/>
      <c r="Q17" s="41"/>
      <c r="R17" s="36" t="str">
        <f aca="false">IF(OR(M17="",J17="",K17="",J17=K17),"",ROUND(IF(G17="Long",(M17-J17)/(J17-K17),(J17-M17)/(K17-J17)),2))</f>
        <v/>
      </c>
      <c r="S17" s="39" t="str">
        <f aca="false">IF(B17="","",IF(AND(I17="Y",OR(P17="None",P17="")),"Yes","No"))</f>
        <v/>
      </c>
      <c r="T17" s="36" t="str">
        <f aca="false">IF(OR(O17="",J17="",K17="",J17=K17),"",ROUND(IF(G17="Long",(O17-J17)/(J17-K17),(J17-O17)/(K17-J17)),2))</f>
        <v/>
      </c>
      <c r="U17" s="36" t="str">
        <f aca="false">IF(OR(R17="",T17=""),"",IF(T17&gt;=2,2,IF(N17="Target",-1,R17)))</f>
        <v/>
      </c>
      <c r="V17" s="36" t="str">
        <f aca="false">IF(OR(R17="",T17=""),"",IF(T17&gt;=3,3,IF(N17="Target",-1,R17)))</f>
        <v/>
      </c>
      <c r="W17" s="42" t="str">
        <f aca="false">IF(R17="","",ROUND(R17*(Inputs!$F$9+SUM(W$6:W16))*Inputs!$F$10,2))</f>
        <v/>
      </c>
      <c r="X17" s="42" t="str">
        <f aca="false">IF(R17="","",Inputs!$F$9+SUM(W$7:W17))</f>
        <v/>
      </c>
      <c r="Y17" s="43" t="str">
        <f aca="false">IF(S17="Yes",R17,"")</f>
        <v/>
      </c>
      <c r="Z17" s="43" t="str">
        <f aca="false">IF(Y17="","",SUM(Y$7:Y17))</f>
        <v/>
      </c>
      <c r="AA17" s="43" t="str">
        <f aca="false">IF(Y17="","",MAX(0,MAX(Z$7:Z17)))</f>
        <v/>
      </c>
      <c r="AB17" s="43" t="str">
        <f aca="false">IF(Y17="","",Z17-AA17)</f>
        <v/>
      </c>
    </row>
    <row r="18" customFormat="false" ht="15" hidden="false" customHeight="false" outlineLevel="0" collapsed="false">
      <c r="B18" s="38"/>
      <c r="C18" s="39" t="str">
        <f aca="false">IF(B18="","",INT((B18-Inputs!$F$8)/7)+1)</f>
        <v/>
      </c>
      <c r="D18" s="39" t="str">
        <f aca="false">IF(B18="","",COUNTIF(B$7:B18,B18))</f>
        <v/>
      </c>
      <c r="E18" s="34"/>
      <c r="F18" s="34"/>
      <c r="G18" s="34"/>
      <c r="H18" s="34"/>
      <c r="I18" s="34"/>
      <c r="J18" s="35"/>
      <c r="K18" s="35"/>
      <c r="L18" s="40" t="str">
        <f aca="false">IF(OR(J18="",K18=""),"",IF(G18="Long",J18+Inputs!$F$15*(J18-K18),J18-Inputs!$F$15*(K18-J18)))</f>
        <v/>
      </c>
      <c r="M18" s="35"/>
      <c r="N18" s="34"/>
      <c r="O18" s="35"/>
      <c r="P18" s="34"/>
      <c r="Q18" s="41"/>
      <c r="R18" s="36" t="str">
        <f aca="false">IF(OR(M18="",J18="",K18="",J18=K18),"",ROUND(IF(G18="Long",(M18-J18)/(J18-K18),(J18-M18)/(K18-J18)),2))</f>
        <v/>
      </c>
      <c r="S18" s="39" t="str">
        <f aca="false">IF(B18="","",IF(AND(I18="Y",OR(P18="None",P18="")),"Yes","No"))</f>
        <v/>
      </c>
      <c r="T18" s="36" t="str">
        <f aca="false">IF(OR(O18="",J18="",K18="",J18=K18),"",ROUND(IF(G18="Long",(O18-J18)/(J18-K18),(J18-O18)/(K18-J18)),2))</f>
        <v/>
      </c>
      <c r="U18" s="36" t="str">
        <f aca="false">IF(OR(R18="",T18=""),"",IF(T18&gt;=2,2,IF(N18="Target",-1,R18)))</f>
        <v/>
      </c>
      <c r="V18" s="36" t="str">
        <f aca="false">IF(OR(R18="",T18=""),"",IF(T18&gt;=3,3,IF(N18="Target",-1,R18)))</f>
        <v/>
      </c>
      <c r="W18" s="42" t="str">
        <f aca="false">IF(R18="","",ROUND(R18*(Inputs!$F$9+SUM(W$6:W17))*Inputs!$F$10,2))</f>
        <v/>
      </c>
      <c r="X18" s="42" t="str">
        <f aca="false">IF(R18="","",Inputs!$F$9+SUM(W$7:W18))</f>
        <v/>
      </c>
      <c r="Y18" s="43" t="str">
        <f aca="false">IF(S18="Yes",R18,"")</f>
        <v/>
      </c>
      <c r="Z18" s="43" t="str">
        <f aca="false">IF(Y18="","",SUM(Y$7:Y18))</f>
        <v/>
      </c>
      <c r="AA18" s="43" t="str">
        <f aca="false">IF(Y18="","",MAX(0,MAX(Z$7:Z18)))</f>
        <v/>
      </c>
      <c r="AB18" s="43" t="str">
        <f aca="false">IF(Y18="","",Z18-AA18)</f>
        <v/>
      </c>
    </row>
    <row r="19" customFormat="false" ht="15" hidden="false" customHeight="false" outlineLevel="0" collapsed="false">
      <c r="B19" s="38"/>
      <c r="C19" s="39" t="str">
        <f aca="false">IF(B19="","",INT((B19-Inputs!$F$8)/7)+1)</f>
        <v/>
      </c>
      <c r="D19" s="39" t="str">
        <f aca="false">IF(B19="","",COUNTIF(B$7:B19,B19))</f>
        <v/>
      </c>
      <c r="E19" s="34"/>
      <c r="F19" s="34"/>
      <c r="G19" s="34"/>
      <c r="H19" s="34"/>
      <c r="I19" s="34"/>
      <c r="J19" s="35"/>
      <c r="K19" s="35"/>
      <c r="L19" s="40" t="str">
        <f aca="false">IF(OR(J19="",K19=""),"",IF(G19="Long",J19+Inputs!$F$15*(J19-K19),J19-Inputs!$F$15*(K19-J19)))</f>
        <v/>
      </c>
      <c r="M19" s="35"/>
      <c r="N19" s="34"/>
      <c r="O19" s="35"/>
      <c r="P19" s="34"/>
      <c r="Q19" s="41"/>
      <c r="R19" s="36" t="str">
        <f aca="false">IF(OR(M19="",J19="",K19="",J19=K19),"",ROUND(IF(G19="Long",(M19-J19)/(J19-K19),(J19-M19)/(K19-J19)),2))</f>
        <v/>
      </c>
      <c r="S19" s="39" t="str">
        <f aca="false">IF(B19="","",IF(AND(I19="Y",OR(P19="None",P19="")),"Yes","No"))</f>
        <v/>
      </c>
      <c r="T19" s="36" t="str">
        <f aca="false">IF(OR(O19="",J19="",K19="",J19=K19),"",ROUND(IF(G19="Long",(O19-J19)/(J19-K19),(J19-O19)/(K19-J19)),2))</f>
        <v/>
      </c>
      <c r="U19" s="36" t="str">
        <f aca="false">IF(OR(R19="",T19=""),"",IF(T19&gt;=2,2,IF(N19="Target",-1,R19)))</f>
        <v/>
      </c>
      <c r="V19" s="36" t="str">
        <f aca="false">IF(OR(R19="",T19=""),"",IF(T19&gt;=3,3,IF(N19="Target",-1,R19)))</f>
        <v/>
      </c>
      <c r="W19" s="42" t="str">
        <f aca="false">IF(R19="","",ROUND(R19*(Inputs!$F$9+SUM(W$6:W18))*Inputs!$F$10,2))</f>
        <v/>
      </c>
      <c r="X19" s="42" t="str">
        <f aca="false">IF(R19="","",Inputs!$F$9+SUM(W$7:W19))</f>
        <v/>
      </c>
      <c r="Y19" s="43" t="str">
        <f aca="false">IF(S19="Yes",R19,"")</f>
        <v/>
      </c>
      <c r="Z19" s="43" t="str">
        <f aca="false">IF(Y19="","",SUM(Y$7:Y19))</f>
        <v/>
      </c>
      <c r="AA19" s="43" t="str">
        <f aca="false">IF(Y19="","",MAX(0,MAX(Z$7:Z19)))</f>
        <v/>
      </c>
      <c r="AB19" s="43" t="str">
        <f aca="false">IF(Y19="","",Z19-AA19)</f>
        <v/>
      </c>
    </row>
    <row r="20" customFormat="false" ht="15" hidden="false" customHeight="false" outlineLevel="0" collapsed="false">
      <c r="B20" s="38"/>
      <c r="C20" s="39" t="str">
        <f aca="false">IF(B20="","",INT((B20-Inputs!$F$8)/7)+1)</f>
        <v/>
      </c>
      <c r="D20" s="39" t="str">
        <f aca="false">IF(B20="","",COUNTIF(B$7:B20,B20))</f>
        <v/>
      </c>
      <c r="E20" s="34"/>
      <c r="F20" s="34"/>
      <c r="G20" s="34"/>
      <c r="H20" s="34"/>
      <c r="I20" s="34"/>
      <c r="J20" s="35"/>
      <c r="K20" s="35"/>
      <c r="L20" s="40" t="str">
        <f aca="false">IF(OR(J20="",K20=""),"",IF(G20="Long",J20+Inputs!$F$15*(J20-K20),J20-Inputs!$F$15*(K20-J20)))</f>
        <v/>
      </c>
      <c r="M20" s="35"/>
      <c r="N20" s="34"/>
      <c r="O20" s="35"/>
      <c r="P20" s="34"/>
      <c r="Q20" s="41"/>
      <c r="R20" s="36" t="str">
        <f aca="false">IF(OR(M20="",J20="",K20="",J20=K20),"",ROUND(IF(G20="Long",(M20-J20)/(J20-K20),(J20-M20)/(K20-J20)),2))</f>
        <v/>
      </c>
      <c r="S20" s="39" t="str">
        <f aca="false">IF(B20="","",IF(AND(I20="Y",OR(P20="None",P20="")),"Yes","No"))</f>
        <v/>
      </c>
      <c r="T20" s="36" t="str">
        <f aca="false">IF(OR(O20="",J20="",K20="",J20=K20),"",ROUND(IF(G20="Long",(O20-J20)/(J20-K20),(J20-O20)/(K20-J20)),2))</f>
        <v/>
      </c>
      <c r="U20" s="36" t="str">
        <f aca="false">IF(OR(R20="",T20=""),"",IF(T20&gt;=2,2,IF(N20="Target",-1,R20)))</f>
        <v/>
      </c>
      <c r="V20" s="36" t="str">
        <f aca="false">IF(OR(R20="",T20=""),"",IF(T20&gt;=3,3,IF(N20="Target",-1,R20)))</f>
        <v/>
      </c>
      <c r="W20" s="42" t="str">
        <f aca="false">IF(R20="","",ROUND(R20*(Inputs!$F$9+SUM(W$6:W19))*Inputs!$F$10,2))</f>
        <v/>
      </c>
      <c r="X20" s="42" t="str">
        <f aca="false">IF(R20="","",Inputs!$F$9+SUM(W$7:W20))</f>
        <v/>
      </c>
      <c r="Y20" s="43" t="str">
        <f aca="false">IF(S20="Yes",R20,"")</f>
        <v/>
      </c>
      <c r="Z20" s="43" t="str">
        <f aca="false">IF(Y20="","",SUM(Y$7:Y20))</f>
        <v/>
      </c>
      <c r="AA20" s="43" t="str">
        <f aca="false">IF(Y20="","",MAX(0,MAX(Z$7:Z20)))</f>
        <v/>
      </c>
      <c r="AB20" s="43" t="str">
        <f aca="false">IF(Y20="","",Z20-AA20)</f>
        <v/>
      </c>
    </row>
    <row r="21" customFormat="false" ht="15" hidden="false" customHeight="false" outlineLevel="0" collapsed="false">
      <c r="B21" s="38"/>
      <c r="C21" s="39" t="str">
        <f aca="false">IF(B21="","",INT((B21-Inputs!$F$8)/7)+1)</f>
        <v/>
      </c>
      <c r="D21" s="39" t="str">
        <f aca="false">IF(B21="","",COUNTIF(B$7:B21,B21))</f>
        <v/>
      </c>
      <c r="E21" s="34"/>
      <c r="F21" s="34"/>
      <c r="G21" s="34"/>
      <c r="H21" s="34"/>
      <c r="I21" s="34"/>
      <c r="J21" s="35"/>
      <c r="K21" s="35"/>
      <c r="L21" s="40" t="str">
        <f aca="false">IF(OR(J21="",K21=""),"",IF(G21="Long",J21+Inputs!$F$15*(J21-K21),J21-Inputs!$F$15*(K21-J21)))</f>
        <v/>
      </c>
      <c r="M21" s="35"/>
      <c r="N21" s="34"/>
      <c r="O21" s="35"/>
      <c r="P21" s="34"/>
      <c r="Q21" s="41"/>
      <c r="R21" s="36" t="str">
        <f aca="false">IF(OR(M21="",J21="",K21="",J21=K21),"",ROUND(IF(G21="Long",(M21-J21)/(J21-K21),(J21-M21)/(K21-J21)),2))</f>
        <v/>
      </c>
      <c r="S21" s="39" t="str">
        <f aca="false">IF(B21="","",IF(AND(I21="Y",OR(P21="None",P21="")),"Yes","No"))</f>
        <v/>
      </c>
      <c r="T21" s="36" t="str">
        <f aca="false">IF(OR(O21="",J21="",K21="",J21=K21),"",ROUND(IF(G21="Long",(O21-J21)/(J21-K21),(J21-O21)/(K21-J21)),2))</f>
        <v/>
      </c>
      <c r="U21" s="36" t="str">
        <f aca="false">IF(OR(R21="",T21=""),"",IF(T21&gt;=2,2,IF(N21="Target",-1,R21)))</f>
        <v/>
      </c>
      <c r="V21" s="36" t="str">
        <f aca="false">IF(OR(R21="",T21=""),"",IF(T21&gt;=3,3,IF(N21="Target",-1,R21)))</f>
        <v/>
      </c>
      <c r="W21" s="42" t="str">
        <f aca="false">IF(R21="","",ROUND(R21*(Inputs!$F$9+SUM(W$6:W20))*Inputs!$F$10,2))</f>
        <v/>
      </c>
      <c r="X21" s="42" t="str">
        <f aca="false">IF(R21="","",Inputs!$F$9+SUM(W$7:W21))</f>
        <v/>
      </c>
      <c r="Y21" s="43" t="str">
        <f aca="false">IF(S21="Yes",R21,"")</f>
        <v/>
      </c>
      <c r="Z21" s="43" t="str">
        <f aca="false">IF(Y21="","",SUM(Y$7:Y21))</f>
        <v/>
      </c>
      <c r="AA21" s="43" t="str">
        <f aca="false">IF(Y21="","",MAX(0,MAX(Z$7:Z21)))</f>
        <v/>
      </c>
      <c r="AB21" s="43" t="str">
        <f aca="false">IF(Y21="","",Z21-AA21)</f>
        <v/>
      </c>
    </row>
    <row r="22" customFormat="false" ht="15" hidden="false" customHeight="false" outlineLevel="0" collapsed="false">
      <c r="B22" s="38"/>
      <c r="C22" s="39" t="str">
        <f aca="false">IF(B22="","",INT((B22-Inputs!$F$8)/7)+1)</f>
        <v/>
      </c>
      <c r="D22" s="39" t="str">
        <f aca="false">IF(B22="","",COUNTIF(B$7:B22,B22))</f>
        <v/>
      </c>
      <c r="E22" s="34"/>
      <c r="F22" s="34"/>
      <c r="G22" s="34"/>
      <c r="H22" s="34"/>
      <c r="I22" s="34"/>
      <c r="J22" s="35"/>
      <c r="K22" s="35"/>
      <c r="L22" s="40" t="str">
        <f aca="false">IF(OR(J22="",K22=""),"",IF(G22="Long",J22+Inputs!$F$15*(J22-K22),J22-Inputs!$F$15*(K22-J22)))</f>
        <v/>
      </c>
      <c r="M22" s="35"/>
      <c r="N22" s="34"/>
      <c r="O22" s="35"/>
      <c r="P22" s="34"/>
      <c r="Q22" s="41"/>
      <c r="R22" s="36" t="str">
        <f aca="false">IF(OR(M22="",J22="",K22="",J22=K22),"",ROUND(IF(G22="Long",(M22-J22)/(J22-K22),(J22-M22)/(K22-J22)),2))</f>
        <v/>
      </c>
      <c r="S22" s="39" t="str">
        <f aca="false">IF(B22="","",IF(AND(I22="Y",OR(P22="None",P22="")),"Yes","No"))</f>
        <v/>
      </c>
      <c r="T22" s="36" t="str">
        <f aca="false">IF(OR(O22="",J22="",K22="",J22=K22),"",ROUND(IF(G22="Long",(O22-J22)/(J22-K22),(J22-O22)/(K22-J22)),2))</f>
        <v/>
      </c>
      <c r="U22" s="36" t="str">
        <f aca="false">IF(OR(R22="",T22=""),"",IF(T22&gt;=2,2,IF(N22="Target",-1,R22)))</f>
        <v/>
      </c>
      <c r="V22" s="36" t="str">
        <f aca="false">IF(OR(R22="",T22=""),"",IF(T22&gt;=3,3,IF(N22="Target",-1,R22)))</f>
        <v/>
      </c>
      <c r="W22" s="42" t="str">
        <f aca="false">IF(R22="","",ROUND(R22*(Inputs!$F$9+SUM(W$6:W21))*Inputs!$F$10,2))</f>
        <v/>
      </c>
      <c r="X22" s="42" t="str">
        <f aca="false">IF(R22="","",Inputs!$F$9+SUM(W$7:W22))</f>
        <v/>
      </c>
      <c r="Y22" s="43" t="str">
        <f aca="false">IF(S22="Yes",R22,"")</f>
        <v/>
      </c>
      <c r="Z22" s="43" t="str">
        <f aca="false">IF(Y22="","",SUM(Y$7:Y22))</f>
        <v/>
      </c>
      <c r="AA22" s="43" t="str">
        <f aca="false">IF(Y22="","",MAX(0,MAX(Z$7:Z22)))</f>
        <v/>
      </c>
      <c r="AB22" s="43" t="str">
        <f aca="false">IF(Y22="","",Z22-AA22)</f>
        <v/>
      </c>
    </row>
    <row r="23" customFormat="false" ht="15" hidden="false" customHeight="false" outlineLevel="0" collapsed="false">
      <c r="B23" s="38"/>
      <c r="C23" s="39" t="str">
        <f aca="false">IF(B23="","",INT((B23-Inputs!$F$8)/7)+1)</f>
        <v/>
      </c>
      <c r="D23" s="39" t="str">
        <f aca="false">IF(B23="","",COUNTIF(B$7:B23,B23))</f>
        <v/>
      </c>
      <c r="E23" s="34"/>
      <c r="F23" s="34"/>
      <c r="G23" s="34"/>
      <c r="H23" s="34"/>
      <c r="I23" s="34"/>
      <c r="J23" s="35"/>
      <c r="K23" s="35"/>
      <c r="L23" s="40" t="str">
        <f aca="false">IF(OR(J23="",K23=""),"",IF(G23="Long",J23+Inputs!$F$15*(J23-K23),J23-Inputs!$F$15*(K23-J23)))</f>
        <v/>
      </c>
      <c r="M23" s="35"/>
      <c r="N23" s="34"/>
      <c r="O23" s="35"/>
      <c r="P23" s="34"/>
      <c r="Q23" s="41"/>
      <c r="R23" s="36" t="str">
        <f aca="false">IF(OR(M23="",J23="",K23="",J23=K23),"",ROUND(IF(G23="Long",(M23-J23)/(J23-K23),(J23-M23)/(K23-J23)),2))</f>
        <v/>
      </c>
      <c r="S23" s="39" t="str">
        <f aca="false">IF(B23="","",IF(AND(I23="Y",OR(P23="None",P23="")),"Yes","No"))</f>
        <v/>
      </c>
      <c r="T23" s="36" t="str">
        <f aca="false">IF(OR(O23="",J23="",K23="",J23=K23),"",ROUND(IF(G23="Long",(O23-J23)/(J23-K23),(J23-O23)/(K23-J23)),2))</f>
        <v/>
      </c>
      <c r="U23" s="36" t="str">
        <f aca="false">IF(OR(R23="",T23=""),"",IF(T23&gt;=2,2,IF(N23="Target",-1,R23)))</f>
        <v/>
      </c>
      <c r="V23" s="36" t="str">
        <f aca="false">IF(OR(R23="",T23=""),"",IF(T23&gt;=3,3,IF(N23="Target",-1,R23)))</f>
        <v/>
      </c>
      <c r="W23" s="42" t="str">
        <f aca="false">IF(R23="","",ROUND(R23*(Inputs!$F$9+SUM(W$6:W22))*Inputs!$F$10,2))</f>
        <v/>
      </c>
      <c r="X23" s="42" t="str">
        <f aca="false">IF(R23="","",Inputs!$F$9+SUM(W$7:W23))</f>
        <v/>
      </c>
      <c r="Y23" s="43" t="str">
        <f aca="false">IF(S23="Yes",R23,"")</f>
        <v/>
      </c>
      <c r="Z23" s="43" t="str">
        <f aca="false">IF(Y23="","",SUM(Y$7:Y23))</f>
        <v/>
      </c>
      <c r="AA23" s="43" t="str">
        <f aca="false">IF(Y23="","",MAX(0,MAX(Z$7:Z23)))</f>
        <v/>
      </c>
      <c r="AB23" s="43" t="str">
        <f aca="false">IF(Y23="","",Z23-AA23)</f>
        <v/>
      </c>
    </row>
    <row r="24" customFormat="false" ht="15" hidden="false" customHeight="false" outlineLevel="0" collapsed="false">
      <c r="B24" s="38"/>
      <c r="C24" s="39" t="str">
        <f aca="false">IF(B24="","",INT((B24-Inputs!$F$8)/7)+1)</f>
        <v/>
      </c>
      <c r="D24" s="39" t="str">
        <f aca="false">IF(B24="","",COUNTIF(B$7:B24,B24))</f>
        <v/>
      </c>
      <c r="E24" s="34"/>
      <c r="F24" s="34"/>
      <c r="G24" s="34"/>
      <c r="H24" s="34"/>
      <c r="I24" s="34"/>
      <c r="J24" s="35"/>
      <c r="K24" s="35"/>
      <c r="L24" s="40" t="str">
        <f aca="false">IF(OR(J24="",K24=""),"",IF(G24="Long",J24+Inputs!$F$15*(J24-K24),J24-Inputs!$F$15*(K24-J24)))</f>
        <v/>
      </c>
      <c r="M24" s="35"/>
      <c r="N24" s="34"/>
      <c r="O24" s="35"/>
      <c r="P24" s="34"/>
      <c r="Q24" s="41"/>
      <c r="R24" s="36" t="str">
        <f aca="false">IF(OR(M24="",J24="",K24="",J24=K24),"",ROUND(IF(G24="Long",(M24-J24)/(J24-K24),(J24-M24)/(K24-J24)),2))</f>
        <v/>
      </c>
      <c r="S24" s="39" t="str">
        <f aca="false">IF(B24="","",IF(AND(I24="Y",OR(P24="None",P24="")),"Yes","No"))</f>
        <v/>
      </c>
      <c r="T24" s="36" t="str">
        <f aca="false">IF(OR(O24="",J24="",K24="",J24=K24),"",ROUND(IF(G24="Long",(O24-J24)/(J24-K24),(J24-O24)/(K24-J24)),2))</f>
        <v/>
      </c>
      <c r="U24" s="36" t="str">
        <f aca="false">IF(OR(R24="",T24=""),"",IF(T24&gt;=2,2,IF(N24="Target",-1,R24)))</f>
        <v/>
      </c>
      <c r="V24" s="36" t="str">
        <f aca="false">IF(OR(R24="",T24=""),"",IF(T24&gt;=3,3,IF(N24="Target",-1,R24)))</f>
        <v/>
      </c>
      <c r="W24" s="42" t="str">
        <f aca="false">IF(R24="","",ROUND(R24*(Inputs!$F$9+SUM(W$6:W23))*Inputs!$F$10,2))</f>
        <v/>
      </c>
      <c r="X24" s="42" t="str">
        <f aca="false">IF(R24="","",Inputs!$F$9+SUM(W$7:W24))</f>
        <v/>
      </c>
      <c r="Y24" s="43" t="str">
        <f aca="false">IF(S24="Yes",R24,"")</f>
        <v/>
      </c>
      <c r="Z24" s="43" t="str">
        <f aca="false">IF(Y24="","",SUM(Y$7:Y24))</f>
        <v/>
      </c>
      <c r="AA24" s="43" t="str">
        <f aca="false">IF(Y24="","",MAX(0,MAX(Z$7:Z24)))</f>
        <v/>
      </c>
      <c r="AB24" s="43" t="str">
        <f aca="false">IF(Y24="","",Z24-AA24)</f>
        <v/>
      </c>
    </row>
    <row r="25" customFormat="false" ht="15" hidden="false" customHeight="false" outlineLevel="0" collapsed="false">
      <c r="B25" s="38"/>
      <c r="C25" s="39" t="str">
        <f aca="false">IF(B25="","",INT((B25-Inputs!$F$8)/7)+1)</f>
        <v/>
      </c>
      <c r="D25" s="39" t="str">
        <f aca="false">IF(B25="","",COUNTIF(B$7:B25,B25))</f>
        <v/>
      </c>
      <c r="E25" s="34"/>
      <c r="F25" s="34"/>
      <c r="G25" s="34"/>
      <c r="H25" s="34"/>
      <c r="I25" s="34"/>
      <c r="J25" s="35"/>
      <c r="K25" s="35"/>
      <c r="L25" s="40" t="str">
        <f aca="false">IF(OR(J25="",K25=""),"",IF(G25="Long",J25+Inputs!$F$15*(J25-K25),J25-Inputs!$F$15*(K25-J25)))</f>
        <v/>
      </c>
      <c r="M25" s="35"/>
      <c r="N25" s="34"/>
      <c r="O25" s="35"/>
      <c r="P25" s="34"/>
      <c r="Q25" s="41"/>
      <c r="R25" s="36" t="str">
        <f aca="false">IF(OR(M25="",J25="",K25="",J25=K25),"",ROUND(IF(G25="Long",(M25-J25)/(J25-K25),(J25-M25)/(K25-J25)),2))</f>
        <v/>
      </c>
      <c r="S25" s="39" t="str">
        <f aca="false">IF(B25="","",IF(AND(I25="Y",OR(P25="None",P25="")),"Yes","No"))</f>
        <v/>
      </c>
      <c r="T25" s="36" t="str">
        <f aca="false">IF(OR(O25="",J25="",K25="",J25=K25),"",ROUND(IF(G25="Long",(O25-J25)/(J25-K25),(J25-O25)/(K25-J25)),2))</f>
        <v/>
      </c>
      <c r="U25" s="36" t="str">
        <f aca="false">IF(OR(R25="",T25=""),"",IF(T25&gt;=2,2,IF(N25="Target",-1,R25)))</f>
        <v/>
      </c>
      <c r="V25" s="36" t="str">
        <f aca="false">IF(OR(R25="",T25=""),"",IF(T25&gt;=3,3,IF(N25="Target",-1,R25)))</f>
        <v/>
      </c>
      <c r="W25" s="42" t="str">
        <f aca="false">IF(R25="","",ROUND(R25*(Inputs!$F$9+SUM(W$6:W24))*Inputs!$F$10,2))</f>
        <v/>
      </c>
      <c r="X25" s="42" t="str">
        <f aca="false">IF(R25="","",Inputs!$F$9+SUM(W$7:W25))</f>
        <v/>
      </c>
      <c r="Y25" s="43" t="str">
        <f aca="false">IF(S25="Yes",R25,"")</f>
        <v/>
      </c>
      <c r="Z25" s="43" t="str">
        <f aca="false">IF(Y25="","",SUM(Y$7:Y25))</f>
        <v/>
      </c>
      <c r="AA25" s="43" t="str">
        <f aca="false">IF(Y25="","",MAX(0,MAX(Z$7:Z25)))</f>
        <v/>
      </c>
      <c r="AB25" s="43" t="str">
        <f aca="false">IF(Y25="","",Z25-AA25)</f>
        <v/>
      </c>
    </row>
    <row r="26" customFormat="false" ht="15" hidden="false" customHeight="false" outlineLevel="0" collapsed="false">
      <c r="B26" s="38"/>
      <c r="C26" s="39" t="str">
        <f aca="false">IF(B26="","",INT((B26-Inputs!$F$8)/7)+1)</f>
        <v/>
      </c>
      <c r="D26" s="39" t="str">
        <f aca="false">IF(B26="","",COUNTIF(B$7:B26,B26))</f>
        <v/>
      </c>
      <c r="E26" s="34"/>
      <c r="F26" s="34"/>
      <c r="G26" s="34"/>
      <c r="H26" s="34"/>
      <c r="I26" s="34"/>
      <c r="J26" s="35"/>
      <c r="K26" s="35"/>
      <c r="L26" s="40" t="str">
        <f aca="false">IF(OR(J26="",K26=""),"",IF(G26="Long",J26+Inputs!$F$15*(J26-K26),J26-Inputs!$F$15*(K26-J26)))</f>
        <v/>
      </c>
      <c r="M26" s="35"/>
      <c r="N26" s="34"/>
      <c r="O26" s="35"/>
      <c r="P26" s="34"/>
      <c r="Q26" s="41"/>
      <c r="R26" s="36" t="str">
        <f aca="false">IF(OR(M26="",J26="",K26="",J26=K26),"",ROUND(IF(G26="Long",(M26-J26)/(J26-K26),(J26-M26)/(K26-J26)),2))</f>
        <v/>
      </c>
      <c r="S26" s="39" t="str">
        <f aca="false">IF(B26="","",IF(AND(I26="Y",OR(P26="None",P26="")),"Yes","No"))</f>
        <v/>
      </c>
      <c r="T26" s="36" t="str">
        <f aca="false">IF(OR(O26="",J26="",K26="",J26=K26),"",ROUND(IF(G26="Long",(O26-J26)/(J26-K26),(J26-O26)/(K26-J26)),2))</f>
        <v/>
      </c>
      <c r="U26" s="36" t="str">
        <f aca="false">IF(OR(R26="",T26=""),"",IF(T26&gt;=2,2,IF(N26="Target",-1,R26)))</f>
        <v/>
      </c>
      <c r="V26" s="36" t="str">
        <f aca="false">IF(OR(R26="",T26=""),"",IF(T26&gt;=3,3,IF(N26="Target",-1,R26)))</f>
        <v/>
      </c>
      <c r="W26" s="42" t="str">
        <f aca="false">IF(R26="","",ROUND(R26*(Inputs!$F$9+SUM(W$6:W25))*Inputs!$F$10,2))</f>
        <v/>
      </c>
      <c r="X26" s="42" t="str">
        <f aca="false">IF(R26="","",Inputs!$F$9+SUM(W$7:W26))</f>
        <v/>
      </c>
      <c r="Y26" s="43" t="str">
        <f aca="false">IF(S26="Yes",R26,"")</f>
        <v/>
      </c>
      <c r="Z26" s="43" t="str">
        <f aca="false">IF(Y26="","",SUM(Y$7:Y26))</f>
        <v/>
      </c>
      <c r="AA26" s="43" t="str">
        <f aca="false">IF(Y26="","",MAX(0,MAX(Z$7:Z26)))</f>
        <v/>
      </c>
      <c r="AB26" s="43" t="str">
        <f aca="false">IF(Y26="","",Z26-AA26)</f>
        <v/>
      </c>
    </row>
    <row r="27" customFormat="false" ht="15" hidden="false" customHeight="false" outlineLevel="0" collapsed="false">
      <c r="B27" s="38"/>
      <c r="C27" s="39" t="str">
        <f aca="false">IF(B27="","",INT((B27-Inputs!$F$8)/7)+1)</f>
        <v/>
      </c>
      <c r="D27" s="39" t="str">
        <f aca="false">IF(B27="","",COUNTIF(B$7:B27,B27))</f>
        <v/>
      </c>
      <c r="E27" s="34"/>
      <c r="F27" s="34"/>
      <c r="G27" s="34"/>
      <c r="H27" s="34"/>
      <c r="I27" s="34"/>
      <c r="J27" s="35"/>
      <c r="K27" s="35"/>
      <c r="L27" s="40" t="str">
        <f aca="false">IF(OR(J27="",K27=""),"",IF(G27="Long",J27+Inputs!$F$15*(J27-K27),J27-Inputs!$F$15*(K27-J27)))</f>
        <v/>
      </c>
      <c r="M27" s="35"/>
      <c r="N27" s="34"/>
      <c r="O27" s="35"/>
      <c r="P27" s="34"/>
      <c r="Q27" s="41"/>
      <c r="R27" s="36" t="str">
        <f aca="false">IF(OR(M27="",J27="",K27="",J27=K27),"",ROUND(IF(G27="Long",(M27-J27)/(J27-K27),(J27-M27)/(K27-J27)),2))</f>
        <v/>
      </c>
      <c r="S27" s="39" t="str">
        <f aca="false">IF(B27="","",IF(AND(I27="Y",OR(P27="None",P27="")),"Yes","No"))</f>
        <v/>
      </c>
      <c r="T27" s="36" t="str">
        <f aca="false">IF(OR(O27="",J27="",K27="",J27=K27),"",ROUND(IF(G27="Long",(O27-J27)/(J27-K27),(J27-O27)/(K27-J27)),2))</f>
        <v/>
      </c>
      <c r="U27" s="36" t="str">
        <f aca="false">IF(OR(R27="",T27=""),"",IF(T27&gt;=2,2,IF(N27="Target",-1,R27)))</f>
        <v/>
      </c>
      <c r="V27" s="36" t="str">
        <f aca="false">IF(OR(R27="",T27=""),"",IF(T27&gt;=3,3,IF(N27="Target",-1,R27)))</f>
        <v/>
      </c>
      <c r="W27" s="42" t="str">
        <f aca="false">IF(R27="","",ROUND(R27*(Inputs!$F$9+SUM(W$6:W26))*Inputs!$F$10,2))</f>
        <v/>
      </c>
      <c r="X27" s="42" t="str">
        <f aca="false">IF(R27="","",Inputs!$F$9+SUM(W$7:W27))</f>
        <v/>
      </c>
      <c r="Y27" s="43" t="str">
        <f aca="false">IF(S27="Yes",R27,"")</f>
        <v/>
      </c>
      <c r="Z27" s="43" t="str">
        <f aca="false">IF(Y27="","",SUM(Y$7:Y27))</f>
        <v/>
      </c>
      <c r="AA27" s="43" t="str">
        <f aca="false">IF(Y27="","",MAX(0,MAX(Z$7:Z27)))</f>
        <v/>
      </c>
      <c r="AB27" s="43" t="str">
        <f aca="false">IF(Y27="","",Z27-AA27)</f>
        <v/>
      </c>
    </row>
    <row r="28" customFormat="false" ht="15" hidden="false" customHeight="false" outlineLevel="0" collapsed="false">
      <c r="B28" s="38"/>
      <c r="C28" s="39" t="str">
        <f aca="false">IF(B28="","",INT((B28-Inputs!$F$8)/7)+1)</f>
        <v/>
      </c>
      <c r="D28" s="39" t="str">
        <f aca="false">IF(B28="","",COUNTIF(B$7:B28,B28))</f>
        <v/>
      </c>
      <c r="E28" s="34"/>
      <c r="F28" s="34"/>
      <c r="G28" s="34"/>
      <c r="H28" s="34"/>
      <c r="I28" s="34"/>
      <c r="J28" s="35"/>
      <c r="K28" s="35"/>
      <c r="L28" s="40" t="str">
        <f aca="false">IF(OR(J28="",K28=""),"",IF(G28="Long",J28+Inputs!$F$15*(J28-K28),J28-Inputs!$F$15*(K28-J28)))</f>
        <v/>
      </c>
      <c r="M28" s="35"/>
      <c r="N28" s="34"/>
      <c r="O28" s="35"/>
      <c r="P28" s="34"/>
      <c r="Q28" s="41"/>
      <c r="R28" s="36" t="str">
        <f aca="false">IF(OR(M28="",J28="",K28="",J28=K28),"",ROUND(IF(G28="Long",(M28-J28)/(J28-K28),(J28-M28)/(K28-J28)),2))</f>
        <v/>
      </c>
      <c r="S28" s="39" t="str">
        <f aca="false">IF(B28="","",IF(AND(I28="Y",OR(P28="None",P28="")),"Yes","No"))</f>
        <v/>
      </c>
      <c r="T28" s="36" t="str">
        <f aca="false">IF(OR(O28="",J28="",K28="",J28=K28),"",ROUND(IF(G28="Long",(O28-J28)/(J28-K28),(J28-O28)/(K28-J28)),2))</f>
        <v/>
      </c>
      <c r="U28" s="36" t="str">
        <f aca="false">IF(OR(R28="",T28=""),"",IF(T28&gt;=2,2,IF(N28="Target",-1,R28)))</f>
        <v/>
      </c>
      <c r="V28" s="36" t="str">
        <f aca="false">IF(OR(R28="",T28=""),"",IF(T28&gt;=3,3,IF(N28="Target",-1,R28)))</f>
        <v/>
      </c>
      <c r="W28" s="42" t="str">
        <f aca="false">IF(R28="","",ROUND(R28*(Inputs!$F$9+SUM(W$6:W27))*Inputs!$F$10,2))</f>
        <v/>
      </c>
      <c r="X28" s="42" t="str">
        <f aca="false">IF(R28="","",Inputs!$F$9+SUM(W$7:W28))</f>
        <v/>
      </c>
      <c r="Y28" s="43" t="str">
        <f aca="false">IF(S28="Yes",R28,"")</f>
        <v/>
      </c>
      <c r="Z28" s="43" t="str">
        <f aca="false">IF(Y28="","",SUM(Y$7:Y28))</f>
        <v/>
      </c>
      <c r="AA28" s="43" t="str">
        <f aca="false">IF(Y28="","",MAX(0,MAX(Z$7:Z28)))</f>
        <v/>
      </c>
      <c r="AB28" s="43" t="str">
        <f aca="false">IF(Y28="","",Z28-AA28)</f>
        <v/>
      </c>
    </row>
    <row r="29" customFormat="false" ht="15" hidden="false" customHeight="false" outlineLevel="0" collapsed="false">
      <c r="B29" s="38"/>
      <c r="C29" s="39" t="str">
        <f aca="false">IF(B29="","",INT((B29-Inputs!$F$8)/7)+1)</f>
        <v/>
      </c>
      <c r="D29" s="39" t="str">
        <f aca="false">IF(B29="","",COUNTIF(B$7:B29,B29))</f>
        <v/>
      </c>
      <c r="E29" s="34"/>
      <c r="F29" s="34"/>
      <c r="G29" s="34"/>
      <c r="H29" s="34"/>
      <c r="I29" s="34"/>
      <c r="J29" s="35"/>
      <c r="K29" s="35"/>
      <c r="L29" s="40" t="str">
        <f aca="false">IF(OR(J29="",K29=""),"",IF(G29="Long",J29+Inputs!$F$15*(J29-K29),J29-Inputs!$F$15*(K29-J29)))</f>
        <v/>
      </c>
      <c r="M29" s="35"/>
      <c r="N29" s="34"/>
      <c r="O29" s="35"/>
      <c r="P29" s="34"/>
      <c r="Q29" s="41"/>
      <c r="R29" s="36" t="str">
        <f aca="false">IF(OR(M29="",J29="",K29="",J29=K29),"",ROUND(IF(G29="Long",(M29-J29)/(J29-K29),(J29-M29)/(K29-J29)),2))</f>
        <v/>
      </c>
      <c r="S29" s="39" t="str">
        <f aca="false">IF(B29="","",IF(AND(I29="Y",OR(P29="None",P29="")),"Yes","No"))</f>
        <v/>
      </c>
      <c r="T29" s="36" t="str">
        <f aca="false">IF(OR(O29="",J29="",K29="",J29=K29),"",ROUND(IF(G29="Long",(O29-J29)/(J29-K29),(J29-O29)/(K29-J29)),2))</f>
        <v/>
      </c>
      <c r="U29" s="36" t="str">
        <f aca="false">IF(OR(R29="",T29=""),"",IF(T29&gt;=2,2,IF(N29="Target",-1,R29)))</f>
        <v/>
      </c>
      <c r="V29" s="36" t="str">
        <f aca="false">IF(OR(R29="",T29=""),"",IF(T29&gt;=3,3,IF(N29="Target",-1,R29)))</f>
        <v/>
      </c>
      <c r="W29" s="42" t="str">
        <f aca="false">IF(R29="","",ROUND(R29*(Inputs!$F$9+SUM(W$6:W28))*Inputs!$F$10,2))</f>
        <v/>
      </c>
      <c r="X29" s="42" t="str">
        <f aca="false">IF(R29="","",Inputs!$F$9+SUM(W$7:W29))</f>
        <v/>
      </c>
      <c r="Y29" s="43" t="str">
        <f aca="false">IF(S29="Yes",R29,"")</f>
        <v/>
      </c>
      <c r="Z29" s="43" t="str">
        <f aca="false">IF(Y29="","",SUM(Y$7:Y29))</f>
        <v/>
      </c>
      <c r="AA29" s="43" t="str">
        <f aca="false">IF(Y29="","",MAX(0,MAX(Z$7:Z29)))</f>
        <v/>
      </c>
      <c r="AB29" s="43" t="str">
        <f aca="false">IF(Y29="","",Z29-AA29)</f>
        <v/>
      </c>
    </row>
    <row r="30" customFormat="false" ht="15" hidden="false" customHeight="false" outlineLevel="0" collapsed="false">
      <c r="B30" s="38"/>
      <c r="C30" s="39" t="str">
        <f aca="false">IF(B30="","",INT((B30-Inputs!$F$8)/7)+1)</f>
        <v/>
      </c>
      <c r="D30" s="39" t="str">
        <f aca="false">IF(B30="","",COUNTIF(B$7:B30,B30))</f>
        <v/>
      </c>
      <c r="E30" s="34"/>
      <c r="F30" s="34"/>
      <c r="G30" s="34"/>
      <c r="H30" s="34"/>
      <c r="I30" s="34"/>
      <c r="J30" s="35"/>
      <c r="K30" s="35"/>
      <c r="L30" s="40" t="str">
        <f aca="false">IF(OR(J30="",K30=""),"",IF(G30="Long",J30+Inputs!$F$15*(J30-K30),J30-Inputs!$F$15*(K30-J30)))</f>
        <v/>
      </c>
      <c r="M30" s="35"/>
      <c r="N30" s="34"/>
      <c r="O30" s="35"/>
      <c r="P30" s="34"/>
      <c r="Q30" s="41"/>
      <c r="R30" s="36" t="str">
        <f aca="false">IF(OR(M30="",J30="",K30="",J30=K30),"",ROUND(IF(G30="Long",(M30-J30)/(J30-K30),(J30-M30)/(K30-J30)),2))</f>
        <v/>
      </c>
      <c r="S30" s="39" t="str">
        <f aca="false">IF(B30="","",IF(AND(I30="Y",OR(P30="None",P30="")),"Yes","No"))</f>
        <v/>
      </c>
      <c r="T30" s="36" t="str">
        <f aca="false">IF(OR(O30="",J30="",K30="",J30=K30),"",ROUND(IF(G30="Long",(O30-J30)/(J30-K30),(J30-O30)/(K30-J30)),2))</f>
        <v/>
      </c>
      <c r="U30" s="36" t="str">
        <f aca="false">IF(OR(R30="",T30=""),"",IF(T30&gt;=2,2,IF(N30="Target",-1,R30)))</f>
        <v/>
      </c>
      <c r="V30" s="36" t="str">
        <f aca="false">IF(OR(R30="",T30=""),"",IF(T30&gt;=3,3,IF(N30="Target",-1,R30)))</f>
        <v/>
      </c>
      <c r="W30" s="42" t="str">
        <f aca="false">IF(R30="","",ROUND(R30*(Inputs!$F$9+SUM(W$6:W29))*Inputs!$F$10,2))</f>
        <v/>
      </c>
      <c r="X30" s="42" t="str">
        <f aca="false">IF(R30="","",Inputs!$F$9+SUM(W$7:W30))</f>
        <v/>
      </c>
      <c r="Y30" s="43" t="str">
        <f aca="false">IF(S30="Yes",R30,"")</f>
        <v/>
      </c>
      <c r="Z30" s="43" t="str">
        <f aca="false">IF(Y30="","",SUM(Y$7:Y30))</f>
        <v/>
      </c>
      <c r="AA30" s="43" t="str">
        <f aca="false">IF(Y30="","",MAX(0,MAX(Z$7:Z30)))</f>
        <v/>
      </c>
      <c r="AB30" s="43" t="str">
        <f aca="false">IF(Y30="","",Z30-AA30)</f>
        <v/>
      </c>
    </row>
    <row r="31" customFormat="false" ht="15" hidden="false" customHeight="false" outlineLevel="0" collapsed="false">
      <c r="B31" s="38"/>
      <c r="C31" s="39" t="str">
        <f aca="false">IF(B31="","",INT((B31-Inputs!$F$8)/7)+1)</f>
        <v/>
      </c>
      <c r="D31" s="39" t="str">
        <f aca="false">IF(B31="","",COUNTIF(B$7:B31,B31))</f>
        <v/>
      </c>
      <c r="E31" s="34"/>
      <c r="F31" s="34"/>
      <c r="G31" s="34"/>
      <c r="H31" s="34"/>
      <c r="I31" s="34"/>
      <c r="J31" s="35"/>
      <c r="K31" s="35"/>
      <c r="L31" s="40" t="str">
        <f aca="false">IF(OR(J31="",K31=""),"",IF(G31="Long",J31+Inputs!$F$15*(J31-K31),J31-Inputs!$F$15*(K31-J31)))</f>
        <v/>
      </c>
      <c r="M31" s="35"/>
      <c r="N31" s="34"/>
      <c r="O31" s="35"/>
      <c r="P31" s="34"/>
      <c r="Q31" s="41"/>
      <c r="R31" s="36" t="str">
        <f aca="false">IF(OR(M31="",J31="",K31="",J31=K31),"",ROUND(IF(G31="Long",(M31-J31)/(J31-K31),(J31-M31)/(K31-J31)),2))</f>
        <v/>
      </c>
      <c r="S31" s="39" t="str">
        <f aca="false">IF(B31="","",IF(AND(I31="Y",OR(P31="None",P31="")),"Yes","No"))</f>
        <v/>
      </c>
      <c r="T31" s="36" t="str">
        <f aca="false">IF(OR(O31="",J31="",K31="",J31=K31),"",ROUND(IF(G31="Long",(O31-J31)/(J31-K31),(J31-O31)/(K31-J31)),2))</f>
        <v/>
      </c>
      <c r="U31" s="36" t="str">
        <f aca="false">IF(OR(R31="",T31=""),"",IF(T31&gt;=2,2,IF(N31="Target",-1,R31)))</f>
        <v/>
      </c>
      <c r="V31" s="36" t="str">
        <f aca="false">IF(OR(R31="",T31=""),"",IF(T31&gt;=3,3,IF(N31="Target",-1,R31)))</f>
        <v/>
      </c>
      <c r="W31" s="42" t="str">
        <f aca="false">IF(R31="","",ROUND(R31*(Inputs!$F$9+SUM(W$6:W30))*Inputs!$F$10,2))</f>
        <v/>
      </c>
      <c r="X31" s="42" t="str">
        <f aca="false">IF(R31="","",Inputs!$F$9+SUM(W$7:W31))</f>
        <v/>
      </c>
      <c r="Y31" s="43" t="str">
        <f aca="false">IF(S31="Yes",R31,"")</f>
        <v/>
      </c>
      <c r="Z31" s="43" t="str">
        <f aca="false">IF(Y31="","",SUM(Y$7:Y31))</f>
        <v/>
      </c>
      <c r="AA31" s="43" t="str">
        <f aca="false">IF(Y31="","",MAX(0,MAX(Z$7:Z31)))</f>
        <v/>
      </c>
      <c r="AB31" s="43" t="str">
        <f aca="false">IF(Y31="","",Z31-AA31)</f>
        <v/>
      </c>
    </row>
    <row r="32" customFormat="false" ht="15" hidden="false" customHeight="false" outlineLevel="0" collapsed="false">
      <c r="B32" s="38"/>
      <c r="C32" s="39" t="str">
        <f aca="false">IF(B32="","",INT((B32-Inputs!$F$8)/7)+1)</f>
        <v/>
      </c>
      <c r="D32" s="39" t="str">
        <f aca="false">IF(B32="","",COUNTIF(B$7:B32,B32))</f>
        <v/>
      </c>
      <c r="E32" s="34"/>
      <c r="F32" s="34"/>
      <c r="G32" s="34"/>
      <c r="H32" s="34"/>
      <c r="I32" s="34"/>
      <c r="J32" s="35"/>
      <c r="K32" s="35"/>
      <c r="L32" s="40" t="str">
        <f aca="false">IF(OR(J32="",K32=""),"",IF(G32="Long",J32+Inputs!$F$15*(J32-K32),J32-Inputs!$F$15*(K32-J32)))</f>
        <v/>
      </c>
      <c r="M32" s="35"/>
      <c r="N32" s="34"/>
      <c r="O32" s="35"/>
      <c r="P32" s="34"/>
      <c r="Q32" s="41"/>
      <c r="R32" s="36" t="str">
        <f aca="false">IF(OR(M32="",J32="",K32="",J32=K32),"",ROUND(IF(G32="Long",(M32-J32)/(J32-K32),(J32-M32)/(K32-J32)),2))</f>
        <v/>
      </c>
      <c r="S32" s="39" t="str">
        <f aca="false">IF(B32="","",IF(AND(I32="Y",OR(P32="None",P32="")),"Yes","No"))</f>
        <v/>
      </c>
      <c r="T32" s="36" t="str">
        <f aca="false">IF(OR(O32="",J32="",K32="",J32=K32),"",ROUND(IF(G32="Long",(O32-J32)/(J32-K32),(J32-O32)/(K32-J32)),2))</f>
        <v/>
      </c>
      <c r="U32" s="36" t="str">
        <f aca="false">IF(OR(R32="",T32=""),"",IF(T32&gt;=2,2,IF(N32="Target",-1,R32)))</f>
        <v/>
      </c>
      <c r="V32" s="36" t="str">
        <f aca="false">IF(OR(R32="",T32=""),"",IF(T32&gt;=3,3,IF(N32="Target",-1,R32)))</f>
        <v/>
      </c>
      <c r="W32" s="42" t="str">
        <f aca="false">IF(R32="","",ROUND(R32*(Inputs!$F$9+SUM(W$6:W31))*Inputs!$F$10,2))</f>
        <v/>
      </c>
      <c r="X32" s="42" t="str">
        <f aca="false">IF(R32="","",Inputs!$F$9+SUM(W$7:W32))</f>
        <v/>
      </c>
      <c r="Y32" s="43" t="str">
        <f aca="false">IF(S32="Yes",R32,"")</f>
        <v/>
      </c>
      <c r="Z32" s="43" t="str">
        <f aca="false">IF(Y32="","",SUM(Y$7:Y32))</f>
        <v/>
      </c>
      <c r="AA32" s="43" t="str">
        <f aca="false">IF(Y32="","",MAX(0,MAX(Z$7:Z32)))</f>
        <v/>
      </c>
      <c r="AB32" s="43" t="str">
        <f aca="false">IF(Y32="","",Z32-AA32)</f>
        <v/>
      </c>
    </row>
    <row r="33" customFormat="false" ht="15" hidden="false" customHeight="false" outlineLevel="0" collapsed="false">
      <c r="B33" s="38"/>
      <c r="C33" s="39" t="str">
        <f aca="false">IF(B33="","",INT((B33-Inputs!$F$8)/7)+1)</f>
        <v/>
      </c>
      <c r="D33" s="39" t="str">
        <f aca="false">IF(B33="","",COUNTIF(B$7:B33,B33))</f>
        <v/>
      </c>
      <c r="E33" s="34"/>
      <c r="F33" s="34"/>
      <c r="G33" s="34"/>
      <c r="H33" s="34"/>
      <c r="I33" s="34"/>
      <c r="J33" s="35"/>
      <c r="K33" s="35"/>
      <c r="L33" s="40" t="str">
        <f aca="false">IF(OR(J33="",K33=""),"",IF(G33="Long",J33+Inputs!$F$15*(J33-K33),J33-Inputs!$F$15*(K33-J33)))</f>
        <v/>
      </c>
      <c r="M33" s="35"/>
      <c r="N33" s="34"/>
      <c r="O33" s="35"/>
      <c r="P33" s="34"/>
      <c r="Q33" s="41"/>
      <c r="R33" s="36" t="str">
        <f aca="false">IF(OR(M33="",J33="",K33="",J33=K33),"",ROUND(IF(G33="Long",(M33-J33)/(J33-K33),(J33-M33)/(K33-J33)),2))</f>
        <v/>
      </c>
      <c r="S33" s="39" t="str">
        <f aca="false">IF(B33="","",IF(AND(I33="Y",OR(P33="None",P33="")),"Yes","No"))</f>
        <v/>
      </c>
      <c r="T33" s="36" t="str">
        <f aca="false">IF(OR(O33="",J33="",K33="",J33=K33),"",ROUND(IF(G33="Long",(O33-J33)/(J33-K33),(J33-O33)/(K33-J33)),2))</f>
        <v/>
      </c>
      <c r="U33" s="36" t="str">
        <f aca="false">IF(OR(R33="",T33=""),"",IF(T33&gt;=2,2,IF(N33="Target",-1,R33)))</f>
        <v/>
      </c>
      <c r="V33" s="36" t="str">
        <f aca="false">IF(OR(R33="",T33=""),"",IF(T33&gt;=3,3,IF(N33="Target",-1,R33)))</f>
        <v/>
      </c>
      <c r="W33" s="42" t="str">
        <f aca="false">IF(R33="","",ROUND(R33*(Inputs!$F$9+SUM(W$6:W32))*Inputs!$F$10,2))</f>
        <v/>
      </c>
      <c r="X33" s="42" t="str">
        <f aca="false">IF(R33="","",Inputs!$F$9+SUM(W$7:W33))</f>
        <v/>
      </c>
      <c r="Y33" s="43" t="str">
        <f aca="false">IF(S33="Yes",R33,"")</f>
        <v/>
      </c>
      <c r="Z33" s="43" t="str">
        <f aca="false">IF(Y33="","",SUM(Y$7:Y33))</f>
        <v/>
      </c>
      <c r="AA33" s="43" t="str">
        <f aca="false">IF(Y33="","",MAX(0,MAX(Z$7:Z33)))</f>
        <v/>
      </c>
      <c r="AB33" s="43" t="str">
        <f aca="false">IF(Y33="","",Z33-AA33)</f>
        <v/>
      </c>
    </row>
    <row r="34" customFormat="false" ht="15" hidden="false" customHeight="false" outlineLevel="0" collapsed="false">
      <c r="B34" s="38"/>
      <c r="C34" s="39" t="str">
        <f aca="false">IF(B34="","",INT((B34-Inputs!$F$8)/7)+1)</f>
        <v/>
      </c>
      <c r="D34" s="39" t="str">
        <f aca="false">IF(B34="","",COUNTIF(B$7:B34,B34))</f>
        <v/>
      </c>
      <c r="E34" s="34"/>
      <c r="F34" s="34"/>
      <c r="G34" s="34"/>
      <c r="H34" s="34"/>
      <c r="I34" s="34"/>
      <c r="J34" s="35"/>
      <c r="K34" s="35"/>
      <c r="L34" s="40" t="str">
        <f aca="false">IF(OR(J34="",K34=""),"",IF(G34="Long",J34+Inputs!$F$15*(J34-K34),J34-Inputs!$F$15*(K34-J34)))</f>
        <v/>
      </c>
      <c r="M34" s="35"/>
      <c r="N34" s="34"/>
      <c r="O34" s="35"/>
      <c r="P34" s="34"/>
      <c r="Q34" s="41"/>
      <c r="R34" s="36" t="str">
        <f aca="false">IF(OR(M34="",J34="",K34="",J34=K34),"",ROUND(IF(G34="Long",(M34-J34)/(J34-K34),(J34-M34)/(K34-J34)),2))</f>
        <v/>
      </c>
      <c r="S34" s="39" t="str">
        <f aca="false">IF(B34="","",IF(AND(I34="Y",OR(P34="None",P34="")),"Yes","No"))</f>
        <v/>
      </c>
      <c r="T34" s="36" t="str">
        <f aca="false">IF(OR(O34="",J34="",K34="",J34=K34),"",ROUND(IF(G34="Long",(O34-J34)/(J34-K34),(J34-O34)/(K34-J34)),2))</f>
        <v/>
      </c>
      <c r="U34" s="36" t="str">
        <f aca="false">IF(OR(R34="",T34=""),"",IF(T34&gt;=2,2,IF(N34="Target",-1,R34)))</f>
        <v/>
      </c>
      <c r="V34" s="36" t="str">
        <f aca="false">IF(OR(R34="",T34=""),"",IF(T34&gt;=3,3,IF(N34="Target",-1,R34)))</f>
        <v/>
      </c>
      <c r="W34" s="42" t="str">
        <f aca="false">IF(R34="","",ROUND(R34*(Inputs!$F$9+SUM(W$6:W33))*Inputs!$F$10,2))</f>
        <v/>
      </c>
      <c r="X34" s="42" t="str">
        <f aca="false">IF(R34="","",Inputs!$F$9+SUM(W$7:W34))</f>
        <v/>
      </c>
      <c r="Y34" s="43" t="str">
        <f aca="false">IF(S34="Yes",R34,"")</f>
        <v/>
      </c>
      <c r="Z34" s="43" t="str">
        <f aca="false">IF(Y34="","",SUM(Y$7:Y34))</f>
        <v/>
      </c>
      <c r="AA34" s="43" t="str">
        <f aca="false">IF(Y34="","",MAX(0,MAX(Z$7:Z34)))</f>
        <v/>
      </c>
      <c r="AB34" s="43" t="str">
        <f aca="false">IF(Y34="","",Z34-AA34)</f>
        <v/>
      </c>
    </row>
    <row r="35" customFormat="false" ht="15" hidden="false" customHeight="false" outlineLevel="0" collapsed="false">
      <c r="B35" s="38"/>
      <c r="C35" s="39" t="str">
        <f aca="false">IF(B35="","",INT((B35-Inputs!$F$8)/7)+1)</f>
        <v/>
      </c>
      <c r="D35" s="39" t="str">
        <f aca="false">IF(B35="","",COUNTIF(B$7:B35,B35))</f>
        <v/>
      </c>
      <c r="E35" s="34"/>
      <c r="F35" s="34"/>
      <c r="G35" s="34"/>
      <c r="H35" s="34"/>
      <c r="I35" s="34"/>
      <c r="J35" s="35"/>
      <c r="K35" s="35"/>
      <c r="L35" s="40" t="str">
        <f aca="false">IF(OR(J35="",K35=""),"",IF(G35="Long",J35+Inputs!$F$15*(J35-K35),J35-Inputs!$F$15*(K35-J35)))</f>
        <v/>
      </c>
      <c r="M35" s="35"/>
      <c r="N35" s="34"/>
      <c r="O35" s="35"/>
      <c r="P35" s="34"/>
      <c r="Q35" s="41"/>
      <c r="R35" s="36" t="str">
        <f aca="false">IF(OR(M35="",J35="",K35="",J35=K35),"",ROUND(IF(G35="Long",(M35-J35)/(J35-K35),(J35-M35)/(K35-J35)),2))</f>
        <v/>
      </c>
      <c r="S35" s="39" t="str">
        <f aca="false">IF(B35="","",IF(AND(I35="Y",OR(P35="None",P35="")),"Yes","No"))</f>
        <v/>
      </c>
      <c r="T35" s="36" t="str">
        <f aca="false">IF(OR(O35="",J35="",K35="",J35=K35),"",ROUND(IF(G35="Long",(O35-J35)/(J35-K35),(J35-O35)/(K35-J35)),2))</f>
        <v/>
      </c>
      <c r="U35" s="36" t="str">
        <f aca="false">IF(OR(R35="",T35=""),"",IF(T35&gt;=2,2,IF(N35="Target",-1,R35)))</f>
        <v/>
      </c>
      <c r="V35" s="36" t="str">
        <f aca="false">IF(OR(R35="",T35=""),"",IF(T35&gt;=3,3,IF(N35="Target",-1,R35)))</f>
        <v/>
      </c>
      <c r="W35" s="42" t="str">
        <f aca="false">IF(R35="","",ROUND(R35*(Inputs!$F$9+SUM(W$6:W34))*Inputs!$F$10,2))</f>
        <v/>
      </c>
      <c r="X35" s="42" t="str">
        <f aca="false">IF(R35="","",Inputs!$F$9+SUM(W$7:W35))</f>
        <v/>
      </c>
      <c r="Y35" s="43" t="str">
        <f aca="false">IF(S35="Yes",R35,"")</f>
        <v/>
      </c>
      <c r="Z35" s="43" t="str">
        <f aca="false">IF(Y35="","",SUM(Y$7:Y35))</f>
        <v/>
      </c>
      <c r="AA35" s="43" t="str">
        <f aca="false">IF(Y35="","",MAX(0,MAX(Z$7:Z35)))</f>
        <v/>
      </c>
      <c r="AB35" s="43" t="str">
        <f aca="false">IF(Y35="","",Z35-AA35)</f>
        <v/>
      </c>
    </row>
    <row r="36" customFormat="false" ht="15" hidden="false" customHeight="false" outlineLevel="0" collapsed="false">
      <c r="B36" s="38"/>
      <c r="C36" s="39" t="str">
        <f aca="false">IF(B36="","",INT((B36-Inputs!$F$8)/7)+1)</f>
        <v/>
      </c>
      <c r="D36" s="39" t="str">
        <f aca="false">IF(B36="","",COUNTIF(B$7:B36,B36))</f>
        <v/>
      </c>
      <c r="E36" s="34"/>
      <c r="F36" s="34"/>
      <c r="G36" s="34"/>
      <c r="H36" s="34"/>
      <c r="I36" s="34"/>
      <c r="J36" s="35"/>
      <c r="K36" s="35"/>
      <c r="L36" s="40" t="str">
        <f aca="false">IF(OR(J36="",K36=""),"",IF(G36="Long",J36+Inputs!$F$15*(J36-K36),J36-Inputs!$F$15*(K36-J36)))</f>
        <v/>
      </c>
      <c r="M36" s="35"/>
      <c r="N36" s="34"/>
      <c r="O36" s="35"/>
      <c r="P36" s="34"/>
      <c r="Q36" s="41"/>
      <c r="R36" s="36" t="str">
        <f aca="false">IF(OR(M36="",J36="",K36="",J36=K36),"",ROUND(IF(G36="Long",(M36-J36)/(J36-K36),(J36-M36)/(K36-J36)),2))</f>
        <v/>
      </c>
      <c r="S36" s="39" t="str">
        <f aca="false">IF(B36="","",IF(AND(I36="Y",OR(P36="None",P36="")),"Yes","No"))</f>
        <v/>
      </c>
      <c r="T36" s="36" t="str">
        <f aca="false">IF(OR(O36="",J36="",K36="",J36=K36),"",ROUND(IF(G36="Long",(O36-J36)/(J36-K36),(J36-O36)/(K36-J36)),2))</f>
        <v/>
      </c>
      <c r="U36" s="36" t="str">
        <f aca="false">IF(OR(R36="",T36=""),"",IF(T36&gt;=2,2,IF(N36="Target",-1,R36)))</f>
        <v/>
      </c>
      <c r="V36" s="36" t="str">
        <f aca="false">IF(OR(R36="",T36=""),"",IF(T36&gt;=3,3,IF(N36="Target",-1,R36)))</f>
        <v/>
      </c>
      <c r="W36" s="42" t="str">
        <f aca="false">IF(R36="","",ROUND(R36*(Inputs!$F$9+SUM(W$6:W35))*Inputs!$F$10,2))</f>
        <v/>
      </c>
      <c r="X36" s="42" t="str">
        <f aca="false">IF(R36="","",Inputs!$F$9+SUM(W$7:W36))</f>
        <v/>
      </c>
      <c r="Y36" s="43" t="str">
        <f aca="false">IF(S36="Yes",R36,"")</f>
        <v/>
      </c>
      <c r="Z36" s="43" t="str">
        <f aca="false">IF(Y36="","",SUM(Y$7:Y36))</f>
        <v/>
      </c>
      <c r="AA36" s="43" t="str">
        <f aca="false">IF(Y36="","",MAX(0,MAX(Z$7:Z36)))</f>
        <v/>
      </c>
      <c r="AB36" s="43" t="str">
        <f aca="false">IF(Y36="","",Z36-AA36)</f>
        <v/>
      </c>
    </row>
    <row r="37" customFormat="false" ht="15" hidden="false" customHeight="false" outlineLevel="0" collapsed="false">
      <c r="B37" s="38"/>
      <c r="C37" s="39" t="str">
        <f aca="false">IF(B37="","",INT((B37-Inputs!$F$8)/7)+1)</f>
        <v/>
      </c>
      <c r="D37" s="39" t="str">
        <f aca="false">IF(B37="","",COUNTIF(B$7:B37,B37))</f>
        <v/>
      </c>
      <c r="E37" s="34"/>
      <c r="F37" s="34"/>
      <c r="G37" s="34"/>
      <c r="H37" s="34"/>
      <c r="I37" s="34"/>
      <c r="J37" s="35"/>
      <c r="K37" s="35"/>
      <c r="L37" s="40" t="str">
        <f aca="false">IF(OR(J37="",K37=""),"",IF(G37="Long",J37+Inputs!$F$15*(J37-K37),J37-Inputs!$F$15*(K37-J37)))</f>
        <v/>
      </c>
      <c r="M37" s="35"/>
      <c r="N37" s="34"/>
      <c r="O37" s="35"/>
      <c r="P37" s="34"/>
      <c r="Q37" s="41"/>
      <c r="R37" s="36" t="str">
        <f aca="false">IF(OR(M37="",J37="",K37="",J37=K37),"",ROUND(IF(G37="Long",(M37-J37)/(J37-K37),(J37-M37)/(K37-J37)),2))</f>
        <v/>
      </c>
      <c r="S37" s="39" t="str">
        <f aca="false">IF(B37="","",IF(AND(I37="Y",OR(P37="None",P37="")),"Yes","No"))</f>
        <v/>
      </c>
      <c r="T37" s="36" t="str">
        <f aca="false">IF(OR(O37="",J37="",K37="",J37=K37),"",ROUND(IF(G37="Long",(O37-J37)/(J37-K37),(J37-O37)/(K37-J37)),2))</f>
        <v/>
      </c>
      <c r="U37" s="36" t="str">
        <f aca="false">IF(OR(R37="",T37=""),"",IF(T37&gt;=2,2,IF(N37="Target",-1,R37)))</f>
        <v/>
      </c>
      <c r="V37" s="36" t="str">
        <f aca="false">IF(OR(R37="",T37=""),"",IF(T37&gt;=3,3,IF(N37="Target",-1,R37)))</f>
        <v/>
      </c>
      <c r="W37" s="42" t="str">
        <f aca="false">IF(R37="","",ROUND(R37*(Inputs!$F$9+SUM(W$6:W36))*Inputs!$F$10,2))</f>
        <v/>
      </c>
      <c r="X37" s="42" t="str">
        <f aca="false">IF(R37="","",Inputs!$F$9+SUM(W$7:W37))</f>
        <v/>
      </c>
      <c r="Y37" s="43" t="str">
        <f aca="false">IF(S37="Yes",R37,"")</f>
        <v/>
      </c>
      <c r="Z37" s="43" t="str">
        <f aca="false">IF(Y37="","",SUM(Y$7:Y37))</f>
        <v/>
      </c>
      <c r="AA37" s="43" t="str">
        <f aca="false">IF(Y37="","",MAX(0,MAX(Z$7:Z37)))</f>
        <v/>
      </c>
      <c r="AB37" s="43" t="str">
        <f aca="false">IF(Y37="","",Z37-AA37)</f>
        <v/>
      </c>
    </row>
    <row r="38" customFormat="false" ht="15" hidden="false" customHeight="false" outlineLevel="0" collapsed="false">
      <c r="B38" s="38"/>
      <c r="C38" s="39" t="str">
        <f aca="false">IF(B38="","",INT((B38-Inputs!$F$8)/7)+1)</f>
        <v/>
      </c>
      <c r="D38" s="39" t="str">
        <f aca="false">IF(B38="","",COUNTIF(B$7:B38,B38))</f>
        <v/>
      </c>
      <c r="E38" s="34"/>
      <c r="F38" s="34"/>
      <c r="G38" s="34"/>
      <c r="H38" s="34"/>
      <c r="I38" s="34"/>
      <c r="J38" s="35"/>
      <c r="K38" s="35"/>
      <c r="L38" s="40" t="str">
        <f aca="false">IF(OR(J38="",K38=""),"",IF(G38="Long",J38+Inputs!$F$15*(J38-K38),J38-Inputs!$F$15*(K38-J38)))</f>
        <v/>
      </c>
      <c r="M38" s="35"/>
      <c r="N38" s="34"/>
      <c r="O38" s="35"/>
      <c r="P38" s="34"/>
      <c r="Q38" s="41"/>
      <c r="R38" s="36" t="str">
        <f aca="false">IF(OR(M38="",J38="",K38="",J38=K38),"",ROUND(IF(G38="Long",(M38-J38)/(J38-K38),(J38-M38)/(K38-J38)),2))</f>
        <v/>
      </c>
      <c r="S38" s="39" t="str">
        <f aca="false">IF(B38="","",IF(AND(I38="Y",OR(P38="None",P38="")),"Yes","No"))</f>
        <v/>
      </c>
      <c r="T38" s="36" t="str">
        <f aca="false">IF(OR(O38="",J38="",K38="",J38=K38),"",ROUND(IF(G38="Long",(O38-J38)/(J38-K38),(J38-O38)/(K38-J38)),2))</f>
        <v/>
      </c>
      <c r="U38" s="36" t="str">
        <f aca="false">IF(OR(R38="",T38=""),"",IF(T38&gt;=2,2,IF(N38="Target",-1,R38)))</f>
        <v/>
      </c>
      <c r="V38" s="36" t="str">
        <f aca="false">IF(OR(R38="",T38=""),"",IF(T38&gt;=3,3,IF(N38="Target",-1,R38)))</f>
        <v/>
      </c>
      <c r="W38" s="42" t="str">
        <f aca="false">IF(R38="","",ROUND(R38*(Inputs!$F$9+SUM(W$6:W37))*Inputs!$F$10,2))</f>
        <v/>
      </c>
      <c r="X38" s="42" t="str">
        <f aca="false">IF(R38="","",Inputs!$F$9+SUM(W$7:W38))</f>
        <v/>
      </c>
      <c r="Y38" s="43" t="str">
        <f aca="false">IF(S38="Yes",R38,"")</f>
        <v/>
      </c>
      <c r="Z38" s="43" t="str">
        <f aca="false">IF(Y38="","",SUM(Y$7:Y38))</f>
        <v/>
      </c>
      <c r="AA38" s="43" t="str">
        <f aca="false">IF(Y38="","",MAX(0,MAX(Z$7:Z38)))</f>
        <v/>
      </c>
      <c r="AB38" s="43" t="str">
        <f aca="false">IF(Y38="","",Z38-AA38)</f>
        <v/>
      </c>
    </row>
    <row r="39" customFormat="false" ht="15" hidden="false" customHeight="false" outlineLevel="0" collapsed="false">
      <c r="B39" s="38"/>
      <c r="C39" s="39" t="str">
        <f aca="false">IF(B39="","",INT((B39-Inputs!$F$8)/7)+1)</f>
        <v/>
      </c>
      <c r="D39" s="39" t="str">
        <f aca="false">IF(B39="","",COUNTIF(B$7:B39,B39))</f>
        <v/>
      </c>
      <c r="E39" s="34"/>
      <c r="F39" s="34"/>
      <c r="G39" s="34"/>
      <c r="H39" s="34"/>
      <c r="I39" s="34"/>
      <c r="J39" s="35"/>
      <c r="K39" s="35"/>
      <c r="L39" s="40" t="str">
        <f aca="false">IF(OR(J39="",K39=""),"",IF(G39="Long",J39+Inputs!$F$15*(J39-K39),J39-Inputs!$F$15*(K39-J39)))</f>
        <v/>
      </c>
      <c r="M39" s="35"/>
      <c r="N39" s="34"/>
      <c r="O39" s="35"/>
      <c r="P39" s="34"/>
      <c r="Q39" s="41"/>
      <c r="R39" s="36" t="str">
        <f aca="false">IF(OR(M39="",J39="",K39="",J39=K39),"",ROUND(IF(G39="Long",(M39-J39)/(J39-K39),(J39-M39)/(K39-J39)),2))</f>
        <v/>
      </c>
      <c r="S39" s="39" t="str">
        <f aca="false">IF(B39="","",IF(AND(I39="Y",OR(P39="None",P39="")),"Yes","No"))</f>
        <v/>
      </c>
      <c r="T39" s="36" t="str">
        <f aca="false">IF(OR(O39="",J39="",K39="",J39=K39),"",ROUND(IF(G39="Long",(O39-J39)/(J39-K39),(J39-O39)/(K39-J39)),2))</f>
        <v/>
      </c>
      <c r="U39" s="36" t="str">
        <f aca="false">IF(OR(R39="",T39=""),"",IF(T39&gt;=2,2,IF(N39="Target",-1,R39)))</f>
        <v/>
      </c>
      <c r="V39" s="36" t="str">
        <f aca="false">IF(OR(R39="",T39=""),"",IF(T39&gt;=3,3,IF(N39="Target",-1,R39)))</f>
        <v/>
      </c>
      <c r="W39" s="42" t="str">
        <f aca="false">IF(R39="","",ROUND(R39*(Inputs!$F$9+SUM(W$6:W38))*Inputs!$F$10,2))</f>
        <v/>
      </c>
      <c r="X39" s="42" t="str">
        <f aca="false">IF(R39="","",Inputs!$F$9+SUM(W$7:W39))</f>
        <v/>
      </c>
      <c r="Y39" s="43" t="str">
        <f aca="false">IF(S39="Yes",R39,"")</f>
        <v/>
      </c>
      <c r="Z39" s="43" t="str">
        <f aca="false">IF(Y39="","",SUM(Y$7:Y39))</f>
        <v/>
      </c>
      <c r="AA39" s="43" t="str">
        <f aca="false">IF(Y39="","",MAX(0,MAX(Z$7:Z39)))</f>
        <v/>
      </c>
      <c r="AB39" s="43" t="str">
        <f aca="false">IF(Y39="","",Z39-AA39)</f>
        <v/>
      </c>
    </row>
    <row r="40" customFormat="false" ht="15" hidden="false" customHeight="false" outlineLevel="0" collapsed="false">
      <c r="B40" s="38"/>
      <c r="C40" s="39" t="str">
        <f aca="false">IF(B40="","",INT((B40-Inputs!$F$8)/7)+1)</f>
        <v/>
      </c>
      <c r="D40" s="39" t="str">
        <f aca="false">IF(B40="","",COUNTIF(B$7:B40,B40))</f>
        <v/>
      </c>
      <c r="E40" s="34"/>
      <c r="F40" s="34"/>
      <c r="G40" s="34"/>
      <c r="H40" s="34"/>
      <c r="I40" s="34"/>
      <c r="J40" s="35"/>
      <c r="K40" s="35"/>
      <c r="L40" s="40" t="str">
        <f aca="false">IF(OR(J40="",K40=""),"",IF(G40="Long",J40+Inputs!$F$15*(J40-K40),J40-Inputs!$F$15*(K40-J40)))</f>
        <v/>
      </c>
      <c r="M40" s="35"/>
      <c r="N40" s="34"/>
      <c r="O40" s="35"/>
      <c r="P40" s="34"/>
      <c r="Q40" s="41"/>
      <c r="R40" s="36" t="str">
        <f aca="false">IF(OR(M40="",J40="",K40="",J40=K40),"",ROUND(IF(G40="Long",(M40-J40)/(J40-K40),(J40-M40)/(K40-J40)),2))</f>
        <v/>
      </c>
      <c r="S40" s="39" t="str">
        <f aca="false">IF(B40="","",IF(AND(I40="Y",OR(P40="None",P40="")),"Yes","No"))</f>
        <v/>
      </c>
      <c r="T40" s="36" t="str">
        <f aca="false">IF(OR(O40="",J40="",K40="",J40=K40),"",ROUND(IF(G40="Long",(O40-J40)/(J40-K40),(J40-O40)/(K40-J40)),2))</f>
        <v/>
      </c>
      <c r="U40" s="36" t="str">
        <f aca="false">IF(OR(R40="",T40=""),"",IF(T40&gt;=2,2,IF(N40="Target",-1,R40)))</f>
        <v/>
      </c>
      <c r="V40" s="36" t="str">
        <f aca="false">IF(OR(R40="",T40=""),"",IF(T40&gt;=3,3,IF(N40="Target",-1,R40)))</f>
        <v/>
      </c>
      <c r="W40" s="42" t="str">
        <f aca="false">IF(R40="","",ROUND(R40*(Inputs!$F$9+SUM(W$6:W39))*Inputs!$F$10,2))</f>
        <v/>
      </c>
      <c r="X40" s="42" t="str">
        <f aca="false">IF(R40="","",Inputs!$F$9+SUM(W$7:W40))</f>
        <v/>
      </c>
      <c r="Y40" s="43" t="str">
        <f aca="false">IF(S40="Yes",R40,"")</f>
        <v/>
      </c>
      <c r="Z40" s="43" t="str">
        <f aca="false">IF(Y40="","",SUM(Y$7:Y40))</f>
        <v/>
      </c>
      <c r="AA40" s="43" t="str">
        <f aca="false">IF(Y40="","",MAX(0,MAX(Z$7:Z40)))</f>
        <v/>
      </c>
      <c r="AB40" s="43" t="str">
        <f aca="false">IF(Y40="","",Z40-AA40)</f>
        <v/>
      </c>
    </row>
    <row r="41" customFormat="false" ht="15" hidden="false" customHeight="false" outlineLevel="0" collapsed="false">
      <c r="B41" s="38"/>
      <c r="C41" s="39" t="str">
        <f aca="false">IF(B41="","",INT((B41-Inputs!$F$8)/7)+1)</f>
        <v/>
      </c>
      <c r="D41" s="39" t="str">
        <f aca="false">IF(B41="","",COUNTIF(B$7:B41,B41))</f>
        <v/>
      </c>
      <c r="E41" s="34"/>
      <c r="F41" s="34"/>
      <c r="G41" s="34"/>
      <c r="H41" s="34"/>
      <c r="I41" s="34"/>
      <c r="J41" s="35"/>
      <c r="K41" s="35"/>
      <c r="L41" s="40" t="str">
        <f aca="false">IF(OR(J41="",K41=""),"",IF(G41="Long",J41+Inputs!$F$15*(J41-K41),J41-Inputs!$F$15*(K41-J41)))</f>
        <v/>
      </c>
      <c r="M41" s="35"/>
      <c r="N41" s="34"/>
      <c r="O41" s="35"/>
      <c r="P41" s="34"/>
      <c r="Q41" s="41"/>
      <c r="R41" s="36" t="str">
        <f aca="false">IF(OR(M41="",J41="",K41="",J41=K41),"",ROUND(IF(G41="Long",(M41-J41)/(J41-K41),(J41-M41)/(K41-J41)),2))</f>
        <v/>
      </c>
      <c r="S41" s="39" t="str">
        <f aca="false">IF(B41="","",IF(AND(I41="Y",OR(P41="None",P41="")),"Yes","No"))</f>
        <v/>
      </c>
      <c r="T41" s="36" t="str">
        <f aca="false">IF(OR(O41="",J41="",K41="",J41=K41),"",ROUND(IF(G41="Long",(O41-J41)/(J41-K41),(J41-O41)/(K41-J41)),2))</f>
        <v/>
      </c>
      <c r="U41" s="36" t="str">
        <f aca="false">IF(OR(R41="",T41=""),"",IF(T41&gt;=2,2,IF(N41="Target",-1,R41)))</f>
        <v/>
      </c>
      <c r="V41" s="36" t="str">
        <f aca="false">IF(OR(R41="",T41=""),"",IF(T41&gt;=3,3,IF(N41="Target",-1,R41)))</f>
        <v/>
      </c>
      <c r="W41" s="42" t="str">
        <f aca="false">IF(R41="","",ROUND(R41*(Inputs!$F$9+SUM(W$6:W40))*Inputs!$F$10,2))</f>
        <v/>
      </c>
      <c r="X41" s="42" t="str">
        <f aca="false">IF(R41="","",Inputs!$F$9+SUM(W$7:W41))</f>
        <v/>
      </c>
      <c r="Y41" s="43" t="str">
        <f aca="false">IF(S41="Yes",R41,"")</f>
        <v/>
      </c>
      <c r="Z41" s="43" t="str">
        <f aca="false">IF(Y41="","",SUM(Y$7:Y41))</f>
        <v/>
      </c>
      <c r="AA41" s="43" t="str">
        <f aca="false">IF(Y41="","",MAX(0,MAX(Z$7:Z41)))</f>
        <v/>
      </c>
      <c r="AB41" s="43" t="str">
        <f aca="false">IF(Y41="","",Z41-AA41)</f>
        <v/>
      </c>
    </row>
    <row r="42" customFormat="false" ht="15" hidden="false" customHeight="false" outlineLevel="0" collapsed="false">
      <c r="B42" s="38"/>
      <c r="C42" s="39" t="str">
        <f aca="false">IF(B42="","",INT((B42-Inputs!$F$8)/7)+1)</f>
        <v/>
      </c>
      <c r="D42" s="39" t="str">
        <f aca="false">IF(B42="","",COUNTIF(B$7:B42,B42))</f>
        <v/>
      </c>
      <c r="E42" s="34"/>
      <c r="F42" s="34"/>
      <c r="G42" s="34"/>
      <c r="H42" s="34"/>
      <c r="I42" s="34"/>
      <c r="J42" s="35"/>
      <c r="K42" s="35"/>
      <c r="L42" s="40" t="str">
        <f aca="false">IF(OR(J42="",K42=""),"",IF(G42="Long",J42+Inputs!$F$15*(J42-K42),J42-Inputs!$F$15*(K42-J42)))</f>
        <v/>
      </c>
      <c r="M42" s="35"/>
      <c r="N42" s="34"/>
      <c r="O42" s="35"/>
      <c r="P42" s="34"/>
      <c r="Q42" s="41"/>
      <c r="R42" s="36" t="str">
        <f aca="false">IF(OR(M42="",J42="",K42="",J42=K42),"",ROUND(IF(G42="Long",(M42-J42)/(J42-K42),(J42-M42)/(K42-J42)),2))</f>
        <v/>
      </c>
      <c r="S42" s="39" t="str">
        <f aca="false">IF(B42="","",IF(AND(I42="Y",OR(P42="None",P42="")),"Yes","No"))</f>
        <v/>
      </c>
      <c r="T42" s="36" t="str">
        <f aca="false">IF(OR(O42="",J42="",K42="",J42=K42),"",ROUND(IF(G42="Long",(O42-J42)/(J42-K42),(J42-O42)/(K42-J42)),2))</f>
        <v/>
      </c>
      <c r="U42" s="36" t="str">
        <f aca="false">IF(OR(R42="",T42=""),"",IF(T42&gt;=2,2,IF(N42="Target",-1,R42)))</f>
        <v/>
      </c>
      <c r="V42" s="36" t="str">
        <f aca="false">IF(OR(R42="",T42=""),"",IF(T42&gt;=3,3,IF(N42="Target",-1,R42)))</f>
        <v/>
      </c>
      <c r="W42" s="42" t="str">
        <f aca="false">IF(R42="","",ROUND(R42*(Inputs!$F$9+SUM(W$6:W41))*Inputs!$F$10,2))</f>
        <v/>
      </c>
      <c r="X42" s="42" t="str">
        <f aca="false">IF(R42="","",Inputs!$F$9+SUM(W$7:W42))</f>
        <v/>
      </c>
      <c r="Y42" s="43" t="str">
        <f aca="false">IF(S42="Yes",R42,"")</f>
        <v/>
      </c>
      <c r="Z42" s="43" t="str">
        <f aca="false">IF(Y42="","",SUM(Y$7:Y42))</f>
        <v/>
      </c>
      <c r="AA42" s="43" t="str">
        <f aca="false">IF(Y42="","",MAX(0,MAX(Z$7:Z42)))</f>
        <v/>
      </c>
      <c r="AB42" s="43" t="str">
        <f aca="false">IF(Y42="","",Z42-AA42)</f>
        <v/>
      </c>
    </row>
    <row r="43" customFormat="false" ht="15" hidden="false" customHeight="false" outlineLevel="0" collapsed="false">
      <c r="B43" s="38"/>
      <c r="C43" s="39" t="str">
        <f aca="false">IF(B43="","",INT((B43-Inputs!$F$8)/7)+1)</f>
        <v/>
      </c>
      <c r="D43" s="39" t="str">
        <f aca="false">IF(B43="","",COUNTIF(B$7:B43,B43))</f>
        <v/>
      </c>
      <c r="E43" s="34"/>
      <c r="F43" s="34"/>
      <c r="G43" s="34"/>
      <c r="H43" s="34"/>
      <c r="I43" s="34"/>
      <c r="J43" s="35"/>
      <c r="K43" s="35"/>
      <c r="L43" s="40" t="str">
        <f aca="false">IF(OR(J43="",K43=""),"",IF(G43="Long",J43+Inputs!$F$15*(J43-K43),J43-Inputs!$F$15*(K43-J43)))</f>
        <v/>
      </c>
      <c r="M43" s="35"/>
      <c r="N43" s="34"/>
      <c r="O43" s="35"/>
      <c r="P43" s="34"/>
      <c r="Q43" s="41"/>
      <c r="R43" s="36" t="str">
        <f aca="false">IF(OR(M43="",J43="",K43="",J43=K43),"",ROUND(IF(G43="Long",(M43-J43)/(J43-K43),(J43-M43)/(K43-J43)),2))</f>
        <v/>
      </c>
      <c r="S43" s="39" t="str">
        <f aca="false">IF(B43="","",IF(AND(I43="Y",OR(P43="None",P43="")),"Yes","No"))</f>
        <v/>
      </c>
      <c r="T43" s="36" t="str">
        <f aca="false">IF(OR(O43="",J43="",K43="",J43=K43),"",ROUND(IF(G43="Long",(O43-J43)/(J43-K43),(J43-O43)/(K43-J43)),2))</f>
        <v/>
      </c>
      <c r="U43" s="36" t="str">
        <f aca="false">IF(OR(R43="",T43=""),"",IF(T43&gt;=2,2,IF(N43="Target",-1,R43)))</f>
        <v/>
      </c>
      <c r="V43" s="36" t="str">
        <f aca="false">IF(OR(R43="",T43=""),"",IF(T43&gt;=3,3,IF(N43="Target",-1,R43)))</f>
        <v/>
      </c>
      <c r="W43" s="42" t="str">
        <f aca="false">IF(R43="","",ROUND(R43*(Inputs!$F$9+SUM(W$6:W42))*Inputs!$F$10,2))</f>
        <v/>
      </c>
      <c r="X43" s="42" t="str">
        <f aca="false">IF(R43="","",Inputs!$F$9+SUM(W$7:W43))</f>
        <v/>
      </c>
      <c r="Y43" s="43" t="str">
        <f aca="false">IF(S43="Yes",R43,"")</f>
        <v/>
      </c>
      <c r="Z43" s="43" t="str">
        <f aca="false">IF(Y43="","",SUM(Y$7:Y43))</f>
        <v/>
      </c>
      <c r="AA43" s="43" t="str">
        <f aca="false">IF(Y43="","",MAX(0,MAX(Z$7:Z43)))</f>
        <v/>
      </c>
      <c r="AB43" s="43" t="str">
        <f aca="false">IF(Y43="","",Z43-AA43)</f>
        <v/>
      </c>
    </row>
    <row r="44" customFormat="false" ht="15" hidden="false" customHeight="false" outlineLevel="0" collapsed="false">
      <c r="B44" s="38"/>
      <c r="C44" s="39" t="str">
        <f aca="false">IF(B44="","",INT((B44-Inputs!$F$8)/7)+1)</f>
        <v/>
      </c>
      <c r="D44" s="39" t="str">
        <f aca="false">IF(B44="","",COUNTIF(B$7:B44,B44))</f>
        <v/>
      </c>
      <c r="E44" s="34"/>
      <c r="F44" s="34"/>
      <c r="G44" s="34"/>
      <c r="H44" s="34"/>
      <c r="I44" s="34"/>
      <c r="J44" s="35"/>
      <c r="K44" s="35"/>
      <c r="L44" s="40" t="str">
        <f aca="false">IF(OR(J44="",K44=""),"",IF(G44="Long",J44+Inputs!$F$15*(J44-K44),J44-Inputs!$F$15*(K44-J44)))</f>
        <v/>
      </c>
      <c r="M44" s="35"/>
      <c r="N44" s="34"/>
      <c r="O44" s="35"/>
      <c r="P44" s="34"/>
      <c r="Q44" s="41"/>
      <c r="R44" s="36" t="str">
        <f aca="false">IF(OR(M44="",J44="",K44="",J44=K44),"",ROUND(IF(G44="Long",(M44-J44)/(J44-K44),(J44-M44)/(K44-J44)),2))</f>
        <v/>
      </c>
      <c r="S44" s="39" t="str">
        <f aca="false">IF(B44="","",IF(AND(I44="Y",OR(P44="None",P44="")),"Yes","No"))</f>
        <v/>
      </c>
      <c r="T44" s="36" t="str">
        <f aca="false">IF(OR(O44="",J44="",K44="",J44=K44),"",ROUND(IF(G44="Long",(O44-J44)/(J44-K44),(J44-O44)/(K44-J44)),2))</f>
        <v/>
      </c>
      <c r="U44" s="36" t="str">
        <f aca="false">IF(OR(R44="",T44=""),"",IF(T44&gt;=2,2,IF(N44="Target",-1,R44)))</f>
        <v/>
      </c>
      <c r="V44" s="36" t="str">
        <f aca="false">IF(OR(R44="",T44=""),"",IF(T44&gt;=3,3,IF(N44="Target",-1,R44)))</f>
        <v/>
      </c>
      <c r="W44" s="42" t="str">
        <f aca="false">IF(R44="","",ROUND(R44*(Inputs!$F$9+SUM(W$6:W43))*Inputs!$F$10,2))</f>
        <v/>
      </c>
      <c r="X44" s="42" t="str">
        <f aca="false">IF(R44="","",Inputs!$F$9+SUM(W$7:W44))</f>
        <v/>
      </c>
      <c r="Y44" s="43" t="str">
        <f aca="false">IF(S44="Yes",R44,"")</f>
        <v/>
      </c>
      <c r="Z44" s="43" t="str">
        <f aca="false">IF(Y44="","",SUM(Y$7:Y44))</f>
        <v/>
      </c>
      <c r="AA44" s="43" t="str">
        <f aca="false">IF(Y44="","",MAX(0,MAX(Z$7:Z44)))</f>
        <v/>
      </c>
      <c r="AB44" s="43" t="str">
        <f aca="false">IF(Y44="","",Z44-AA44)</f>
        <v/>
      </c>
    </row>
    <row r="45" customFormat="false" ht="15" hidden="false" customHeight="false" outlineLevel="0" collapsed="false">
      <c r="B45" s="38"/>
      <c r="C45" s="39" t="str">
        <f aca="false">IF(B45="","",INT((B45-Inputs!$F$8)/7)+1)</f>
        <v/>
      </c>
      <c r="D45" s="39" t="str">
        <f aca="false">IF(B45="","",COUNTIF(B$7:B45,B45))</f>
        <v/>
      </c>
      <c r="E45" s="34"/>
      <c r="F45" s="34"/>
      <c r="G45" s="34"/>
      <c r="H45" s="34"/>
      <c r="I45" s="34"/>
      <c r="J45" s="35"/>
      <c r="K45" s="35"/>
      <c r="L45" s="40" t="str">
        <f aca="false">IF(OR(J45="",K45=""),"",IF(G45="Long",J45+Inputs!$F$15*(J45-K45),J45-Inputs!$F$15*(K45-J45)))</f>
        <v/>
      </c>
      <c r="M45" s="35"/>
      <c r="N45" s="34"/>
      <c r="O45" s="35"/>
      <c r="P45" s="34"/>
      <c r="Q45" s="41"/>
      <c r="R45" s="36" t="str">
        <f aca="false">IF(OR(M45="",J45="",K45="",J45=K45),"",ROUND(IF(G45="Long",(M45-J45)/(J45-K45),(J45-M45)/(K45-J45)),2))</f>
        <v/>
      </c>
      <c r="S45" s="39" t="str">
        <f aca="false">IF(B45="","",IF(AND(I45="Y",OR(P45="None",P45="")),"Yes","No"))</f>
        <v/>
      </c>
      <c r="T45" s="36" t="str">
        <f aca="false">IF(OR(O45="",J45="",K45="",J45=K45),"",ROUND(IF(G45="Long",(O45-J45)/(J45-K45),(J45-O45)/(K45-J45)),2))</f>
        <v/>
      </c>
      <c r="U45" s="36" t="str">
        <f aca="false">IF(OR(R45="",T45=""),"",IF(T45&gt;=2,2,IF(N45="Target",-1,R45)))</f>
        <v/>
      </c>
      <c r="V45" s="36" t="str">
        <f aca="false">IF(OR(R45="",T45=""),"",IF(T45&gt;=3,3,IF(N45="Target",-1,R45)))</f>
        <v/>
      </c>
      <c r="W45" s="42" t="str">
        <f aca="false">IF(R45="","",ROUND(R45*(Inputs!$F$9+SUM(W$6:W44))*Inputs!$F$10,2))</f>
        <v/>
      </c>
      <c r="X45" s="42" t="str">
        <f aca="false">IF(R45="","",Inputs!$F$9+SUM(W$7:W45))</f>
        <v/>
      </c>
      <c r="Y45" s="43" t="str">
        <f aca="false">IF(S45="Yes",R45,"")</f>
        <v/>
      </c>
      <c r="Z45" s="43" t="str">
        <f aca="false">IF(Y45="","",SUM(Y$7:Y45))</f>
        <v/>
      </c>
      <c r="AA45" s="43" t="str">
        <f aca="false">IF(Y45="","",MAX(0,MAX(Z$7:Z45)))</f>
        <v/>
      </c>
      <c r="AB45" s="43" t="str">
        <f aca="false">IF(Y45="","",Z45-AA45)</f>
        <v/>
      </c>
    </row>
    <row r="46" customFormat="false" ht="15" hidden="false" customHeight="false" outlineLevel="0" collapsed="false">
      <c r="B46" s="38"/>
      <c r="C46" s="39" t="str">
        <f aca="false">IF(B46="","",INT((B46-Inputs!$F$8)/7)+1)</f>
        <v/>
      </c>
      <c r="D46" s="39" t="str">
        <f aca="false">IF(B46="","",COUNTIF(B$7:B46,B46))</f>
        <v/>
      </c>
      <c r="E46" s="34"/>
      <c r="F46" s="34"/>
      <c r="G46" s="34"/>
      <c r="H46" s="34"/>
      <c r="I46" s="34"/>
      <c r="J46" s="35"/>
      <c r="K46" s="35"/>
      <c r="L46" s="40" t="str">
        <f aca="false">IF(OR(J46="",K46=""),"",IF(G46="Long",J46+Inputs!$F$15*(J46-K46),J46-Inputs!$F$15*(K46-J46)))</f>
        <v/>
      </c>
      <c r="M46" s="35"/>
      <c r="N46" s="34"/>
      <c r="O46" s="35"/>
      <c r="P46" s="34"/>
      <c r="Q46" s="41"/>
      <c r="R46" s="36" t="str">
        <f aca="false">IF(OR(M46="",J46="",K46="",J46=K46),"",ROUND(IF(G46="Long",(M46-J46)/(J46-K46),(J46-M46)/(K46-J46)),2))</f>
        <v/>
      </c>
      <c r="S46" s="39" t="str">
        <f aca="false">IF(B46="","",IF(AND(I46="Y",OR(P46="None",P46="")),"Yes","No"))</f>
        <v/>
      </c>
      <c r="T46" s="36" t="str">
        <f aca="false">IF(OR(O46="",J46="",K46="",J46=K46),"",ROUND(IF(G46="Long",(O46-J46)/(J46-K46),(J46-O46)/(K46-J46)),2))</f>
        <v/>
      </c>
      <c r="U46" s="36" t="str">
        <f aca="false">IF(OR(R46="",T46=""),"",IF(T46&gt;=2,2,IF(N46="Target",-1,R46)))</f>
        <v/>
      </c>
      <c r="V46" s="36" t="str">
        <f aca="false">IF(OR(R46="",T46=""),"",IF(T46&gt;=3,3,IF(N46="Target",-1,R46)))</f>
        <v/>
      </c>
      <c r="W46" s="42" t="str">
        <f aca="false">IF(R46="","",ROUND(R46*(Inputs!$F$9+SUM(W$6:W45))*Inputs!$F$10,2))</f>
        <v/>
      </c>
      <c r="X46" s="42" t="str">
        <f aca="false">IF(R46="","",Inputs!$F$9+SUM(W$7:W46))</f>
        <v/>
      </c>
      <c r="Y46" s="43" t="str">
        <f aca="false">IF(S46="Yes",R46,"")</f>
        <v/>
      </c>
      <c r="Z46" s="43" t="str">
        <f aca="false">IF(Y46="","",SUM(Y$7:Y46))</f>
        <v/>
      </c>
      <c r="AA46" s="43" t="str">
        <f aca="false">IF(Y46="","",MAX(0,MAX(Z$7:Z46)))</f>
        <v/>
      </c>
      <c r="AB46" s="43" t="str">
        <f aca="false">IF(Y46="","",Z46-AA46)</f>
        <v/>
      </c>
    </row>
    <row r="47" customFormat="false" ht="15" hidden="false" customHeight="false" outlineLevel="0" collapsed="false">
      <c r="B47" s="38"/>
      <c r="C47" s="39" t="str">
        <f aca="false">IF(B47="","",INT((B47-Inputs!$F$8)/7)+1)</f>
        <v/>
      </c>
      <c r="D47" s="39" t="str">
        <f aca="false">IF(B47="","",COUNTIF(B$7:B47,B47))</f>
        <v/>
      </c>
      <c r="E47" s="34"/>
      <c r="F47" s="34"/>
      <c r="G47" s="34"/>
      <c r="H47" s="34"/>
      <c r="I47" s="34"/>
      <c r="J47" s="35"/>
      <c r="K47" s="35"/>
      <c r="L47" s="40" t="str">
        <f aca="false">IF(OR(J47="",K47=""),"",IF(G47="Long",J47+Inputs!$F$15*(J47-K47),J47-Inputs!$F$15*(K47-J47)))</f>
        <v/>
      </c>
      <c r="M47" s="35"/>
      <c r="N47" s="34"/>
      <c r="O47" s="35"/>
      <c r="P47" s="34"/>
      <c r="Q47" s="41"/>
      <c r="R47" s="36" t="str">
        <f aca="false">IF(OR(M47="",J47="",K47="",J47=K47),"",ROUND(IF(G47="Long",(M47-J47)/(J47-K47),(J47-M47)/(K47-J47)),2))</f>
        <v/>
      </c>
      <c r="S47" s="39" t="str">
        <f aca="false">IF(B47="","",IF(AND(I47="Y",OR(P47="None",P47="")),"Yes","No"))</f>
        <v/>
      </c>
      <c r="T47" s="36" t="str">
        <f aca="false">IF(OR(O47="",J47="",K47="",J47=K47),"",ROUND(IF(G47="Long",(O47-J47)/(J47-K47),(J47-O47)/(K47-J47)),2))</f>
        <v/>
      </c>
      <c r="U47" s="36" t="str">
        <f aca="false">IF(OR(R47="",T47=""),"",IF(T47&gt;=2,2,IF(N47="Target",-1,R47)))</f>
        <v/>
      </c>
      <c r="V47" s="36" t="str">
        <f aca="false">IF(OR(R47="",T47=""),"",IF(T47&gt;=3,3,IF(N47="Target",-1,R47)))</f>
        <v/>
      </c>
      <c r="W47" s="42" t="str">
        <f aca="false">IF(R47="","",ROUND(R47*(Inputs!$F$9+SUM(W$6:W46))*Inputs!$F$10,2))</f>
        <v/>
      </c>
      <c r="X47" s="42" t="str">
        <f aca="false">IF(R47="","",Inputs!$F$9+SUM(W$7:W47))</f>
        <v/>
      </c>
      <c r="Y47" s="43" t="str">
        <f aca="false">IF(S47="Yes",R47,"")</f>
        <v/>
      </c>
      <c r="Z47" s="43" t="str">
        <f aca="false">IF(Y47="","",SUM(Y$7:Y47))</f>
        <v/>
      </c>
      <c r="AA47" s="43" t="str">
        <f aca="false">IF(Y47="","",MAX(0,MAX(Z$7:Z47)))</f>
        <v/>
      </c>
      <c r="AB47" s="43" t="str">
        <f aca="false">IF(Y47="","",Z47-AA47)</f>
        <v/>
      </c>
    </row>
    <row r="48" customFormat="false" ht="15" hidden="false" customHeight="false" outlineLevel="0" collapsed="false">
      <c r="B48" s="38"/>
      <c r="C48" s="39" t="str">
        <f aca="false">IF(B48="","",INT((B48-Inputs!$F$8)/7)+1)</f>
        <v/>
      </c>
      <c r="D48" s="39" t="str">
        <f aca="false">IF(B48="","",COUNTIF(B$7:B48,B48))</f>
        <v/>
      </c>
      <c r="E48" s="34"/>
      <c r="F48" s="34"/>
      <c r="G48" s="34"/>
      <c r="H48" s="34"/>
      <c r="I48" s="34"/>
      <c r="J48" s="35"/>
      <c r="K48" s="35"/>
      <c r="L48" s="40" t="str">
        <f aca="false">IF(OR(J48="",K48=""),"",IF(G48="Long",J48+Inputs!$F$15*(J48-K48),J48-Inputs!$F$15*(K48-J48)))</f>
        <v/>
      </c>
      <c r="M48" s="35"/>
      <c r="N48" s="34"/>
      <c r="O48" s="35"/>
      <c r="P48" s="34"/>
      <c r="Q48" s="41"/>
      <c r="R48" s="36" t="str">
        <f aca="false">IF(OR(M48="",J48="",K48="",J48=K48),"",ROUND(IF(G48="Long",(M48-J48)/(J48-K48),(J48-M48)/(K48-J48)),2))</f>
        <v/>
      </c>
      <c r="S48" s="39" t="str">
        <f aca="false">IF(B48="","",IF(AND(I48="Y",OR(P48="None",P48="")),"Yes","No"))</f>
        <v/>
      </c>
      <c r="T48" s="36" t="str">
        <f aca="false">IF(OR(O48="",J48="",K48="",J48=K48),"",ROUND(IF(G48="Long",(O48-J48)/(J48-K48),(J48-O48)/(K48-J48)),2))</f>
        <v/>
      </c>
      <c r="U48" s="36" t="str">
        <f aca="false">IF(OR(R48="",T48=""),"",IF(T48&gt;=2,2,IF(N48="Target",-1,R48)))</f>
        <v/>
      </c>
      <c r="V48" s="36" t="str">
        <f aca="false">IF(OR(R48="",T48=""),"",IF(T48&gt;=3,3,IF(N48="Target",-1,R48)))</f>
        <v/>
      </c>
      <c r="W48" s="42" t="str">
        <f aca="false">IF(R48="","",ROUND(R48*(Inputs!$F$9+SUM(W$6:W47))*Inputs!$F$10,2))</f>
        <v/>
      </c>
      <c r="X48" s="42" t="str">
        <f aca="false">IF(R48="","",Inputs!$F$9+SUM(W$7:W48))</f>
        <v/>
      </c>
      <c r="Y48" s="43" t="str">
        <f aca="false">IF(S48="Yes",R48,"")</f>
        <v/>
      </c>
      <c r="Z48" s="43" t="str">
        <f aca="false">IF(Y48="","",SUM(Y$7:Y48))</f>
        <v/>
      </c>
      <c r="AA48" s="43" t="str">
        <f aca="false">IF(Y48="","",MAX(0,MAX(Z$7:Z48)))</f>
        <v/>
      </c>
      <c r="AB48" s="43" t="str">
        <f aca="false">IF(Y48="","",Z48-AA48)</f>
        <v/>
      </c>
    </row>
    <row r="49" customFormat="false" ht="15" hidden="false" customHeight="false" outlineLevel="0" collapsed="false">
      <c r="B49" s="38"/>
      <c r="C49" s="39" t="str">
        <f aca="false">IF(B49="","",INT((B49-Inputs!$F$8)/7)+1)</f>
        <v/>
      </c>
      <c r="D49" s="39" t="str">
        <f aca="false">IF(B49="","",COUNTIF(B$7:B49,B49))</f>
        <v/>
      </c>
      <c r="E49" s="34"/>
      <c r="F49" s="34"/>
      <c r="G49" s="34"/>
      <c r="H49" s="34"/>
      <c r="I49" s="34"/>
      <c r="J49" s="35"/>
      <c r="K49" s="35"/>
      <c r="L49" s="40" t="str">
        <f aca="false">IF(OR(J49="",K49=""),"",IF(G49="Long",J49+Inputs!$F$15*(J49-K49),J49-Inputs!$F$15*(K49-J49)))</f>
        <v/>
      </c>
      <c r="M49" s="35"/>
      <c r="N49" s="34"/>
      <c r="O49" s="35"/>
      <c r="P49" s="34"/>
      <c r="Q49" s="41"/>
      <c r="R49" s="36" t="str">
        <f aca="false">IF(OR(M49="",J49="",K49="",J49=K49),"",ROUND(IF(G49="Long",(M49-J49)/(J49-K49),(J49-M49)/(K49-J49)),2))</f>
        <v/>
      </c>
      <c r="S49" s="39" t="str">
        <f aca="false">IF(B49="","",IF(AND(I49="Y",OR(P49="None",P49="")),"Yes","No"))</f>
        <v/>
      </c>
      <c r="T49" s="36" t="str">
        <f aca="false">IF(OR(O49="",J49="",K49="",J49=K49),"",ROUND(IF(G49="Long",(O49-J49)/(J49-K49),(J49-O49)/(K49-J49)),2))</f>
        <v/>
      </c>
      <c r="U49" s="36" t="str">
        <f aca="false">IF(OR(R49="",T49=""),"",IF(T49&gt;=2,2,IF(N49="Target",-1,R49)))</f>
        <v/>
      </c>
      <c r="V49" s="36" t="str">
        <f aca="false">IF(OR(R49="",T49=""),"",IF(T49&gt;=3,3,IF(N49="Target",-1,R49)))</f>
        <v/>
      </c>
      <c r="W49" s="42" t="str">
        <f aca="false">IF(R49="","",ROUND(R49*(Inputs!$F$9+SUM(W$6:W48))*Inputs!$F$10,2))</f>
        <v/>
      </c>
      <c r="X49" s="42" t="str">
        <f aca="false">IF(R49="","",Inputs!$F$9+SUM(W$7:W49))</f>
        <v/>
      </c>
      <c r="Y49" s="43" t="str">
        <f aca="false">IF(S49="Yes",R49,"")</f>
        <v/>
      </c>
      <c r="Z49" s="43" t="str">
        <f aca="false">IF(Y49="","",SUM(Y$7:Y49))</f>
        <v/>
      </c>
      <c r="AA49" s="43" t="str">
        <f aca="false">IF(Y49="","",MAX(0,MAX(Z$7:Z49)))</f>
        <v/>
      </c>
      <c r="AB49" s="43" t="str">
        <f aca="false">IF(Y49="","",Z49-AA49)</f>
        <v/>
      </c>
    </row>
    <row r="50" customFormat="false" ht="15" hidden="false" customHeight="false" outlineLevel="0" collapsed="false">
      <c r="B50" s="38"/>
      <c r="C50" s="39" t="str">
        <f aca="false">IF(B50="","",INT((B50-Inputs!$F$8)/7)+1)</f>
        <v/>
      </c>
      <c r="D50" s="39" t="str">
        <f aca="false">IF(B50="","",COUNTIF(B$7:B50,B50))</f>
        <v/>
      </c>
      <c r="E50" s="34"/>
      <c r="F50" s="34"/>
      <c r="G50" s="34"/>
      <c r="H50" s="34"/>
      <c r="I50" s="34"/>
      <c r="J50" s="35"/>
      <c r="K50" s="35"/>
      <c r="L50" s="40" t="str">
        <f aca="false">IF(OR(J50="",K50=""),"",IF(G50="Long",J50+Inputs!$F$15*(J50-K50),J50-Inputs!$F$15*(K50-J50)))</f>
        <v/>
      </c>
      <c r="M50" s="35"/>
      <c r="N50" s="34"/>
      <c r="O50" s="35"/>
      <c r="P50" s="34"/>
      <c r="Q50" s="41"/>
      <c r="R50" s="36" t="str">
        <f aca="false">IF(OR(M50="",J50="",K50="",J50=K50),"",ROUND(IF(G50="Long",(M50-J50)/(J50-K50),(J50-M50)/(K50-J50)),2))</f>
        <v/>
      </c>
      <c r="S50" s="39" t="str">
        <f aca="false">IF(B50="","",IF(AND(I50="Y",OR(P50="None",P50="")),"Yes","No"))</f>
        <v/>
      </c>
      <c r="T50" s="36" t="str">
        <f aca="false">IF(OR(O50="",J50="",K50="",J50=K50),"",ROUND(IF(G50="Long",(O50-J50)/(J50-K50),(J50-O50)/(K50-J50)),2))</f>
        <v/>
      </c>
      <c r="U50" s="36" t="str">
        <f aca="false">IF(OR(R50="",T50=""),"",IF(T50&gt;=2,2,IF(N50="Target",-1,R50)))</f>
        <v/>
      </c>
      <c r="V50" s="36" t="str">
        <f aca="false">IF(OR(R50="",T50=""),"",IF(T50&gt;=3,3,IF(N50="Target",-1,R50)))</f>
        <v/>
      </c>
      <c r="W50" s="42" t="str">
        <f aca="false">IF(R50="","",ROUND(R50*(Inputs!$F$9+SUM(W$6:W49))*Inputs!$F$10,2))</f>
        <v/>
      </c>
      <c r="X50" s="42" t="str">
        <f aca="false">IF(R50="","",Inputs!$F$9+SUM(W$7:W50))</f>
        <v/>
      </c>
      <c r="Y50" s="43" t="str">
        <f aca="false">IF(S50="Yes",R50,"")</f>
        <v/>
      </c>
      <c r="Z50" s="43" t="str">
        <f aca="false">IF(Y50="","",SUM(Y$7:Y50))</f>
        <v/>
      </c>
      <c r="AA50" s="43" t="str">
        <f aca="false">IF(Y50="","",MAX(0,MAX(Z$7:Z50)))</f>
        <v/>
      </c>
      <c r="AB50" s="43" t="str">
        <f aca="false">IF(Y50="","",Z50-AA50)</f>
        <v/>
      </c>
    </row>
    <row r="51" customFormat="false" ht="15" hidden="false" customHeight="false" outlineLevel="0" collapsed="false">
      <c r="B51" s="38"/>
      <c r="C51" s="39" t="str">
        <f aca="false">IF(B51="","",INT((B51-Inputs!$F$8)/7)+1)</f>
        <v/>
      </c>
      <c r="D51" s="39" t="str">
        <f aca="false">IF(B51="","",COUNTIF(B$7:B51,B51))</f>
        <v/>
      </c>
      <c r="E51" s="34"/>
      <c r="F51" s="34"/>
      <c r="G51" s="34"/>
      <c r="H51" s="34"/>
      <c r="I51" s="34"/>
      <c r="J51" s="35"/>
      <c r="K51" s="35"/>
      <c r="L51" s="40" t="str">
        <f aca="false">IF(OR(J51="",K51=""),"",IF(G51="Long",J51+Inputs!$F$15*(J51-K51),J51-Inputs!$F$15*(K51-J51)))</f>
        <v/>
      </c>
      <c r="M51" s="35"/>
      <c r="N51" s="34"/>
      <c r="O51" s="35"/>
      <c r="P51" s="34"/>
      <c r="Q51" s="41"/>
      <c r="R51" s="36" t="str">
        <f aca="false">IF(OR(M51="",J51="",K51="",J51=K51),"",ROUND(IF(G51="Long",(M51-J51)/(J51-K51),(J51-M51)/(K51-J51)),2))</f>
        <v/>
      </c>
      <c r="S51" s="39" t="str">
        <f aca="false">IF(B51="","",IF(AND(I51="Y",OR(P51="None",P51="")),"Yes","No"))</f>
        <v/>
      </c>
      <c r="T51" s="36" t="str">
        <f aca="false">IF(OR(O51="",J51="",K51="",J51=K51),"",ROUND(IF(G51="Long",(O51-J51)/(J51-K51),(J51-O51)/(K51-J51)),2))</f>
        <v/>
      </c>
      <c r="U51" s="36" t="str">
        <f aca="false">IF(OR(R51="",T51=""),"",IF(T51&gt;=2,2,IF(N51="Target",-1,R51)))</f>
        <v/>
      </c>
      <c r="V51" s="36" t="str">
        <f aca="false">IF(OR(R51="",T51=""),"",IF(T51&gt;=3,3,IF(N51="Target",-1,R51)))</f>
        <v/>
      </c>
      <c r="W51" s="42" t="str">
        <f aca="false">IF(R51="","",ROUND(R51*(Inputs!$F$9+SUM(W$6:W50))*Inputs!$F$10,2))</f>
        <v/>
      </c>
      <c r="X51" s="42" t="str">
        <f aca="false">IF(R51="","",Inputs!$F$9+SUM(W$7:W51))</f>
        <v/>
      </c>
      <c r="Y51" s="43" t="str">
        <f aca="false">IF(S51="Yes",R51,"")</f>
        <v/>
      </c>
      <c r="Z51" s="43" t="str">
        <f aca="false">IF(Y51="","",SUM(Y$7:Y51))</f>
        <v/>
      </c>
      <c r="AA51" s="43" t="str">
        <f aca="false">IF(Y51="","",MAX(0,MAX(Z$7:Z51)))</f>
        <v/>
      </c>
      <c r="AB51" s="43" t="str">
        <f aca="false">IF(Y51="","",Z51-AA51)</f>
        <v/>
      </c>
    </row>
    <row r="52" customFormat="false" ht="15" hidden="false" customHeight="false" outlineLevel="0" collapsed="false">
      <c r="B52" s="38"/>
      <c r="C52" s="39" t="str">
        <f aca="false">IF(B52="","",INT((B52-Inputs!$F$8)/7)+1)</f>
        <v/>
      </c>
      <c r="D52" s="39" t="str">
        <f aca="false">IF(B52="","",COUNTIF(B$7:B52,B52))</f>
        <v/>
      </c>
      <c r="E52" s="34"/>
      <c r="F52" s="34"/>
      <c r="G52" s="34"/>
      <c r="H52" s="34"/>
      <c r="I52" s="34"/>
      <c r="J52" s="35"/>
      <c r="K52" s="35"/>
      <c r="L52" s="40" t="str">
        <f aca="false">IF(OR(J52="",K52=""),"",IF(G52="Long",J52+Inputs!$F$15*(J52-K52),J52-Inputs!$F$15*(K52-J52)))</f>
        <v/>
      </c>
      <c r="M52" s="35"/>
      <c r="N52" s="34"/>
      <c r="O52" s="35"/>
      <c r="P52" s="34"/>
      <c r="Q52" s="41"/>
      <c r="R52" s="36" t="str">
        <f aca="false">IF(OR(M52="",J52="",K52="",J52=K52),"",ROUND(IF(G52="Long",(M52-J52)/(J52-K52),(J52-M52)/(K52-J52)),2))</f>
        <v/>
      </c>
      <c r="S52" s="39" t="str">
        <f aca="false">IF(B52="","",IF(AND(I52="Y",OR(P52="None",P52="")),"Yes","No"))</f>
        <v/>
      </c>
      <c r="T52" s="36" t="str">
        <f aca="false">IF(OR(O52="",J52="",K52="",J52=K52),"",ROUND(IF(G52="Long",(O52-J52)/(J52-K52),(J52-O52)/(K52-J52)),2))</f>
        <v/>
      </c>
      <c r="U52" s="36" t="str">
        <f aca="false">IF(OR(R52="",T52=""),"",IF(T52&gt;=2,2,IF(N52="Target",-1,R52)))</f>
        <v/>
      </c>
      <c r="V52" s="36" t="str">
        <f aca="false">IF(OR(R52="",T52=""),"",IF(T52&gt;=3,3,IF(N52="Target",-1,R52)))</f>
        <v/>
      </c>
      <c r="W52" s="42" t="str">
        <f aca="false">IF(R52="","",ROUND(R52*(Inputs!$F$9+SUM(W$6:W51))*Inputs!$F$10,2))</f>
        <v/>
      </c>
      <c r="X52" s="42" t="str">
        <f aca="false">IF(R52="","",Inputs!$F$9+SUM(W$7:W52))</f>
        <v/>
      </c>
      <c r="Y52" s="43" t="str">
        <f aca="false">IF(S52="Yes",R52,"")</f>
        <v/>
      </c>
      <c r="Z52" s="43" t="str">
        <f aca="false">IF(Y52="","",SUM(Y$7:Y52))</f>
        <v/>
      </c>
      <c r="AA52" s="43" t="str">
        <f aca="false">IF(Y52="","",MAX(0,MAX(Z$7:Z52)))</f>
        <v/>
      </c>
      <c r="AB52" s="43" t="str">
        <f aca="false">IF(Y52="","",Z52-AA52)</f>
        <v/>
      </c>
    </row>
    <row r="53" customFormat="false" ht="15" hidden="false" customHeight="false" outlineLevel="0" collapsed="false">
      <c r="B53" s="38"/>
      <c r="C53" s="39" t="str">
        <f aca="false">IF(B53="","",INT((B53-Inputs!$F$8)/7)+1)</f>
        <v/>
      </c>
      <c r="D53" s="39" t="str">
        <f aca="false">IF(B53="","",COUNTIF(B$7:B53,B53))</f>
        <v/>
      </c>
      <c r="E53" s="34"/>
      <c r="F53" s="34"/>
      <c r="G53" s="34"/>
      <c r="H53" s="34"/>
      <c r="I53" s="34"/>
      <c r="J53" s="35"/>
      <c r="K53" s="35"/>
      <c r="L53" s="40" t="str">
        <f aca="false">IF(OR(J53="",K53=""),"",IF(G53="Long",J53+Inputs!$F$15*(J53-K53),J53-Inputs!$F$15*(K53-J53)))</f>
        <v/>
      </c>
      <c r="M53" s="35"/>
      <c r="N53" s="34"/>
      <c r="O53" s="35"/>
      <c r="P53" s="34"/>
      <c r="Q53" s="41"/>
      <c r="R53" s="36" t="str">
        <f aca="false">IF(OR(M53="",J53="",K53="",J53=K53),"",ROUND(IF(G53="Long",(M53-J53)/(J53-K53),(J53-M53)/(K53-J53)),2))</f>
        <v/>
      </c>
      <c r="S53" s="39" t="str">
        <f aca="false">IF(B53="","",IF(AND(I53="Y",OR(P53="None",P53="")),"Yes","No"))</f>
        <v/>
      </c>
      <c r="T53" s="36" t="str">
        <f aca="false">IF(OR(O53="",J53="",K53="",J53=K53),"",ROUND(IF(G53="Long",(O53-J53)/(J53-K53),(J53-O53)/(K53-J53)),2))</f>
        <v/>
      </c>
      <c r="U53" s="36" t="str">
        <f aca="false">IF(OR(R53="",T53=""),"",IF(T53&gt;=2,2,IF(N53="Target",-1,R53)))</f>
        <v/>
      </c>
      <c r="V53" s="36" t="str">
        <f aca="false">IF(OR(R53="",T53=""),"",IF(T53&gt;=3,3,IF(N53="Target",-1,R53)))</f>
        <v/>
      </c>
      <c r="W53" s="42" t="str">
        <f aca="false">IF(R53="","",ROUND(R53*(Inputs!$F$9+SUM(W$6:W52))*Inputs!$F$10,2))</f>
        <v/>
      </c>
      <c r="X53" s="42" t="str">
        <f aca="false">IF(R53="","",Inputs!$F$9+SUM(W$7:W53))</f>
        <v/>
      </c>
      <c r="Y53" s="43" t="str">
        <f aca="false">IF(S53="Yes",R53,"")</f>
        <v/>
      </c>
      <c r="Z53" s="43" t="str">
        <f aca="false">IF(Y53="","",SUM(Y$7:Y53))</f>
        <v/>
      </c>
      <c r="AA53" s="43" t="str">
        <f aca="false">IF(Y53="","",MAX(0,MAX(Z$7:Z53)))</f>
        <v/>
      </c>
      <c r="AB53" s="43" t="str">
        <f aca="false">IF(Y53="","",Z53-AA53)</f>
        <v/>
      </c>
    </row>
    <row r="54" customFormat="false" ht="15" hidden="false" customHeight="false" outlineLevel="0" collapsed="false">
      <c r="B54" s="38"/>
      <c r="C54" s="39" t="str">
        <f aca="false">IF(B54="","",INT((B54-Inputs!$F$8)/7)+1)</f>
        <v/>
      </c>
      <c r="D54" s="39" t="str">
        <f aca="false">IF(B54="","",COUNTIF(B$7:B54,B54))</f>
        <v/>
      </c>
      <c r="E54" s="34"/>
      <c r="F54" s="34"/>
      <c r="G54" s="34"/>
      <c r="H54" s="34"/>
      <c r="I54" s="34"/>
      <c r="J54" s="35"/>
      <c r="K54" s="35"/>
      <c r="L54" s="40" t="str">
        <f aca="false">IF(OR(J54="",K54=""),"",IF(G54="Long",J54+Inputs!$F$15*(J54-K54),J54-Inputs!$F$15*(K54-J54)))</f>
        <v/>
      </c>
      <c r="M54" s="35"/>
      <c r="N54" s="34"/>
      <c r="O54" s="35"/>
      <c r="P54" s="34"/>
      <c r="Q54" s="41"/>
      <c r="R54" s="36" t="str">
        <f aca="false">IF(OR(M54="",J54="",K54="",J54=K54),"",ROUND(IF(G54="Long",(M54-J54)/(J54-K54),(J54-M54)/(K54-J54)),2))</f>
        <v/>
      </c>
      <c r="S54" s="39" t="str">
        <f aca="false">IF(B54="","",IF(AND(I54="Y",OR(P54="None",P54="")),"Yes","No"))</f>
        <v/>
      </c>
      <c r="T54" s="36" t="str">
        <f aca="false">IF(OR(O54="",J54="",K54="",J54=K54),"",ROUND(IF(G54="Long",(O54-J54)/(J54-K54),(J54-O54)/(K54-J54)),2))</f>
        <v/>
      </c>
      <c r="U54" s="36" t="str">
        <f aca="false">IF(OR(R54="",T54=""),"",IF(T54&gt;=2,2,IF(N54="Target",-1,R54)))</f>
        <v/>
      </c>
      <c r="V54" s="36" t="str">
        <f aca="false">IF(OR(R54="",T54=""),"",IF(T54&gt;=3,3,IF(N54="Target",-1,R54)))</f>
        <v/>
      </c>
      <c r="W54" s="42" t="str">
        <f aca="false">IF(R54="","",ROUND(R54*(Inputs!$F$9+SUM(W$6:W53))*Inputs!$F$10,2))</f>
        <v/>
      </c>
      <c r="X54" s="42" t="str">
        <f aca="false">IF(R54="","",Inputs!$F$9+SUM(W$7:W54))</f>
        <v/>
      </c>
      <c r="Y54" s="43" t="str">
        <f aca="false">IF(S54="Yes",R54,"")</f>
        <v/>
      </c>
      <c r="Z54" s="43" t="str">
        <f aca="false">IF(Y54="","",SUM(Y$7:Y54))</f>
        <v/>
      </c>
      <c r="AA54" s="43" t="str">
        <f aca="false">IF(Y54="","",MAX(0,MAX(Z$7:Z54)))</f>
        <v/>
      </c>
      <c r="AB54" s="43" t="str">
        <f aca="false">IF(Y54="","",Z54-AA54)</f>
        <v/>
      </c>
    </row>
    <row r="55" customFormat="false" ht="15" hidden="false" customHeight="false" outlineLevel="0" collapsed="false">
      <c r="B55" s="38"/>
      <c r="C55" s="39" t="str">
        <f aca="false">IF(B55="","",INT((B55-Inputs!$F$8)/7)+1)</f>
        <v/>
      </c>
      <c r="D55" s="39" t="str">
        <f aca="false">IF(B55="","",COUNTIF(B$7:B55,B55))</f>
        <v/>
      </c>
      <c r="E55" s="34"/>
      <c r="F55" s="34"/>
      <c r="G55" s="34"/>
      <c r="H55" s="34"/>
      <c r="I55" s="34"/>
      <c r="J55" s="35"/>
      <c r="K55" s="35"/>
      <c r="L55" s="40" t="str">
        <f aca="false">IF(OR(J55="",K55=""),"",IF(G55="Long",J55+Inputs!$F$15*(J55-K55),J55-Inputs!$F$15*(K55-J55)))</f>
        <v/>
      </c>
      <c r="M55" s="35"/>
      <c r="N55" s="34"/>
      <c r="O55" s="35"/>
      <c r="P55" s="34"/>
      <c r="Q55" s="41"/>
      <c r="R55" s="36" t="str">
        <f aca="false">IF(OR(M55="",J55="",K55="",J55=K55),"",ROUND(IF(G55="Long",(M55-J55)/(J55-K55),(J55-M55)/(K55-J55)),2))</f>
        <v/>
      </c>
      <c r="S55" s="39" t="str">
        <f aca="false">IF(B55="","",IF(AND(I55="Y",OR(P55="None",P55="")),"Yes","No"))</f>
        <v/>
      </c>
      <c r="T55" s="36" t="str">
        <f aca="false">IF(OR(O55="",J55="",K55="",J55=K55),"",ROUND(IF(G55="Long",(O55-J55)/(J55-K55),(J55-O55)/(K55-J55)),2))</f>
        <v/>
      </c>
      <c r="U55" s="36" t="str">
        <f aca="false">IF(OR(R55="",T55=""),"",IF(T55&gt;=2,2,IF(N55="Target",-1,R55)))</f>
        <v/>
      </c>
      <c r="V55" s="36" t="str">
        <f aca="false">IF(OR(R55="",T55=""),"",IF(T55&gt;=3,3,IF(N55="Target",-1,R55)))</f>
        <v/>
      </c>
      <c r="W55" s="42" t="str">
        <f aca="false">IF(R55="","",ROUND(R55*(Inputs!$F$9+SUM(W$6:W54))*Inputs!$F$10,2))</f>
        <v/>
      </c>
      <c r="X55" s="42" t="str">
        <f aca="false">IF(R55="","",Inputs!$F$9+SUM(W$7:W55))</f>
        <v/>
      </c>
      <c r="Y55" s="43" t="str">
        <f aca="false">IF(S55="Yes",R55,"")</f>
        <v/>
      </c>
      <c r="Z55" s="43" t="str">
        <f aca="false">IF(Y55="","",SUM(Y$7:Y55))</f>
        <v/>
      </c>
      <c r="AA55" s="43" t="str">
        <f aca="false">IF(Y55="","",MAX(0,MAX(Z$7:Z55)))</f>
        <v/>
      </c>
      <c r="AB55" s="43" t="str">
        <f aca="false">IF(Y55="","",Z55-AA55)</f>
        <v/>
      </c>
    </row>
    <row r="56" customFormat="false" ht="15" hidden="false" customHeight="false" outlineLevel="0" collapsed="false">
      <c r="B56" s="38"/>
      <c r="C56" s="39" t="str">
        <f aca="false">IF(B56="","",INT((B56-Inputs!$F$8)/7)+1)</f>
        <v/>
      </c>
      <c r="D56" s="39" t="str">
        <f aca="false">IF(B56="","",COUNTIF(B$7:B56,B56))</f>
        <v/>
      </c>
      <c r="E56" s="34"/>
      <c r="F56" s="34"/>
      <c r="G56" s="34"/>
      <c r="H56" s="34"/>
      <c r="I56" s="34"/>
      <c r="J56" s="35"/>
      <c r="K56" s="35"/>
      <c r="L56" s="40" t="str">
        <f aca="false">IF(OR(J56="",K56=""),"",IF(G56="Long",J56+Inputs!$F$15*(J56-K56),J56-Inputs!$F$15*(K56-J56)))</f>
        <v/>
      </c>
      <c r="M56" s="35"/>
      <c r="N56" s="34"/>
      <c r="O56" s="35"/>
      <c r="P56" s="34"/>
      <c r="Q56" s="41"/>
      <c r="R56" s="36" t="str">
        <f aca="false">IF(OR(M56="",J56="",K56="",J56=K56),"",ROUND(IF(G56="Long",(M56-J56)/(J56-K56),(J56-M56)/(K56-J56)),2))</f>
        <v/>
      </c>
      <c r="S56" s="39" t="str">
        <f aca="false">IF(B56="","",IF(AND(I56="Y",OR(P56="None",P56="")),"Yes","No"))</f>
        <v/>
      </c>
      <c r="T56" s="36" t="str">
        <f aca="false">IF(OR(O56="",J56="",K56="",J56=K56),"",ROUND(IF(G56="Long",(O56-J56)/(J56-K56),(J56-O56)/(K56-J56)),2))</f>
        <v/>
      </c>
      <c r="U56" s="36" t="str">
        <f aca="false">IF(OR(R56="",T56=""),"",IF(T56&gt;=2,2,IF(N56="Target",-1,R56)))</f>
        <v/>
      </c>
      <c r="V56" s="36" t="str">
        <f aca="false">IF(OR(R56="",T56=""),"",IF(T56&gt;=3,3,IF(N56="Target",-1,R56)))</f>
        <v/>
      </c>
      <c r="W56" s="42" t="str">
        <f aca="false">IF(R56="","",ROUND(R56*(Inputs!$F$9+SUM(W$6:W55))*Inputs!$F$10,2))</f>
        <v/>
      </c>
      <c r="X56" s="42" t="str">
        <f aca="false">IF(R56="","",Inputs!$F$9+SUM(W$7:W56))</f>
        <v/>
      </c>
      <c r="Y56" s="43" t="str">
        <f aca="false">IF(S56="Yes",R56,"")</f>
        <v/>
      </c>
      <c r="Z56" s="43" t="str">
        <f aca="false">IF(Y56="","",SUM(Y$7:Y56))</f>
        <v/>
      </c>
      <c r="AA56" s="43" t="str">
        <f aca="false">IF(Y56="","",MAX(0,MAX(Z$7:Z56)))</f>
        <v/>
      </c>
      <c r="AB56" s="43" t="str">
        <f aca="false">IF(Y56="","",Z56-AA56)</f>
        <v/>
      </c>
    </row>
    <row r="57" customFormat="false" ht="15" hidden="false" customHeight="false" outlineLevel="0" collapsed="false">
      <c r="B57" s="38"/>
      <c r="C57" s="39" t="str">
        <f aca="false">IF(B57="","",INT((B57-Inputs!$F$8)/7)+1)</f>
        <v/>
      </c>
      <c r="D57" s="39" t="str">
        <f aca="false">IF(B57="","",COUNTIF(B$7:B57,B57))</f>
        <v/>
      </c>
      <c r="E57" s="34"/>
      <c r="F57" s="34"/>
      <c r="G57" s="34"/>
      <c r="H57" s="34"/>
      <c r="I57" s="34"/>
      <c r="J57" s="35"/>
      <c r="K57" s="35"/>
      <c r="L57" s="40" t="str">
        <f aca="false">IF(OR(J57="",K57=""),"",IF(G57="Long",J57+Inputs!$F$15*(J57-K57),J57-Inputs!$F$15*(K57-J57)))</f>
        <v/>
      </c>
      <c r="M57" s="35"/>
      <c r="N57" s="34"/>
      <c r="O57" s="35"/>
      <c r="P57" s="34"/>
      <c r="Q57" s="41"/>
      <c r="R57" s="36" t="str">
        <f aca="false">IF(OR(M57="",J57="",K57="",J57=K57),"",ROUND(IF(G57="Long",(M57-J57)/(J57-K57),(J57-M57)/(K57-J57)),2))</f>
        <v/>
      </c>
      <c r="S57" s="39" t="str">
        <f aca="false">IF(B57="","",IF(AND(I57="Y",OR(P57="None",P57="")),"Yes","No"))</f>
        <v/>
      </c>
      <c r="T57" s="36" t="str">
        <f aca="false">IF(OR(O57="",J57="",K57="",J57=K57),"",ROUND(IF(G57="Long",(O57-J57)/(J57-K57),(J57-O57)/(K57-J57)),2))</f>
        <v/>
      </c>
      <c r="U57" s="36" t="str">
        <f aca="false">IF(OR(R57="",T57=""),"",IF(T57&gt;=2,2,IF(N57="Target",-1,R57)))</f>
        <v/>
      </c>
      <c r="V57" s="36" t="str">
        <f aca="false">IF(OR(R57="",T57=""),"",IF(T57&gt;=3,3,IF(N57="Target",-1,R57)))</f>
        <v/>
      </c>
      <c r="W57" s="42" t="str">
        <f aca="false">IF(R57="","",ROUND(R57*(Inputs!$F$9+SUM(W$6:W56))*Inputs!$F$10,2))</f>
        <v/>
      </c>
      <c r="X57" s="42" t="str">
        <f aca="false">IF(R57="","",Inputs!$F$9+SUM(W$7:W57))</f>
        <v/>
      </c>
      <c r="Y57" s="43" t="str">
        <f aca="false">IF(S57="Yes",R57,"")</f>
        <v/>
      </c>
      <c r="Z57" s="43" t="str">
        <f aca="false">IF(Y57="","",SUM(Y$7:Y57))</f>
        <v/>
      </c>
      <c r="AA57" s="43" t="str">
        <f aca="false">IF(Y57="","",MAX(0,MAX(Z$7:Z57)))</f>
        <v/>
      </c>
      <c r="AB57" s="43" t="str">
        <f aca="false">IF(Y57="","",Z57-AA57)</f>
        <v/>
      </c>
    </row>
    <row r="58" customFormat="false" ht="15" hidden="false" customHeight="false" outlineLevel="0" collapsed="false">
      <c r="B58" s="38"/>
      <c r="C58" s="39" t="str">
        <f aca="false">IF(B58="","",INT((B58-Inputs!$F$8)/7)+1)</f>
        <v/>
      </c>
      <c r="D58" s="39" t="str">
        <f aca="false">IF(B58="","",COUNTIF(B$7:B58,B58))</f>
        <v/>
      </c>
      <c r="E58" s="34"/>
      <c r="F58" s="34"/>
      <c r="G58" s="34"/>
      <c r="H58" s="34"/>
      <c r="I58" s="34"/>
      <c r="J58" s="35"/>
      <c r="K58" s="35"/>
      <c r="L58" s="40" t="str">
        <f aca="false">IF(OR(J58="",K58=""),"",IF(G58="Long",J58+Inputs!$F$15*(J58-K58),J58-Inputs!$F$15*(K58-J58)))</f>
        <v/>
      </c>
      <c r="M58" s="35"/>
      <c r="N58" s="34"/>
      <c r="O58" s="35"/>
      <c r="P58" s="34"/>
      <c r="Q58" s="41"/>
      <c r="R58" s="36" t="str">
        <f aca="false">IF(OR(M58="",J58="",K58="",J58=K58),"",ROUND(IF(G58="Long",(M58-J58)/(J58-K58),(J58-M58)/(K58-J58)),2))</f>
        <v/>
      </c>
      <c r="S58" s="39" t="str">
        <f aca="false">IF(B58="","",IF(AND(I58="Y",OR(P58="None",P58="")),"Yes","No"))</f>
        <v/>
      </c>
      <c r="T58" s="36" t="str">
        <f aca="false">IF(OR(O58="",J58="",K58="",J58=K58),"",ROUND(IF(G58="Long",(O58-J58)/(J58-K58),(J58-O58)/(K58-J58)),2))</f>
        <v/>
      </c>
      <c r="U58" s="36" t="str">
        <f aca="false">IF(OR(R58="",T58=""),"",IF(T58&gt;=2,2,IF(N58="Target",-1,R58)))</f>
        <v/>
      </c>
      <c r="V58" s="36" t="str">
        <f aca="false">IF(OR(R58="",T58=""),"",IF(T58&gt;=3,3,IF(N58="Target",-1,R58)))</f>
        <v/>
      </c>
      <c r="W58" s="42" t="str">
        <f aca="false">IF(R58="","",ROUND(R58*(Inputs!$F$9+SUM(W$6:W57))*Inputs!$F$10,2))</f>
        <v/>
      </c>
      <c r="X58" s="42" t="str">
        <f aca="false">IF(R58="","",Inputs!$F$9+SUM(W$7:W58))</f>
        <v/>
      </c>
      <c r="Y58" s="43" t="str">
        <f aca="false">IF(S58="Yes",R58,"")</f>
        <v/>
      </c>
      <c r="Z58" s="43" t="str">
        <f aca="false">IF(Y58="","",SUM(Y$7:Y58))</f>
        <v/>
      </c>
      <c r="AA58" s="43" t="str">
        <f aca="false">IF(Y58="","",MAX(0,MAX(Z$7:Z58)))</f>
        <v/>
      </c>
      <c r="AB58" s="43" t="str">
        <f aca="false">IF(Y58="","",Z58-AA58)</f>
        <v/>
      </c>
    </row>
    <row r="59" customFormat="false" ht="15" hidden="false" customHeight="false" outlineLevel="0" collapsed="false">
      <c r="B59" s="38"/>
      <c r="C59" s="39" t="str">
        <f aca="false">IF(B59="","",INT((B59-Inputs!$F$8)/7)+1)</f>
        <v/>
      </c>
      <c r="D59" s="39" t="str">
        <f aca="false">IF(B59="","",COUNTIF(B$7:B59,B59))</f>
        <v/>
      </c>
      <c r="E59" s="34"/>
      <c r="F59" s="34"/>
      <c r="G59" s="34"/>
      <c r="H59" s="34"/>
      <c r="I59" s="34"/>
      <c r="J59" s="35"/>
      <c r="K59" s="35"/>
      <c r="L59" s="40" t="str">
        <f aca="false">IF(OR(J59="",K59=""),"",IF(G59="Long",J59+Inputs!$F$15*(J59-K59),J59-Inputs!$F$15*(K59-J59)))</f>
        <v/>
      </c>
      <c r="M59" s="35"/>
      <c r="N59" s="34"/>
      <c r="O59" s="35"/>
      <c r="P59" s="34"/>
      <c r="Q59" s="41"/>
      <c r="R59" s="36" t="str">
        <f aca="false">IF(OR(M59="",J59="",K59="",J59=K59),"",ROUND(IF(G59="Long",(M59-J59)/(J59-K59),(J59-M59)/(K59-J59)),2))</f>
        <v/>
      </c>
      <c r="S59" s="39" t="str">
        <f aca="false">IF(B59="","",IF(AND(I59="Y",OR(P59="None",P59="")),"Yes","No"))</f>
        <v/>
      </c>
      <c r="T59" s="36" t="str">
        <f aca="false">IF(OR(O59="",J59="",K59="",J59=K59),"",ROUND(IF(G59="Long",(O59-J59)/(J59-K59),(J59-O59)/(K59-J59)),2))</f>
        <v/>
      </c>
      <c r="U59" s="36" t="str">
        <f aca="false">IF(OR(R59="",T59=""),"",IF(T59&gt;=2,2,IF(N59="Target",-1,R59)))</f>
        <v/>
      </c>
      <c r="V59" s="36" t="str">
        <f aca="false">IF(OR(R59="",T59=""),"",IF(T59&gt;=3,3,IF(N59="Target",-1,R59)))</f>
        <v/>
      </c>
      <c r="W59" s="42" t="str">
        <f aca="false">IF(R59="","",ROUND(R59*(Inputs!$F$9+SUM(W$6:W58))*Inputs!$F$10,2))</f>
        <v/>
      </c>
      <c r="X59" s="42" t="str">
        <f aca="false">IF(R59="","",Inputs!$F$9+SUM(W$7:W59))</f>
        <v/>
      </c>
      <c r="Y59" s="43" t="str">
        <f aca="false">IF(S59="Yes",R59,"")</f>
        <v/>
      </c>
      <c r="Z59" s="43" t="str">
        <f aca="false">IF(Y59="","",SUM(Y$7:Y59))</f>
        <v/>
      </c>
      <c r="AA59" s="43" t="str">
        <f aca="false">IF(Y59="","",MAX(0,MAX(Z$7:Z59)))</f>
        <v/>
      </c>
      <c r="AB59" s="43" t="str">
        <f aca="false">IF(Y59="","",Z59-AA59)</f>
        <v/>
      </c>
    </row>
    <row r="60" customFormat="false" ht="15" hidden="false" customHeight="false" outlineLevel="0" collapsed="false">
      <c r="B60" s="38"/>
      <c r="C60" s="39" t="str">
        <f aca="false">IF(B60="","",INT((B60-Inputs!$F$8)/7)+1)</f>
        <v/>
      </c>
      <c r="D60" s="39" t="str">
        <f aca="false">IF(B60="","",COUNTIF(B$7:B60,B60))</f>
        <v/>
      </c>
      <c r="E60" s="34"/>
      <c r="F60" s="34"/>
      <c r="G60" s="34"/>
      <c r="H60" s="34"/>
      <c r="I60" s="34"/>
      <c r="J60" s="35"/>
      <c r="K60" s="35"/>
      <c r="L60" s="40" t="str">
        <f aca="false">IF(OR(J60="",K60=""),"",IF(G60="Long",J60+Inputs!$F$15*(J60-K60),J60-Inputs!$F$15*(K60-J60)))</f>
        <v/>
      </c>
      <c r="M60" s="35"/>
      <c r="N60" s="34"/>
      <c r="O60" s="35"/>
      <c r="P60" s="34"/>
      <c r="Q60" s="41"/>
      <c r="R60" s="36" t="str">
        <f aca="false">IF(OR(M60="",J60="",K60="",J60=K60),"",ROUND(IF(G60="Long",(M60-J60)/(J60-K60),(J60-M60)/(K60-J60)),2))</f>
        <v/>
      </c>
      <c r="S60" s="39" t="str">
        <f aca="false">IF(B60="","",IF(AND(I60="Y",OR(P60="None",P60="")),"Yes","No"))</f>
        <v/>
      </c>
      <c r="T60" s="36" t="str">
        <f aca="false">IF(OR(O60="",J60="",K60="",J60=K60),"",ROUND(IF(G60="Long",(O60-J60)/(J60-K60),(J60-O60)/(K60-J60)),2))</f>
        <v/>
      </c>
      <c r="U60" s="36" t="str">
        <f aca="false">IF(OR(R60="",T60=""),"",IF(T60&gt;=2,2,IF(N60="Target",-1,R60)))</f>
        <v/>
      </c>
      <c r="V60" s="36" t="str">
        <f aca="false">IF(OR(R60="",T60=""),"",IF(T60&gt;=3,3,IF(N60="Target",-1,R60)))</f>
        <v/>
      </c>
      <c r="W60" s="42" t="str">
        <f aca="false">IF(R60="","",ROUND(R60*(Inputs!$F$9+SUM(W$6:W59))*Inputs!$F$10,2))</f>
        <v/>
      </c>
      <c r="X60" s="42" t="str">
        <f aca="false">IF(R60="","",Inputs!$F$9+SUM(W$7:W60))</f>
        <v/>
      </c>
      <c r="Y60" s="43" t="str">
        <f aca="false">IF(S60="Yes",R60,"")</f>
        <v/>
      </c>
      <c r="Z60" s="43" t="str">
        <f aca="false">IF(Y60="","",SUM(Y$7:Y60))</f>
        <v/>
      </c>
      <c r="AA60" s="43" t="str">
        <f aca="false">IF(Y60="","",MAX(0,MAX(Z$7:Z60)))</f>
        <v/>
      </c>
      <c r="AB60" s="43" t="str">
        <f aca="false">IF(Y60="","",Z60-AA60)</f>
        <v/>
      </c>
    </row>
    <row r="61" customFormat="false" ht="15" hidden="false" customHeight="false" outlineLevel="0" collapsed="false">
      <c r="B61" s="38"/>
      <c r="C61" s="39" t="str">
        <f aca="false">IF(B61="","",INT((B61-Inputs!$F$8)/7)+1)</f>
        <v/>
      </c>
      <c r="D61" s="39" t="str">
        <f aca="false">IF(B61="","",COUNTIF(B$7:B61,B61))</f>
        <v/>
      </c>
      <c r="E61" s="34"/>
      <c r="F61" s="34"/>
      <c r="G61" s="34"/>
      <c r="H61" s="34"/>
      <c r="I61" s="34"/>
      <c r="J61" s="35"/>
      <c r="K61" s="35"/>
      <c r="L61" s="40" t="str">
        <f aca="false">IF(OR(J61="",K61=""),"",IF(G61="Long",J61+Inputs!$F$15*(J61-K61),J61-Inputs!$F$15*(K61-J61)))</f>
        <v/>
      </c>
      <c r="M61" s="35"/>
      <c r="N61" s="34"/>
      <c r="O61" s="35"/>
      <c r="P61" s="34"/>
      <c r="Q61" s="41"/>
      <c r="R61" s="36" t="str">
        <f aca="false">IF(OR(M61="",J61="",K61="",J61=K61),"",ROUND(IF(G61="Long",(M61-J61)/(J61-K61),(J61-M61)/(K61-J61)),2))</f>
        <v/>
      </c>
      <c r="S61" s="39" t="str">
        <f aca="false">IF(B61="","",IF(AND(I61="Y",OR(P61="None",P61="")),"Yes","No"))</f>
        <v/>
      </c>
      <c r="T61" s="36" t="str">
        <f aca="false">IF(OR(O61="",J61="",K61="",J61=K61),"",ROUND(IF(G61="Long",(O61-J61)/(J61-K61),(J61-O61)/(K61-J61)),2))</f>
        <v/>
      </c>
      <c r="U61" s="36" t="str">
        <f aca="false">IF(OR(R61="",T61=""),"",IF(T61&gt;=2,2,IF(N61="Target",-1,R61)))</f>
        <v/>
      </c>
      <c r="V61" s="36" t="str">
        <f aca="false">IF(OR(R61="",T61=""),"",IF(T61&gt;=3,3,IF(N61="Target",-1,R61)))</f>
        <v/>
      </c>
      <c r="W61" s="42" t="str">
        <f aca="false">IF(R61="","",ROUND(R61*(Inputs!$F$9+SUM(W$6:W60))*Inputs!$F$10,2))</f>
        <v/>
      </c>
      <c r="X61" s="42" t="str">
        <f aca="false">IF(R61="","",Inputs!$F$9+SUM(W$7:W61))</f>
        <v/>
      </c>
      <c r="Y61" s="43" t="str">
        <f aca="false">IF(S61="Yes",R61,"")</f>
        <v/>
      </c>
      <c r="Z61" s="43" t="str">
        <f aca="false">IF(Y61="","",SUM(Y$7:Y61))</f>
        <v/>
      </c>
      <c r="AA61" s="43" t="str">
        <f aca="false">IF(Y61="","",MAX(0,MAX(Z$7:Z61)))</f>
        <v/>
      </c>
      <c r="AB61" s="43" t="str">
        <f aca="false">IF(Y61="","",Z61-AA61)</f>
        <v/>
      </c>
    </row>
    <row r="62" customFormat="false" ht="15" hidden="false" customHeight="false" outlineLevel="0" collapsed="false">
      <c r="B62" s="38"/>
      <c r="C62" s="39" t="str">
        <f aca="false">IF(B62="","",INT((B62-Inputs!$F$8)/7)+1)</f>
        <v/>
      </c>
      <c r="D62" s="39" t="str">
        <f aca="false">IF(B62="","",COUNTIF(B$7:B62,B62))</f>
        <v/>
      </c>
      <c r="E62" s="34"/>
      <c r="F62" s="34"/>
      <c r="G62" s="34"/>
      <c r="H62" s="34"/>
      <c r="I62" s="34"/>
      <c r="J62" s="35"/>
      <c r="K62" s="35"/>
      <c r="L62" s="40" t="str">
        <f aca="false">IF(OR(J62="",K62=""),"",IF(G62="Long",J62+Inputs!$F$15*(J62-K62),J62-Inputs!$F$15*(K62-J62)))</f>
        <v/>
      </c>
      <c r="M62" s="35"/>
      <c r="N62" s="34"/>
      <c r="O62" s="35"/>
      <c r="P62" s="34"/>
      <c r="Q62" s="41"/>
      <c r="R62" s="36" t="str">
        <f aca="false">IF(OR(M62="",J62="",K62="",J62=K62),"",ROUND(IF(G62="Long",(M62-J62)/(J62-K62),(J62-M62)/(K62-J62)),2))</f>
        <v/>
      </c>
      <c r="S62" s="39" t="str">
        <f aca="false">IF(B62="","",IF(AND(I62="Y",OR(P62="None",P62="")),"Yes","No"))</f>
        <v/>
      </c>
      <c r="T62" s="36" t="str">
        <f aca="false">IF(OR(O62="",J62="",K62="",J62=K62),"",ROUND(IF(G62="Long",(O62-J62)/(J62-K62),(J62-O62)/(K62-J62)),2))</f>
        <v/>
      </c>
      <c r="U62" s="36" t="str">
        <f aca="false">IF(OR(R62="",T62=""),"",IF(T62&gt;=2,2,IF(N62="Target",-1,R62)))</f>
        <v/>
      </c>
      <c r="V62" s="36" t="str">
        <f aca="false">IF(OR(R62="",T62=""),"",IF(T62&gt;=3,3,IF(N62="Target",-1,R62)))</f>
        <v/>
      </c>
      <c r="W62" s="42" t="str">
        <f aca="false">IF(R62="","",ROUND(R62*(Inputs!$F$9+SUM(W$6:W61))*Inputs!$F$10,2))</f>
        <v/>
      </c>
      <c r="X62" s="42" t="str">
        <f aca="false">IF(R62="","",Inputs!$F$9+SUM(W$7:W62))</f>
        <v/>
      </c>
      <c r="Y62" s="43" t="str">
        <f aca="false">IF(S62="Yes",R62,"")</f>
        <v/>
      </c>
      <c r="Z62" s="43" t="str">
        <f aca="false">IF(Y62="","",SUM(Y$7:Y62))</f>
        <v/>
      </c>
      <c r="AA62" s="43" t="str">
        <f aca="false">IF(Y62="","",MAX(0,MAX(Z$7:Z62)))</f>
        <v/>
      </c>
      <c r="AB62" s="43" t="str">
        <f aca="false">IF(Y62="","",Z62-AA62)</f>
        <v/>
      </c>
    </row>
    <row r="63" customFormat="false" ht="15" hidden="false" customHeight="false" outlineLevel="0" collapsed="false">
      <c r="B63" s="38"/>
      <c r="C63" s="39" t="str">
        <f aca="false">IF(B63="","",INT((B63-Inputs!$F$8)/7)+1)</f>
        <v/>
      </c>
      <c r="D63" s="39" t="str">
        <f aca="false">IF(B63="","",COUNTIF(B$7:B63,B63))</f>
        <v/>
      </c>
      <c r="E63" s="34"/>
      <c r="F63" s="34"/>
      <c r="G63" s="34"/>
      <c r="H63" s="34"/>
      <c r="I63" s="34"/>
      <c r="J63" s="35"/>
      <c r="K63" s="35"/>
      <c r="L63" s="40" t="str">
        <f aca="false">IF(OR(J63="",K63=""),"",IF(G63="Long",J63+Inputs!$F$15*(J63-K63),J63-Inputs!$F$15*(K63-J63)))</f>
        <v/>
      </c>
      <c r="M63" s="35"/>
      <c r="N63" s="34"/>
      <c r="O63" s="35"/>
      <c r="P63" s="34"/>
      <c r="Q63" s="41"/>
      <c r="R63" s="36" t="str">
        <f aca="false">IF(OR(M63="",J63="",K63="",J63=K63),"",ROUND(IF(G63="Long",(M63-J63)/(J63-K63),(J63-M63)/(K63-J63)),2))</f>
        <v/>
      </c>
      <c r="S63" s="39" t="str">
        <f aca="false">IF(B63="","",IF(AND(I63="Y",OR(P63="None",P63="")),"Yes","No"))</f>
        <v/>
      </c>
      <c r="T63" s="36" t="str">
        <f aca="false">IF(OR(O63="",J63="",K63="",J63=K63),"",ROUND(IF(G63="Long",(O63-J63)/(J63-K63),(J63-O63)/(K63-J63)),2))</f>
        <v/>
      </c>
      <c r="U63" s="36" t="str">
        <f aca="false">IF(OR(R63="",T63=""),"",IF(T63&gt;=2,2,IF(N63="Target",-1,R63)))</f>
        <v/>
      </c>
      <c r="V63" s="36" t="str">
        <f aca="false">IF(OR(R63="",T63=""),"",IF(T63&gt;=3,3,IF(N63="Target",-1,R63)))</f>
        <v/>
      </c>
      <c r="W63" s="42" t="str">
        <f aca="false">IF(R63="","",ROUND(R63*(Inputs!$F$9+SUM(W$6:W62))*Inputs!$F$10,2))</f>
        <v/>
      </c>
      <c r="X63" s="42" t="str">
        <f aca="false">IF(R63="","",Inputs!$F$9+SUM(W$7:W63))</f>
        <v/>
      </c>
      <c r="Y63" s="43" t="str">
        <f aca="false">IF(S63="Yes",R63,"")</f>
        <v/>
      </c>
      <c r="Z63" s="43" t="str">
        <f aca="false">IF(Y63="","",SUM(Y$7:Y63))</f>
        <v/>
      </c>
      <c r="AA63" s="43" t="str">
        <f aca="false">IF(Y63="","",MAX(0,MAX(Z$7:Z63)))</f>
        <v/>
      </c>
      <c r="AB63" s="43" t="str">
        <f aca="false">IF(Y63="","",Z63-AA63)</f>
        <v/>
      </c>
    </row>
    <row r="64" customFormat="false" ht="15" hidden="false" customHeight="false" outlineLevel="0" collapsed="false">
      <c r="B64" s="38"/>
      <c r="C64" s="39" t="str">
        <f aca="false">IF(B64="","",INT((B64-Inputs!$F$8)/7)+1)</f>
        <v/>
      </c>
      <c r="D64" s="39" t="str">
        <f aca="false">IF(B64="","",COUNTIF(B$7:B64,B64))</f>
        <v/>
      </c>
      <c r="E64" s="34"/>
      <c r="F64" s="34"/>
      <c r="G64" s="34"/>
      <c r="H64" s="34"/>
      <c r="I64" s="34"/>
      <c r="J64" s="35"/>
      <c r="K64" s="35"/>
      <c r="L64" s="40" t="str">
        <f aca="false">IF(OR(J64="",K64=""),"",IF(G64="Long",J64+Inputs!$F$15*(J64-K64),J64-Inputs!$F$15*(K64-J64)))</f>
        <v/>
      </c>
      <c r="M64" s="35"/>
      <c r="N64" s="34"/>
      <c r="O64" s="35"/>
      <c r="P64" s="34"/>
      <c r="Q64" s="41"/>
      <c r="R64" s="36" t="str">
        <f aca="false">IF(OR(M64="",J64="",K64="",J64=K64),"",ROUND(IF(G64="Long",(M64-J64)/(J64-K64),(J64-M64)/(K64-J64)),2))</f>
        <v/>
      </c>
      <c r="S64" s="39" t="str">
        <f aca="false">IF(B64="","",IF(AND(I64="Y",OR(P64="None",P64="")),"Yes","No"))</f>
        <v/>
      </c>
      <c r="T64" s="36" t="str">
        <f aca="false">IF(OR(O64="",J64="",K64="",J64=K64),"",ROUND(IF(G64="Long",(O64-J64)/(J64-K64),(J64-O64)/(K64-J64)),2))</f>
        <v/>
      </c>
      <c r="U64" s="36" t="str">
        <f aca="false">IF(OR(R64="",T64=""),"",IF(T64&gt;=2,2,IF(N64="Target",-1,R64)))</f>
        <v/>
      </c>
      <c r="V64" s="36" t="str">
        <f aca="false">IF(OR(R64="",T64=""),"",IF(T64&gt;=3,3,IF(N64="Target",-1,R64)))</f>
        <v/>
      </c>
      <c r="W64" s="42" t="str">
        <f aca="false">IF(R64="","",ROUND(R64*(Inputs!$F$9+SUM(W$6:W63))*Inputs!$F$10,2))</f>
        <v/>
      </c>
      <c r="X64" s="42" t="str">
        <f aca="false">IF(R64="","",Inputs!$F$9+SUM(W$7:W64))</f>
        <v/>
      </c>
      <c r="Y64" s="43" t="str">
        <f aca="false">IF(S64="Yes",R64,"")</f>
        <v/>
      </c>
      <c r="Z64" s="43" t="str">
        <f aca="false">IF(Y64="","",SUM(Y$7:Y64))</f>
        <v/>
      </c>
      <c r="AA64" s="43" t="str">
        <f aca="false">IF(Y64="","",MAX(0,MAX(Z$7:Z64)))</f>
        <v/>
      </c>
      <c r="AB64" s="43" t="str">
        <f aca="false">IF(Y64="","",Z64-AA64)</f>
        <v/>
      </c>
    </row>
    <row r="65" customFormat="false" ht="15" hidden="false" customHeight="false" outlineLevel="0" collapsed="false">
      <c r="B65" s="38"/>
      <c r="C65" s="39" t="str">
        <f aca="false">IF(B65="","",INT((B65-Inputs!$F$8)/7)+1)</f>
        <v/>
      </c>
      <c r="D65" s="39" t="str">
        <f aca="false">IF(B65="","",COUNTIF(B$7:B65,B65))</f>
        <v/>
      </c>
      <c r="E65" s="34"/>
      <c r="F65" s="34"/>
      <c r="G65" s="34"/>
      <c r="H65" s="34"/>
      <c r="I65" s="34"/>
      <c r="J65" s="35"/>
      <c r="K65" s="35"/>
      <c r="L65" s="40" t="str">
        <f aca="false">IF(OR(J65="",K65=""),"",IF(G65="Long",J65+Inputs!$F$15*(J65-K65),J65-Inputs!$F$15*(K65-J65)))</f>
        <v/>
      </c>
      <c r="M65" s="35"/>
      <c r="N65" s="34"/>
      <c r="O65" s="35"/>
      <c r="P65" s="34"/>
      <c r="Q65" s="41"/>
      <c r="R65" s="36" t="str">
        <f aca="false">IF(OR(M65="",J65="",K65="",J65=K65),"",ROUND(IF(G65="Long",(M65-J65)/(J65-K65),(J65-M65)/(K65-J65)),2))</f>
        <v/>
      </c>
      <c r="S65" s="39" t="str">
        <f aca="false">IF(B65="","",IF(AND(I65="Y",OR(P65="None",P65="")),"Yes","No"))</f>
        <v/>
      </c>
      <c r="T65" s="36" t="str">
        <f aca="false">IF(OR(O65="",J65="",K65="",J65=K65),"",ROUND(IF(G65="Long",(O65-J65)/(J65-K65),(J65-O65)/(K65-J65)),2))</f>
        <v/>
      </c>
      <c r="U65" s="36" t="str">
        <f aca="false">IF(OR(R65="",T65=""),"",IF(T65&gt;=2,2,IF(N65="Target",-1,R65)))</f>
        <v/>
      </c>
      <c r="V65" s="36" t="str">
        <f aca="false">IF(OR(R65="",T65=""),"",IF(T65&gt;=3,3,IF(N65="Target",-1,R65)))</f>
        <v/>
      </c>
      <c r="W65" s="42" t="str">
        <f aca="false">IF(R65="","",ROUND(R65*(Inputs!$F$9+SUM(W$6:W64))*Inputs!$F$10,2))</f>
        <v/>
      </c>
      <c r="X65" s="42" t="str">
        <f aca="false">IF(R65="","",Inputs!$F$9+SUM(W$7:W65))</f>
        <v/>
      </c>
      <c r="Y65" s="43" t="str">
        <f aca="false">IF(S65="Yes",R65,"")</f>
        <v/>
      </c>
      <c r="Z65" s="43" t="str">
        <f aca="false">IF(Y65="","",SUM(Y$7:Y65))</f>
        <v/>
      </c>
      <c r="AA65" s="43" t="str">
        <f aca="false">IF(Y65="","",MAX(0,MAX(Z$7:Z65)))</f>
        <v/>
      </c>
      <c r="AB65" s="43" t="str">
        <f aca="false">IF(Y65="","",Z65-AA65)</f>
        <v/>
      </c>
    </row>
    <row r="66" customFormat="false" ht="15" hidden="false" customHeight="false" outlineLevel="0" collapsed="false">
      <c r="B66" s="38"/>
      <c r="C66" s="39" t="str">
        <f aca="false">IF(B66="","",INT((B66-Inputs!$F$8)/7)+1)</f>
        <v/>
      </c>
      <c r="D66" s="39" t="str">
        <f aca="false">IF(B66="","",COUNTIF(B$7:B66,B66))</f>
        <v/>
      </c>
      <c r="E66" s="34"/>
      <c r="F66" s="34"/>
      <c r="G66" s="34"/>
      <c r="H66" s="34"/>
      <c r="I66" s="34"/>
      <c r="J66" s="35"/>
      <c r="K66" s="35"/>
      <c r="L66" s="40" t="str">
        <f aca="false">IF(OR(J66="",K66=""),"",IF(G66="Long",J66+Inputs!$F$15*(J66-K66),J66-Inputs!$F$15*(K66-J66)))</f>
        <v/>
      </c>
      <c r="M66" s="35"/>
      <c r="N66" s="34"/>
      <c r="O66" s="35"/>
      <c r="P66" s="34"/>
      <c r="Q66" s="41"/>
      <c r="R66" s="36" t="str">
        <f aca="false">IF(OR(M66="",J66="",K66="",J66=K66),"",ROUND(IF(G66="Long",(M66-J66)/(J66-K66),(J66-M66)/(K66-J66)),2))</f>
        <v/>
      </c>
      <c r="S66" s="39" t="str">
        <f aca="false">IF(B66="","",IF(AND(I66="Y",OR(P66="None",P66="")),"Yes","No"))</f>
        <v/>
      </c>
      <c r="T66" s="36" t="str">
        <f aca="false">IF(OR(O66="",J66="",K66="",J66=K66),"",ROUND(IF(G66="Long",(O66-J66)/(J66-K66),(J66-O66)/(K66-J66)),2))</f>
        <v/>
      </c>
      <c r="U66" s="36" t="str">
        <f aca="false">IF(OR(R66="",T66=""),"",IF(T66&gt;=2,2,IF(N66="Target",-1,R66)))</f>
        <v/>
      </c>
      <c r="V66" s="36" t="str">
        <f aca="false">IF(OR(R66="",T66=""),"",IF(T66&gt;=3,3,IF(N66="Target",-1,R66)))</f>
        <v/>
      </c>
      <c r="W66" s="42" t="str">
        <f aca="false">IF(R66="","",ROUND(R66*(Inputs!$F$9+SUM(W$6:W65))*Inputs!$F$10,2))</f>
        <v/>
      </c>
      <c r="X66" s="42" t="str">
        <f aca="false">IF(R66="","",Inputs!$F$9+SUM(W$7:W66))</f>
        <v/>
      </c>
      <c r="Y66" s="43" t="str">
        <f aca="false">IF(S66="Yes",R66,"")</f>
        <v/>
      </c>
      <c r="Z66" s="43" t="str">
        <f aca="false">IF(Y66="","",SUM(Y$7:Y66))</f>
        <v/>
      </c>
      <c r="AA66" s="43" t="str">
        <f aca="false">IF(Y66="","",MAX(0,MAX(Z$7:Z66)))</f>
        <v/>
      </c>
      <c r="AB66" s="43" t="str">
        <f aca="false">IF(Y66="","",Z66-AA66)</f>
        <v/>
      </c>
    </row>
    <row r="67" customFormat="false" ht="15" hidden="false" customHeight="false" outlineLevel="0" collapsed="false">
      <c r="B67" s="38"/>
      <c r="C67" s="39" t="str">
        <f aca="false">IF(B67="","",INT((B67-Inputs!$F$8)/7)+1)</f>
        <v/>
      </c>
      <c r="D67" s="39" t="str">
        <f aca="false">IF(B67="","",COUNTIF(B$7:B67,B67))</f>
        <v/>
      </c>
      <c r="E67" s="34"/>
      <c r="F67" s="34"/>
      <c r="G67" s="34"/>
      <c r="H67" s="34"/>
      <c r="I67" s="34"/>
      <c r="J67" s="35"/>
      <c r="K67" s="35"/>
      <c r="L67" s="40" t="str">
        <f aca="false">IF(OR(J67="",K67=""),"",IF(G67="Long",J67+Inputs!$F$15*(J67-K67),J67-Inputs!$F$15*(K67-J67)))</f>
        <v/>
      </c>
      <c r="M67" s="35"/>
      <c r="N67" s="34"/>
      <c r="O67" s="35"/>
      <c r="P67" s="34"/>
      <c r="Q67" s="41"/>
      <c r="R67" s="36" t="str">
        <f aca="false">IF(OR(M67="",J67="",K67="",J67=K67),"",ROUND(IF(G67="Long",(M67-J67)/(J67-K67),(J67-M67)/(K67-J67)),2))</f>
        <v/>
      </c>
      <c r="S67" s="39" t="str">
        <f aca="false">IF(B67="","",IF(AND(I67="Y",OR(P67="None",P67="")),"Yes","No"))</f>
        <v/>
      </c>
      <c r="T67" s="36" t="str">
        <f aca="false">IF(OR(O67="",J67="",K67="",J67=K67),"",ROUND(IF(G67="Long",(O67-J67)/(J67-K67),(J67-O67)/(K67-J67)),2))</f>
        <v/>
      </c>
      <c r="U67" s="36" t="str">
        <f aca="false">IF(OR(R67="",T67=""),"",IF(T67&gt;=2,2,IF(N67="Target",-1,R67)))</f>
        <v/>
      </c>
      <c r="V67" s="36" t="str">
        <f aca="false">IF(OR(R67="",T67=""),"",IF(T67&gt;=3,3,IF(N67="Target",-1,R67)))</f>
        <v/>
      </c>
      <c r="W67" s="42" t="str">
        <f aca="false">IF(R67="","",ROUND(R67*(Inputs!$F$9+SUM(W$6:W66))*Inputs!$F$10,2))</f>
        <v/>
      </c>
      <c r="X67" s="42" t="str">
        <f aca="false">IF(R67="","",Inputs!$F$9+SUM(W$7:W67))</f>
        <v/>
      </c>
      <c r="Y67" s="43" t="str">
        <f aca="false">IF(S67="Yes",R67,"")</f>
        <v/>
      </c>
      <c r="Z67" s="43" t="str">
        <f aca="false">IF(Y67="","",SUM(Y$7:Y67))</f>
        <v/>
      </c>
      <c r="AA67" s="43" t="str">
        <f aca="false">IF(Y67="","",MAX(0,MAX(Z$7:Z67)))</f>
        <v/>
      </c>
      <c r="AB67" s="43" t="str">
        <f aca="false">IF(Y67="","",Z67-AA67)</f>
        <v/>
      </c>
    </row>
    <row r="68" customFormat="false" ht="15" hidden="false" customHeight="false" outlineLevel="0" collapsed="false">
      <c r="B68" s="38"/>
      <c r="C68" s="39" t="str">
        <f aca="false">IF(B68="","",INT((B68-Inputs!$F$8)/7)+1)</f>
        <v/>
      </c>
      <c r="D68" s="39" t="str">
        <f aca="false">IF(B68="","",COUNTIF(B$7:B68,B68))</f>
        <v/>
      </c>
      <c r="E68" s="34"/>
      <c r="F68" s="34"/>
      <c r="G68" s="34"/>
      <c r="H68" s="34"/>
      <c r="I68" s="34"/>
      <c r="J68" s="35"/>
      <c r="K68" s="35"/>
      <c r="L68" s="40" t="str">
        <f aca="false">IF(OR(J68="",K68=""),"",IF(G68="Long",J68+Inputs!$F$15*(J68-K68),J68-Inputs!$F$15*(K68-J68)))</f>
        <v/>
      </c>
      <c r="M68" s="35"/>
      <c r="N68" s="34"/>
      <c r="O68" s="35"/>
      <c r="P68" s="34"/>
      <c r="Q68" s="41"/>
      <c r="R68" s="36" t="str">
        <f aca="false">IF(OR(M68="",J68="",K68="",J68=K68),"",ROUND(IF(G68="Long",(M68-J68)/(J68-K68),(J68-M68)/(K68-J68)),2))</f>
        <v/>
      </c>
      <c r="S68" s="39" t="str">
        <f aca="false">IF(B68="","",IF(AND(I68="Y",OR(P68="None",P68="")),"Yes","No"))</f>
        <v/>
      </c>
      <c r="T68" s="36" t="str">
        <f aca="false">IF(OR(O68="",J68="",K68="",J68=K68),"",ROUND(IF(G68="Long",(O68-J68)/(J68-K68),(J68-O68)/(K68-J68)),2))</f>
        <v/>
      </c>
      <c r="U68" s="36" t="str">
        <f aca="false">IF(OR(R68="",T68=""),"",IF(T68&gt;=2,2,IF(N68="Target",-1,R68)))</f>
        <v/>
      </c>
      <c r="V68" s="36" t="str">
        <f aca="false">IF(OR(R68="",T68=""),"",IF(T68&gt;=3,3,IF(N68="Target",-1,R68)))</f>
        <v/>
      </c>
      <c r="W68" s="42" t="str">
        <f aca="false">IF(R68="","",ROUND(R68*(Inputs!$F$9+SUM(W$6:W67))*Inputs!$F$10,2))</f>
        <v/>
      </c>
      <c r="X68" s="42" t="str">
        <f aca="false">IF(R68="","",Inputs!$F$9+SUM(W$7:W68))</f>
        <v/>
      </c>
      <c r="Y68" s="43" t="str">
        <f aca="false">IF(S68="Yes",R68,"")</f>
        <v/>
      </c>
      <c r="Z68" s="43" t="str">
        <f aca="false">IF(Y68="","",SUM(Y$7:Y68))</f>
        <v/>
      </c>
      <c r="AA68" s="43" t="str">
        <f aca="false">IF(Y68="","",MAX(0,MAX(Z$7:Z68)))</f>
        <v/>
      </c>
      <c r="AB68" s="43" t="str">
        <f aca="false">IF(Y68="","",Z68-AA68)</f>
        <v/>
      </c>
    </row>
    <row r="69" customFormat="false" ht="15" hidden="false" customHeight="false" outlineLevel="0" collapsed="false">
      <c r="B69" s="38"/>
      <c r="C69" s="39" t="str">
        <f aca="false">IF(B69="","",INT((B69-Inputs!$F$8)/7)+1)</f>
        <v/>
      </c>
      <c r="D69" s="39" t="str">
        <f aca="false">IF(B69="","",COUNTIF(B$7:B69,B69))</f>
        <v/>
      </c>
      <c r="E69" s="34"/>
      <c r="F69" s="34"/>
      <c r="G69" s="34"/>
      <c r="H69" s="34"/>
      <c r="I69" s="34"/>
      <c r="J69" s="35"/>
      <c r="K69" s="35"/>
      <c r="L69" s="40" t="str">
        <f aca="false">IF(OR(J69="",K69=""),"",IF(G69="Long",J69+Inputs!$F$15*(J69-K69),J69-Inputs!$F$15*(K69-J69)))</f>
        <v/>
      </c>
      <c r="M69" s="35"/>
      <c r="N69" s="34"/>
      <c r="O69" s="35"/>
      <c r="P69" s="34"/>
      <c r="Q69" s="41"/>
      <c r="R69" s="36" t="str">
        <f aca="false">IF(OR(M69="",J69="",K69="",J69=K69),"",ROUND(IF(G69="Long",(M69-J69)/(J69-K69),(J69-M69)/(K69-J69)),2))</f>
        <v/>
      </c>
      <c r="S69" s="39" t="str">
        <f aca="false">IF(B69="","",IF(AND(I69="Y",OR(P69="None",P69="")),"Yes","No"))</f>
        <v/>
      </c>
      <c r="T69" s="36" t="str">
        <f aca="false">IF(OR(O69="",J69="",K69="",J69=K69),"",ROUND(IF(G69="Long",(O69-J69)/(J69-K69),(J69-O69)/(K69-J69)),2))</f>
        <v/>
      </c>
      <c r="U69" s="36" t="str">
        <f aca="false">IF(OR(R69="",T69=""),"",IF(T69&gt;=2,2,IF(N69="Target",-1,R69)))</f>
        <v/>
      </c>
      <c r="V69" s="36" t="str">
        <f aca="false">IF(OR(R69="",T69=""),"",IF(T69&gt;=3,3,IF(N69="Target",-1,R69)))</f>
        <v/>
      </c>
      <c r="W69" s="42" t="str">
        <f aca="false">IF(R69="","",ROUND(R69*(Inputs!$F$9+SUM(W$6:W68))*Inputs!$F$10,2))</f>
        <v/>
      </c>
      <c r="X69" s="42" t="str">
        <f aca="false">IF(R69="","",Inputs!$F$9+SUM(W$7:W69))</f>
        <v/>
      </c>
      <c r="Y69" s="43" t="str">
        <f aca="false">IF(S69="Yes",R69,"")</f>
        <v/>
      </c>
      <c r="Z69" s="43" t="str">
        <f aca="false">IF(Y69="","",SUM(Y$7:Y69))</f>
        <v/>
      </c>
      <c r="AA69" s="43" t="str">
        <f aca="false">IF(Y69="","",MAX(0,MAX(Z$7:Z69)))</f>
        <v/>
      </c>
      <c r="AB69" s="43" t="str">
        <f aca="false">IF(Y69="","",Z69-AA69)</f>
        <v/>
      </c>
    </row>
    <row r="70" customFormat="false" ht="15" hidden="false" customHeight="false" outlineLevel="0" collapsed="false">
      <c r="B70" s="38"/>
      <c r="C70" s="39" t="str">
        <f aca="false">IF(B70="","",INT((B70-Inputs!$F$8)/7)+1)</f>
        <v/>
      </c>
      <c r="D70" s="39" t="str">
        <f aca="false">IF(B70="","",COUNTIF(B$7:B70,B70))</f>
        <v/>
      </c>
      <c r="E70" s="34"/>
      <c r="F70" s="34"/>
      <c r="G70" s="34"/>
      <c r="H70" s="34"/>
      <c r="I70" s="34"/>
      <c r="J70" s="35"/>
      <c r="K70" s="35"/>
      <c r="L70" s="40" t="str">
        <f aca="false">IF(OR(J70="",K70=""),"",IF(G70="Long",J70+Inputs!$F$15*(J70-K70),J70-Inputs!$F$15*(K70-J70)))</f>
        <v/>
      </c>
      <c r="M70" s="35"/>
      <c r="N70" s="34"/>
      <c r="O70" s="35"/>
      <c r="P70" s="34"/>
      <c r="Q70" s="41"/>
      <c r="R70" s="36" t="str">
        <f aca="false">IF(OR(M70="",J70="",K70="",J70=K70),"",ROUND(IF(G70="Long",(M70-J70)/(J70-K70),(J70-M70)/(K70-J70)),2))</f>
        <v/>
      </c>
      <c r="S70" s="39" t="str">
        <f aca="false">IF(B70="","",IF(AND(I70="Y",OR(P70="None",P70="")),"Yes","No"))</f>
        <v/>
      </c>
      <c r="T70" s="36" t="str">
        <f aca="false">IF(OR(O70="",J70="",K70="",J70=K70),"",ROUND(IF(G70="Long",(O70-J70)/(J70-K70),(J70-O70)/(K70-J70)),2))</f>
        <v/>
      </c>
      <c r="U70" s="36" t="str">
        <f aca="false">IF(OR(R70="",T70=""),"",IF(T70&gt;=2,2,IF(N70="Target",-1,R70)))</f>
        <v/>
      </c>
      <c r="V70" s="36" t="str">
        <f aca="false">IF(OR(R70="",T70=""),"",IF(T70&gt;=3,3,IF(N70="Target",-1,R70)))</f>
        <v/>
      </c>
      <c r="W70" s="42" t="str">
        <f aca="false">IF(R70="","",ROUND(R70*(Inputs!$F$9+SUM(W$6:W69))*Inputs!$F$10,2))</f>
        <v/>
      </c>
      <c r="X70" s="42" t="str">
        <f aca="false">IF(R70="","",Inputs!$F$9+SUM(W$7:W70))</f>
        <v/>
      </c>
      <c r="Y70" s="43" t="str">
        <f aca="false">IF(S70="Yes",R70,"")</f>
        <v/>
      </c>
      <c r="Z70" s="43" t="str">
        <f aca="false">IF(Y70="","",SUM(Y$7:Y70))</f>
        <v/>
      </c>
      <c r="AA70" s="43" t="str">
        <f aca="false">IF(Y70="","",MAX(0,MAX(Z$7:Z70)))</f>
        <v/>
      </c>
      <c r="AB70" s="43" t="str">
        <f aca="false">IF(Y70="","",Z70-AA70)</f>
        <v/>
      </c>
    </row>
    <row r="71" customFormat="false" ht="15" hidden="false" customHeight="false" outlineLevel="0" collapsed="false">
      <c r="B71" s="38"/>
      <c r="C71" s="39" t="str">
        <f aca="false">IF(B71="","",INT((B71-Inputs!$F$8)/7)+1)</f>
        <v/>
      </c>
      <c r="D71" s="39" t="str">
        <f aca="false">IF(B71="","",COUNTIF(B$7:B71,B71))</f>
        <v/>
      </c>
      <c r="E71" s="34"/>
      <c r="F71" s="34"/>
      <c r="G71" s="34"/>
      <c r="H71" s="34"/>
      <c r="I71" s="34"/>
      <c r="J71" s="35"/>
      <c r="K71" s="35"/>
      <c r="L71" s="40" t="str">
        <f aca="false">IF(OR(J71="",K71=""),"",IF(G71="Long",J71+Inputs!$F$15*(J71-K71),J71-Inputs!$F$15*(K71-J71)))</f>
        <v/>
      </c>
      <c r="M71" s="35"/>
      <c r="N71" s="34"/>
      <c r="O71" s="35"/>
      <c r="P71" s="34"/>
      <c r="Q71" s="41"/>
      <c r="R71" s="36" t="str">
        <f aca="false">IF(OR(M71="",J71="",K71="",J71=K71),"",ROUND(IF(G71="Long",(M71-J71)/(J71-K71),(J71-M71)/(K71-J71)),2))</f>
        <v/>
      </c>
      <c r="S71" s="39" t="str">
        <f aca="false">IF(B71="","",IF(AND(I71="Y",OR(P71="None",P71="")),"Yes","No"))</f>
        <v/>
      </c>
      <c r="T71" s="36" t="str">
        <f aca="false">IF(OR(O71="",J71="",K71="",J71=K71),"",ROUND(IF(G71="Long",(O71-J71)/(J71-K71),(J71-O71)/(K71-J71)),2))</f>
        <v/>
      </c>
      <c r="U71" s="36" t="str">
        <f aca="false">IF(OR(R71="",T71=""),"",IF(T71&gt;=2,2,IF(N71="Target",-1,R71)))</f>
        <v/>
      </c>
      <c r="V71" s="36" t="str">
        <f aca="false">IF(OR(R71="",T71=""),"",IF(T71&gt;=3,3,IF(N71="Target",-1,R71)))</f>
        <v/>
      </c>
      <c r="W71" s="42" t="str">
        <f aca="false">IF(R71="","",ROUND(R71*(Inputs!$F$9+SUM(W$6:W70))*Inputs!$F$10,2))</f>
        <v/>
      </c>
      <c r="X71" s="42" t="str">
        <f aca="false">IF(R71="","",Inputs!$F$9+SUM(W$7:W71))</f>
        <v/>
      </c>
      <c r="Y71" s="43" t="str">
        <f aca="false">IF(S71="Yes",R71,"")</f>
        <v/>
      </c>
      <c r="Z71" s="43" t="str">
        <f aca="false">IF(Y71="","",SUM(Y$7:Y71))</f>
        <v/>
      </c>
      <c r="AA71" s="43" t="str">
        <f aca="false">IF(Y71="","",MAX(0,MAX(Z$7:Z71)))</f>
        <v/>
      </c>
      <c r="AB71" s="43" t="str">
        <f aca="false">IF(Y71="","",Z71-AA71)</f>
        <v/>
      </c>
    </row>
    <row r="72" customFormat="false" ht="15" hidden="false" customHeight="false" outlineLevel="0" collapsed="false">
      <c r="B72" s="38"/>
      <c r="C72" s="39" t="str">
        <f aca="false">IF(B72="","",INT((B72-Inputs!$F$8)/7)+1)</f>
        <v/>
      </c>
      <c r="D72" s="39" t="str">
        <f aca="false">IF(B72="","",COUNTIF(B$7:B72,B72))</f>
        <v/>
      </c>
      <c r="E72" s="34"/>
      <c r="F72" s="34"/>
      <c r="G72" s="34"/>
      <c r="H72" s="34"/>
      <c r="I72" s="34"/>
      <c r="J72" s="35"/>
      <c r="K72" s="35"/>
      <c r="L72" s="40" t="str">
        <f aca="false">IF(OR(J72="",K72=""),"",IF(G72="Long",J72+Inputs!$F$15*(J72-K72),J72-Inputs!$F$15*(K72-J72)))</f>
        <v/>
      </c>
      <c r="M72" s="35"/>
      <c r="N72" s="34"/>
      <c r="O72" s="35"/>
      <c r="P72" s="34"/>
      <c r="Q72" s="41"/>
      <c r="R72" s="36" t="str">
        <f aca="false">IF(OR(M72="",J72="",K72="",J72=K72),"",ROUND(IF(G72="Long",(M72-J72)/(J72-K72),(J72-M72)/(K72-J72)),2))</f>
        <v/>
      </c>
      <c r="S72" s="39" t="str">
        <f aca="false">IF(B72="","",IF(AND(I72="Y",OR(P72="None",P72="")),"Yes","No"))</f>
        <v/>
      </c>
      <c r="T72" s="36" t="str">
        <f aca="false">IF(OR(O72="",J72="",K72="",J72=K72),"",ROUND(IF(G72="Long",(O72-J72)/(J72-K72),(J72-O72)/(K72-J72)),2))</f>
        <v/>
      </c>
      <c r="U72" s="36" t="str">
        <f aca="false">IF(OR(R72="",T72=""),"",IF(T72&gt;=2,2,IF(N72="Target",-1,R72)))</f>
        <v/>
      </c>
      <c r="V72" s="36" t="str">
        <f aca="false">IF(OR(R72="",T72=""),"",IF(T72&gt;=3,3,IF(N72="Target",-1,R72)))</f>
        <v/>
      </c>
      <c r="W72" s="42" t="str">
        <f aca="false">IF(R72="","",ROUND(R72*(Inputs!$F$9+SUM(W$6:W71))*Inputs!$F$10,2))</f>
        <v/>
      </c>
      <c r="X72" s="42" t="str">
        <f aca="false">IF(R72="","",Inputs!$F$9+SUM(W$7:W72))</f>
        <v/>
      </c>
      <c r="Y72" s="43" t="str">
        <f aca="false">IF(S72="Yes",R72,"")</f>
        <v/>
      </c>
      <c r="Z72" s="43" t="str">
        <f aca="false">IF(Y72="","",SUM(Y$7:Y72))</f>
        <v/>
      </c>
      <c r="AA72" s="43" t="str">
        <f aca="false">IF(Y72="","",MAX(0,MAX(Z$7:Z72)))</f>
        <v/>
      </c>
      <c r="AB72" s="43" t="str">
        <f aca="false">IF(Y72="","",Z72-AA72)</f>
        <v/>
      </c>
    </row>
    <row r="73" customFormat="false" ht="15" hidden="false" customHeight="false" outlineLevel="0" collapsed="false">
      <c r="B73" s="38"/>
      <c r="C73" s="39" t="str">
        <f aca="false">IF(B73="","",INT((B73-Inputs!$F$8)/7)+1)</f>
        <v/>
      </c>
      <c r="D73" s="39" t="str">
        <f aca="false">IF(B73="","",COUNTIF(B$7:B73,B73))</f>
        <v/>
      </c>
      <c r="E73" s="34"/>
      <c r="F73" s="34"/>
      <c r="G73" s="34"/>
      <c r="H73" s="34"/>
      <c r="I73" s="34"/>
      <c r="J73" s="35"/>
      <c r="K73" s="35"/>
      <c r="L73" s="40" t="str">
        <f aca="false">IF(OR(J73="",K73=""),"",IF(G73="Long",J73+Inputs!$F$15*(J73-K73),J73-Inputs!$F$15*(K73-J73)))</f>
        <v/>
      </c>
      <c r="M73" s="35"/>
      <c r="N73" s="34"/>
      <c r="O73" s="35"/>
      <c r="P73" s="34"/>
      <c r="Q73" s="41"/>
      <c r="R73" s="36" t="str">
        <f aca="false">IF(OR(M73="",J73="",K73="",J73=K73),"",ROUND(IF(G73="Long",(M73-J73)/(J73-K73),(J73-M73)/(K73-J73)),2))</f>
        <v/>
      </c>
      <c r="S73" s="39" t="str">
        <f aca="false">IF(B73="","",IF(AND(I73="Y",OR(P73="None",P73="")),"Yes","No"))</f>
        <v/>
      </c>
      <c r="T73" s="36" t="str">
        <f aca="false">IF(OR(O73="",J73="",K73="",J73=K73),"",ROUND(IF(G73="Long",(O73-J73)/(J73-K73),(J73-O73)/(K73-J73)),2))</f>
        <v/>
      </c>
      <c r="U73" s="36" t="str">
        <f aca="false">IF(OR(R73="",T73=""),"",IF(T73&gt;=2,2,IF(N73="Target",-1,R73)))</f>
        <v/>
      </c>
      <c r="V73" s="36" t="str">
        <f aca="false">IF(OR(R73="",T73=""),"",IF(T73&gt;=3,3,IF(N73="Target",-1,R73)))</f>
        <v/>
      </c>
      <c r="W73" s="42" t="str">
        <f aca="false">IF(R73="","",ROUND(R73*(Inputs!$F$9+SUM(W$6:W72))*Inputs!$F$10,2))</f>
        <v/>
      </c>
      <c r="X73" s="42" t="str">
        <f aca="false">IF(R73="","",Inputs!$F$9+SUM(W$7:W73))</f>
        <v/>
      </c>
      <c r="Y73" s="43" t="str">
        <f aca="false">IF(S73="Yes",R73,"")</f>
        <v/>
      </c>
      <c r="Z73" s="43" t="str">
        <f aca="false">IF(Y73="","",SUM(Y$7:Y73))</f>
        <v/>
      </c>
      <c r="AA73" s="43" t="str">
        <f aca="false">IF(Y73="","",MAX(0,MAX(Z$7:Z73)))</f>
        <v/>
      </c>
      <c r="AB73" s="43" t="str">
        <f aca="false">IF(Y73="","",Z73-AA73)</f>
        <v/>
      </c>
    </row>
    <row r="74" customFormat="false" ht="15" hidden="false" customHeight="false" outlineLevel="0" collapsed="false">
      <c r="B74" s="38"/>
      <c r="C74" s="39" t="str">
        <f aca="false">IF(B74="","",INT((B74-Inputs!$F$8)/7)+1)</f>
        <v/>
      </c>
      <c r="D74" s="39" t="str">
        <f aca="false">IF(B74="","",COUNTIF(B$7:B74,B74))</f>
        <v/>
      </c>
      <c r="E74" s="34"/>
      <c r="F74" s="34"/>
      <c r="G74" s="34"/>
      <c r="H74" s="34"/>
      <c r="I74" s="34"/>
      <c r="J74" s="35"/>
      <c r="K74" s="35"/>
      <c r="L74" s="40" t="str">
        <f aca="false">IF(OR(J74="",K74=""),"",IF(G74="Long",J74+Inputs!$F$15*(J74-K74),J74-Inputs!$F$15*(K74-J74)))</f>
        <v/>
      </c>
      <c r="M74" s="35"/>
      <c r="N74" s="34"/>
      <c r="O74" s="35"/>
      <c r="P74" s="34"/>
      <c r="Q74" s="41"/>
      <c r="R74" s="36" t="str">
        <f aca="false">IF(OR(M74="",J74="",K74="",J74=K74),"",ROUND(IF(G74="Long",(M74-J74)/(J74-K74),(J74-M74)/(K74-J74)),2))</f>
        <v/>
      </c>
      <c r="S74" s="39" t="str">
        <f aca="false">IF(B74="","",IF(AND(I74="Y",OR(P74="None",P74="")),"Yes","No"))</f>
        <v/>
      </c>
      <c r="T74" s="36" t="str">
        <f aca="false">IF(OR(O74="",J74="",K74="",J74=K74),"",ROUND(IF(G74="Long",(O74-J74)/(J74-K74),(J74-O74)/(K74-J74)),2))</f>
        <v/>
      </c>
      <c r="U74" s="36" t="str">
        <f aca="false">IF(OR(R74="",T74=""),"",IF(T74&gt;=2,2,IF(N74="Target",-1,R74)))</f>
        <v/>
      </c>
      <c r="V74" s="36" t="str">
        <f aca="false">IF(OR(R74="",T74=""),"",IF(T74&gt;=3,3,IF(N74="Target",-1,R74)))</f>
        <v/>
      </c>
      <c r="W74" s="42" t="str">
        <f aca="false">IF(R74="","",ROUND(R74*(Inputs!$F$9+SUM(W$6:W73))*Inputs!$F$10,2))</f>
        <v/>
      </c>
      <c r="X74" s="42" t="str">
        <f aca="false">IF(R74="","",Inputs!$F$9+SUM(W$7:W74))</f>
        <v/>
      </c>
      <c r="Y74" s="43" t="str">
        <f aca="false">IF(S74="Yes",R74,"")</f>
        <v/>
      </c>
      <c r="Z74" s="43" t="str">
        <f aca="false">IF(Y74="","",SUM(Y$7:Y74))</f>
        <v/>
      </c>
      <c r="AA74" s="43" t="str">
        <f aca="false">IF(Y74="","",MAX(0,MAX(Z$7:Z74)))</f>
        <v/>
      </c>
      <c r="AB74" s="43" t="str">
        <f aca="false">IF(Y74="","",Z74-AA74)</f>
        <v/>
      </c>
    </row>
    <row r="75" customFormat="false" ht="15" hidden="false" customHeight="false" outlineLevel="0" collapsed="false">
      <c r="B75" s="38"/>
      <c r="C75" s="39" t="str">
        <f aca="false">IF(B75="","",INT((B75-Inputs!$F$8)/7)+1)</f>
        <v/>
      </c>
      <c r="D75" s="39" t="str">
        <f aca="false">IF(B75="","",COUNTIF(B$7:B75,B75))</f>
        <v/>
      </c>
      <c r="E75" s="34"/>
      <c r="F75" s="34"/>
      <c r="G75" s="34"/>
      <c r="H75" s="34"/>
      <c r="I75" s="34"/>
      <c r="J75" s="35"/>
      <c r="K75" s="35"/>
      <c r="L75" s="40" t="str">
        <f aca="false">IF(OR(J75="",K75=""),"",IF(G75="Long",J75+Inputs!$F$15*(J75-K75),J75-Inputs!$F$15*(K75-J75)))</f>
        <v/>
      </c>
      <c r="M75" s="35"/>
      <c r="N75" s="34"/>
      <c r="O75" s="35"/>
      <c r="P75" s="34"/>
      <c r="Q75" s="41"/>
      <c r="R75" s="36" t="str">
        <f aca="false">IF(OR(M75="",J75="",K75="",J75=K75),"",ROUND(IF(G75="Long",(M75-J75)/(J75-K75),(J75-M75)/(K75-J75)),2))</f>
        <v/>
      </c>
      <c r="S75" s="39" t="str">
        <f aca="false">IF(B75="","",IF(AND(I75="Y",OR(P75="None",P75="")),"Yes","No"))</f>
        <v/>
      </c>
      <c r="T75" s="36" t="str">
        <f aca="false">IF(OR(O75="",J75="",K75="",J75=K75),"",ROUND(IF(G75="Long",(O75-J75)/(J75-K75),(J75-O75)/(K75-J75)),2))</f>
        <v/>
      </c>
      <c r="U75" s="36" t="str">
        <f aca="false">IF(OR(R75="",T75=""),"",IF(T75&gt;=2,2,IF(N75="Target",-1,R75)))</f>
        <v/>
      </c>
      <c r="V75" s="36" t="str">
        <f aca="false">IF(OR(R75="",T75=""),"",IF(T75&gt;=3,3,IF(N75="Target",-1,R75)))</f>
        <v/>
      </c>
      <c r="W75" s="42" t="str">
        <f aca="false">IF(R75="","",ROUND(R75*(Inputs!$F$9+SUM(W$6:W74))*Inputs!$F$10,2))</f>
        <v/>
      </c>
      <c r="X75" s="42" t="str">
        <f aca="false">IF(R75="","",Inputs!$F$9+SUM(W$7:W75))</f>
        <v/>
      </c>
      <c r="Y75" s="43" t="str">
        <f aca="false">IF(S75="Yes",R75,"")</f>
        <v/>
      </c>
      <c r="Z75" s="43" t="str">
        <f aca="false">IF(Y75="","",SUM(Y$7:Y75))</f>
        <v/>
      </c>
      <c r="AA75" s="43" t="str">
        <f aca="false">IF(Y75="","",MAX(0,MAX(Z$7:Z75)))</f>
        <v/>
      </c>
      <c r="AB75" s="43" t="str">
        <f aca="false">IF(Y75="","",Z75-AA75)</f>
        <v/>
      </c>
    </row>
    <row r="76" customFormat="false" ht="15" hidden="false" customHeight="false" outlineLevel="0" collapsed="false">
      <c r="B76" s="38"/>
      <c r="C76" s="39" t="str">
        <f aca="false">IF(B76="","",INT((B76-Inputs!$F$8)/7)+1)</f>
        <v/>
      </c>
      <c r="D76" s="39" t="str">
        <f aca="false">IF(B76="","",COUNTIF(B$7:B76,B76))</f>
        <v/>
      </c>
      <c r="E76" s="34"/>
      <c r="F76" s="34"/>
      <c r="G76" s="34"/>
      <c r="H76" s="34"/>
      <c r="I76" s="34"/>
      <c r="J76" s="35"/>
      <c r="K76" s="35"/>
      <c r="L76" s="40" t="str">
        <f aca="false">IF(OR(J76="",K76=""),"",IF(G76="Long",J76+Inputs!$F$15*(J76-K76),J76-Inputs!$F$15*(K76-J76)))</f>
        <v/>
      </c>
      <c r="M76" s="35"/>
      <c r="N76" s="34"/>
      <c r="O76" s="35"/>
      <c r="P76" s="34"/>
      <c r="Q76" s="41"/>
      <c r="R76" s="36" t="str">
        <f aca="false">IF(OR(M76="",J76="",K76="",J76=K76),"",ROUND(IF(G76="Long",(M76-J76)/(J76-K76),(J76-M76)/(K76-J76)),2))</f>
        <v/>
      </c>
      <c r="S76" s="39" t="str">
        <f aca="false">IF(B76="","",IF(AND(I76="Y",OR(P76="None",P76="")),"Yes","No"))</f>
        <v/>
      </c>
      <c r="T76" s="36" t="str">
        <f aca="false">IF(OR(O76="",J76="",K76="",J76=K76),"",ROUND(IF(G76="Long",(O76-J76)/(J76-K76),(J76-O76)/(K76-J76)),2))</f>
        <v/>
      </c>
      <c r="U76" s="36" t="str">
        <f aca="false">IF(OR(R76="",T76=""),"",IF(T76&gt;=2,2,IF(N76="Target",-1,R76)))</f>
        <v/>
      </c>
      <c r="V76" s="36" t="str">
        <f aca="false">IF(OR(R76="",T76=""),"",IF(T76&gt;=3,3,IF(N76="Target",-1,R76)))</f>
        <v/>
      </c>
      <c r="W76" s="42" t="str">
        <f aca="false">IF(R76="","",ROUND(R76*(Inputs!$F$9+SUM(W$6:W75))*Inputs!$F$10,2))</f>
        <v/>
      </c>
      <c r="X76" s="42" t="str">
        <f aca="false">IF(R76="","",Inputs!$F$9+SUM(W$7:W76))</f>
        <v/>
      </c>
      <c r="Y76" s="43" t="str">
        <f aca="false">IF(S76="Yes",R76,"")</f>
        <v/>
      </c>
      <c r="Z76" s="43" t="str">
        <f aca="false">IF(Y76="","",SUM(Y$7:Y76))</f>
        <v/>
      </c>
      <c r="AA76" s="43" t="str">
        <f aca="false">IF(Y76="","",MAX(0,MAX(Z$7:Z76)))</f>
        <v/>
      </c>
      <c r="AB76" s="43" t="str">
        <f aca="false">IF(Y76="","",Z76-AA76)</f>
        <v/>
      </c>
    </row>
    <row r="77" customFormat="false" ht="15" hidden="false" customHeight="false" outlineLevel="0" collapsed="false">
      <c r="B77" s="38"/>
      <c r="C77" s="39" t="str">
        <f aca="false">IF(B77="","",INT((B77-Inputs!$F$8)/7)+1)</f>
        <v/>
      </c>
      <c r="D77" s="39" t="str">
        <f aca="false">IF(B77="","",COUNTIF(B$7:B77,B77))</f>
        <v/>
      </c>
      <c r="E77" s="34"/>
      <c r="F77" s="34"/>
      <c r="G77" s="34"/>
      <c r="H77" s="34"/>
      <c r="I77" s="34"/>
      <c r="J77" s="35"/>
      <c r="K77" s="35"/>
      <c r="L77" s="40" t="str">
        <f aca="false">IF(OR(J77="",K77=""),"",IF(G77="Long",J77+Inputs!$F$15*(J77-K77),J77-Inputs!$F$15*(K77-J77)))</f>
        <v/>
      </c>
      <c r="M77" s="35"/>
      <c r="N77" s="34"/>
      <c r="O77" s="35"/>
      <c r="P77" s="34"/>
      <c r="Q77" s="41"/>
      <c r="R77" s="36" t="str">
        <f aca="false">IF(OR(M77="",J77="",K77="",J77=K77),"",ROUND(IF(G77="Long",(M77-J77)/(J77-K77),(J77-M77)/(K77-J77)),2))</f>
        <v/>
      </c>
      <c r="S77" s="39" t="str">
        <f aca="false">IF(B77="","",IF(AND(I77="Y",OR(P77="None",P77="")),"Yes","No"))</f>
        <v/>
      </c>
      <c r="T77" s="36" t="str">
        <f aca="false">IF(OR(O77="",J77="",K77="",J77=K77),"",ROUND(IF(G77="Long",(O77-J77)/(J77-K77),(J77-O77)/(K77-J77)),2))</f>
        <v/>
      </c>
      <c r="U77" s="36" t="str">
        <f aca="false">IF(OR(R77="",T77=""),"",IF(T77&gt;=2,2,IF(N77="Target",-1,R77)))</f>
        <v/>
      </c>
      <c r="V77" s="36" t="str">
        <f aca="false">IF(OR(R77="",T77=""),"",IF(T77&gt;=3,3,IF(N77="Target",-1,R77)))</f>
        <v/>
      </c>
      <c r="W77" s="42" t="str">
        <f aca="false">IF(R77="","",ROUND(R77*(Inputs!$F$9+SUM(W$6:W76))*Inputs!$F$10,2))</f>
        <v/>
      </c>
      <c r="X77" s="42" t="str">
        <f aca="false">IF(R77="","",Inputs!$F$9+SUM(W$7:W77))</f>
        <v/>
      </c>
      <c r="Y77" s="43" t="str">
        <f aca="false">IF(S77="Yes",R77,"")</f>
        <v/>
      </c>
      <c r="Z77" s="43" t="str">
        <f aca="false">IF(Y77="","",SUM(Y$7:Y77))</f>
        <v/>
      </c>
      <c r="AA77" s="43" t="str">
        <f aca="false">IF(Y77="","",MAX(0,MAX(Z$7:Z77)))</f>
        <v/>
      </c>
      <c r="AB77" s="43" t="str">
        <f aca="false">IF(Y77="","",Z77-AA77)</f>
        <v/>
      </c>
    </row>
    <row r="78" customFormat="false" ht="15" hidden="false" customHeight="false" outlineLevel="0" collapsed="false">
      <c r="B78" s="38"/>
      <c r="C78" s="39" t="str">
        <f aca="false">IF(B78="","",INT((B78-Inputs!$F$8)/7)+1)</f>
        <v/>
      </c>
      <c r="D78" s="39" t="str">
        <f aca="false">IF(B78="","",COUNTIF(B$7:B78,B78))</f>
        <v/>
      </c>
      <c r="E78" s="34"/>
      <c r="F78" s="34"/>
      <c r="G78" s="34"/>
      <c r="H78" s="34"/>
      <c r="I78" s="34"/>
      <c r="J78" s="35"/>
      <c r="K78" s="35"/>
      <c r="L78" s="40" t="str">
        <f aca="false">IF(OR(J78="",K78=""),"",IF(G78="Long",J78+Inputs!$F$15*(J78-K78),J78-Inputs!$F$15*(K78-J78)))</f>
        <v/>
      </c>
      <c r="M78" s="35"/>
      <c r="N78" s="34"/>
      <c r="O78" s="35"/>
      <c r="P78" s="34"/>
      <c r="Q78" s="41"/>
      <c r="R78" s="36" t="str">
        <f aca="false">IF(OR(M78="",J78="",K78="",J78=K78),"",ROUND(IF(G78="Long",(M78-J78)/(J78-K78),(J78-M78)/(K78-J78)),2))</f>
        <v/>
      </c>
      <c r="S78" s="39" t="str">
        <f aca="false">IF(B78="","",IF(AND(I78="Y",OR(P78="None",P78="")),"Yes","No"))</f>
        <v/>
      </c>
      <c r="T78" s="36" t="str">
        <f aca="false">IF(OR(O78="",J78="",K78="",J78=K78),"",ROUND(IF(G78="Long",(O78-J78)/(J78-K78),(J78-O78)/(K78-J78)),2))</f>
        <v/>
      </c>
      <c r="U78" s="36" t="str">
        <f aca="false">IF(OR(R78="",T78=""),"",IF(T78&gt;=2,2,IF(N78="Target",-1,R78)))</f>
        <v/>
      </c>
      <c r="V78" s="36" t="str">
        <f aca="false">IF(OR(R78="",T78=""),"",IF(T78&gt;=3,3,IF(N78="Target",-1,R78)))</f>
        <v/>
      </c>
      <c r="W78" s="42" t="str">
        <f aca="false">IF(R78="","",ROUND(R78*(Inputs!$F$9+SUM(W$6:W77))*Inputs!$F$10,2))</f>
        <v/>
      </c>
      <c r="X78" s="42" t="str">
        <f aca="false">IF(R78="","",Inputs!$F$9+SUM(W$7:W78))</f>
        <v/>
      </c>
      <c r="Y78" s="43" t="str">
        <f aca="false">IF(S78="Yes",R78,"")</f>
        <v/>
      </c>
      <c r="Z78" s="43" t="str">
        <f aca="false">IF(Y78="","",SUM(Y$7:Y78))</f>
        <v/>
      </c>
      <c r="AA78" s="43" t="str">
        <f aca="false">IF(Y78="","",MAX(0,MAX(Z$7:Z78)))</f>
        <v/>
      </c>
      <c r="AB78" s="43" t="str">
        <f aca="false">IF(Y78="","",Z78-AA78)</f>
        <v/>
      </c>
    </row>
    <row r="79" customFormat="false" ht="15" hidden="false" customHeight="false" outlineLevel="0" collapsed="false">
      <c r="B79" s="38"/>
      <c r="C79" s="39" t="str">
        <f aca="false">IF(B79="","",INT((B79-Inputs!$F$8)/7)+1)</f>
        <v/>
      </c>
      <c r="D79" s="39" t="str">
        <f aca="false">IF(B79="","",COUNTIF(B$7:B79,B79))</f>
        <v/>
      </c>
      <c r="E79" s="34"/>
      <c r="F79" s="34"/>
      <c r="G79" s="34"/>
      <c r="H79" s="34"/>
      <c r="I79" s="34"/>
      <c r="J79" s="35"/>
      <c r="K79" s="35"/>
      <c r="L79" s="40" t="str">
        <f aca="false">IF(OR(J79="",K79=""),"",IF(G79="Long",J79+Inputs!$F$15*(J79-K79),J79-Inputs!$F$15*(K79-J79)))</f>
        <v/>
      </c>
      <c r="M79" s="35"/>
      <c r="N79" s="34"/>
      <c r="O79" s="35"/>
      <c r="P79" s="34"/>
      <c r="Q79" s="41"/>
      <c r="R79" s="36" t="str">
        <f aca="false">IF(OR(M79="",J79="",K79="",J79=K79),"",ROUND(IF(G79="Long",(M79-J79)/(J79-K79),(J79-M79)/(K79-J79)),2))</f>
        <v/>
      </c>
      <c r="S79" s="39" t="str">
        <f aca="false">IF(B79="","",IF(AND(I79="Y",OR(P79="None",P79="")),"Yes","No"))</f>
        <v/>
      </c>
      <c r="T79" s="36" t="str">
        <f aca="false">IF(OR(O79="",J79="",K79="",J79=K79),"",ROUND(IF(G79="Long",(O79-J79)/(J79-K79),(J79-O79)/(K79-J79)),2))</f>
        <v/>
      </c>
      <c r="U79" s="36" t="str">
        <f aca="false">IF(OR(R79="",T79=""),"",IF(T79&gt;=2,2,IF(N79="Target",-1,R79)))</f>
        <v/>
      </c>
      <c r="V79" s="36" t="str">
        <f aca="false">IF(OR(R79="",T79=""),"",IF(T79&gt;=3,3,IF(N79="Target",-1,R79)))</f>
        <v/>
      </c>
      <c r="W79" s="42" t="str">
        <f aca="false">IF(R79="","",ROUND(R79*(Inputs!$F$9+SUM(W$6:W78))*Inputs!$F$10,2))</f>
        <v/>
      </c>
      <c r="X79" s="42" t="str">
        <f aca="false">IF(R79="","",Inputs!$F$9+SUM(W$7:W79))</f>
        <v/>
      </c>
      <c r="Y79" s="43" t="str">
        <f aca="false">IF(S79="Yes",R79,"")</f>
        <v/>
      </c>
      <c r="Z79" s="43" t="str">
        <f aca="false">IF(Y79="","",SUM(Y$7:Y79))</f>
        <v/>
      </c>
      <c r="AA79" s="43" t="str">
        <f aca="false">IF(Y79="","",MAX(0,MAX(Z$7:Z79)))</f>
        <v/>
      </c>
      <c r="AB79" s="43" t="str">
        <f aca="false">IF(Y79="","",Z79-AA79)</f>
        <v/>
      </c>
    </row>
    <row r="80" customFormat="false" ht="15" hidden="false" customHeight="false" outlineLevel="0" collapsed="false">
      <c r="B80" s="38"/>
      <c r="C80" s="39" t="str">
        <f aca="false">IF(B80="","",INT((B80-Inputs!$F$8)/7)+1)</f>
        <v/>
      </c>
      <c r="D80" s="39" t="str">
        <f aca="false">IF(B80="","",COUNTIF(B$7:B80,B80))</f>
        <v/>
      </c>
      <c r="E80" s="34"/>
      <c r="F80" s="34"/>
      <c r="G80" s="34"/>
      <c r="H80" s="34"/>
      <c r="I80" s="34"/>
      <c r="J80" s="35"/>
      <c r="K80" s="35"/>
      <c r="L80" s="40" t="str">
        <f aca="false">IF(OR(J80="",K80=""),"",IF(G80="Long",J80+Inputs!$F$15*(J80-K80),J80-Inputs!$F$15*(K80-J80)))</f>
        <v/>
      </c>
      <c r="M80" s="35"/>
      <c r="N80" s="34"/>
      <c r="O80" s="35"/>
      <c r="P80" s="34"/>
      <c r="Q80" s="41"/>
      <c r="R80" s="36" t="str">
        <f aca="false">IF(OR(M80="",J80="",K80="",J80=K80),"",ROUND(IF(G80="Long",(M80-J80)/(J80-K80),(J80-M80)/(K80-J80)),2))</f>
        <v/>
      </c>
      <c r="S80" s="39" t="str">
        <f aca="false">IF(B80="","",IF(AND(I80="Y",OR(P80="None",P80="")),"Yes","No"))</f>
        <v/>
      </c>
      <c r="T80" s="36" t="str">
        <f aca="false">IF(OR(O80="",J80="",K80="",J80=K80),"",ROUND(IF(G80="Long",(O80-J80)/(J80-K80),(J80-O80)/(K80-J80)),2))</f>
        <v/>
      </c>
      <c r="U80" s="36" t="str">
        <f aca="false">IF(OR(R80="",T80=""),"",IF(T80&gt;=2,2,IF(N80="Target",-1,R80)))</f>
        <v/>
      </c>
      <c r="V80" s="36" t="str">
        <f aca="false">IF(OR(R80="",T80=""),"",IF(T80&gt;=3,3,IF(N80="Target",-1,R80)))</f>
        <v/>
      </c>
      <c r="W80" s="42" t="str">
        <f aca="false">IF(R80="","",ROUND(R80*(Inputs!$F$9+SUM(W$6:W79))*Inputs!$F$10,2))</f>
        <v/>
      </c>
      <c r="X80" s="42" t="str">
        <f aca="false">IF(R80="","",Inputs!$F$9+SUM(W$7:W80))</f>
        <v/>
      </c>
      <c r="Y80" s="43" t="str">
        <f aca="false">IF(S80="Yes",R80,"")</f>
        <v/>
      </c>
      <c r="Z80" s="43" t="str">
        <f aca="false">IF(Y80="","",SUM(Y$7:Y80))</f>
        <v/>
      </c>
      <c r="AA80" s="43" t="str">
        <f aca="false">IF(Y80="","",MAX(0,MAX(Z$7:Z80)))</f>
        <v/>
      </c>
      <c r="AB80" s="43" t="str">
        <f aca="false">IF(Y80="","",Z80-AA80)</f>
        <v/>
      </c>
    </row>
    <row r="81" customFormat="false" ht="15" hidden="false" customHeight="false" outlineLevel="0" collapsed="false">
      <c r="B81" s="38"/>
      <c r="C81" s="39" t="str">
        <f aca="false">IF(B81="","",INT((B81-Inputs!$F$8)/7)+1)</f>
        <v/>
      </c>
      <c r="D81" s="39" t="str">
        <f aca="false">IF(B81="","",COUNTIF(B$7:B81,B81))</f>
        <v/>
      </c>
      <c r="E81" s="34"/>
      <c r="F81" s="34"/>
      <c r="G81" s="34"/>
      <c r="H81" s="34"/>
      <c r="I81" s="34"/>
      <c r="J81" s="35"/>
      <c r="K81" s="35"/>
      <c r="L81" s="40" t="str">
        <f aca="false">IF(OR(J81="",K81=""),"",IF(G81="Long",J81+Inputs!$F$15*(J81-K81),J81-Inputs!$F$15*(K81-J81)))</f>
        <v/>
      </c>
      <c r="M81" s="35"/>
      <c r="N81" s="34"/>
      <c r="O81" s="35"/>
      <c r="P81" s="34"/>
      <c r="Q81" s="41"/>
      <c r="R81" s="36" t="str">
        <f aca="false">IF(OR(M81="",J81="",K81="",J81=K81),"",ROUND(IF(G81="Long",(M81-J81)/(J81-K81),(J81-M81)/(K81-J81)),2))</f>
        <v/>
      </c>
      <c r="S81" s="39" t="str">
        <f aca="false">IF(B81="","",IF(AND(I81="Y",OR(P81="None",P81="")),"Yes","No"))</f>
        <v/>
      </c>
      <c r="T81" s="36" t="str">
        <f aca="false">IF(OR(O81="",J81="",K81="",J81=K81),"",ROUND(IF(G81="Long",(O81-J81)/(J81-K81),(J81-O81)/(K81-J81)),2))</f>
        <v/>
      </c>
      <c r="U81" s="36" t="str">
        <f aca="false">IF(OR(R81="",T81=""),"",IF(T81&gt;=2,2,IF(N81="Target",-1,R81)))</f>
        <v/>
      </c>
      <c r="V81" s="36" t="str">
        <f aca="false">IF(OR(R81="",T81=""),"",IF(T81&gt;=3,3,IF(N81="Target",-1,R81)))</f>
        <v/>
      </c>
      <c r="W81" s="42" t="str">
        <f aca="false">IF(R81="","",ROUND(R81*(Inputs!$F$9+SUM(W$6:W80))*Inputs!$F$10,2))</f>
        <v/>
      </c>
      <c r="X81" s="42" t="str">
        <f aca="false">IF(R81="","",Inputs!$F$9+SUM(W$7:W81))</f>
        <v/>
      </c>
      <c r="Y81" s="43" t="str">
        <f aca="false">IF(S81="Yes",R81,"")</f>
        <v/>
      </c>
      <c r="Z81" s="43" t="str">
        <f aca="false">IF(Y81="","",SUM(Y$7:Y81))</f>
        <v/>
      </c>
      <c r="AA81" s="43" t="str">
        <f aca="false">IF(Y81="","",MAX(0,MAX(Z$7:Z81)))</f>
        <v/>
      </c>
      <c r="AB81" s="43" t="str">
        <f aca="false">IF(Y81="","",Z81-AA81)</f>
        <v/>
      </c>
    </row>
    <row r="82" customFormat="false" ht="15" hidden="false" customHeight="false" outlineLevel="0" collapsed="false">
      <c r="B82" s="38"/>
      <c r="C82" s="39" t="str">
        <f aca="false">IF(B82="","",INT((B82-Inputs!$F$8)/7)+1)</f>
        <v/>
      </c>
      <c r="D82" s="39" t="str">
        <f aca="false">IF(B82="","",COUNTIF(B$7:B82,B82))</f>
        <v/>
      </c>
      <c r="E82" s="34"/>
      <c r="F82" s="34"/>
      <c r="G82" s="34"/>
      <c r="H82" s="34"/>
      <c r="I82" s="34"/>
      <c r="J82" s="35"/>
      <c r="K82" s="35"/>
      <c r="L82" s="40" t="str">
        <f aca="false">IF(OR(J82="",K82=""),"",IF(G82="Long",J82+Inputs!$F$15*(J82-K82),J82-Inputs!$F$15*(K82-J82)))</f>
        <v/>
      </c>
      <c r="M82" s="35"/>
      <c r="N82" s="34"/>
      <c r="O82" s="35"/>
      <c r="P82" s="34"/>
      <c r="Q82" s="41"/>
      <c r="R82" s="36" t="str">
        <f aca="false">IF(OR(M82="",J82="",K82="",J82=K82),"",ROUND(IF(G82="Long",(M82-J82)/(J82-K82),(J82-M82)/(K82-J82)),2))</f>
        <v/>
      </c>
      <c r="S82" s="39" t="str">
        <f aca="false">IF(B82="","",IF(AND(I82="Y",OR(P82="None",P82="")),"Yes","No"))</f>
        <v/>
      </c>
      <c r="T82" s="36" t="str">
        <f aca="false">IF(OR(O82="",J82="",K82="",J82=K82),"",ROUND(IF(G82="Long",(O82-J82)/(J82-K82),(J82-O82)/(K82-J82)),2))</f>
        <v/>
      </c>
      <c r="U82" s="36" t="str">
        <f aca="false">IF(OR(R82="",T82=""),"",IF(T82&gt;=2,2,IF(N82="Target",-1,R82)))</f>
        <v/>
      </c>
      <c r="V82" s="36" t="str">
        <f aca="false">IF(OR(R82="",T82=""),"",IF(T82&gt;=3,3,IF(N82="Target",-1,R82)))</f>
        <v/>
      </c>
      <c r="W82" s="42" t="str">
        <f aca="false">IF(R82="","",ROUND(R82*(Inputs!$F$9+SUM(W$6:W81))*Inputs!$F$10,2))</f>
        <v/>
      </c>
      <c r="X82" s="42" t="str">
        <f aca="false">IF(R82="","",Inputs!$F$9+SUM(W$7:W82))</f>
        <v/>
      </c>
      <c r="Y82" s="43" t="str">
        <f aca="false">IF(S82="Yes",R82,"")</f>
        <v/>
      </c>
      <c r="Z82" s="43" t="str">
        <f aca="false">IF(Y82="","",SUM(Y$7:Y82))</f>
        <v/>
      </c>
      <c r="AA82" s="43" t="str">
        <f aca="false">IF(Y82="","",MAX(0,MAX(Z$7:Z82)))</f>
        <v/>
      </c>
      <c r="AB82" s="43" t="str">
        <f aca="false">IF(Y82="","",Z82-AA82)</f>
        <v/>
      </c>
    </row>
    <row r="83" customFormat="false" ht="15" hidden="false" customHeight="false" outlineLevel="0" collapsed="false">
      <c r="B83" s="38"/>
      <c r="C83" s="39" t="str">
        <f aca="false">IF(B83="","",INT((B83-Inputs!$F$8)/7)+1)</f>
        <v/>
      </c>
      <c r="D83" s="39" t="str">
        <f aca="false">IF(B83="","",COUNTIF(B$7:B83,B83))</f>
        <v/>
      </c>
      <c r="E83" s="34"/>
      <c r="F83" s="34"/>
      <c r="G83" s="34"/>
      <c r="H83" s="34"/>
      <c r="I83" s="34"/>
      <c r="J83" s="35"/>
      <c r="K83" s="35"/>
      <c r="L83" s="40" t="str">
        <f aca="false">IF(OR(J83="",K83=""),"",IF(G83="Long",J83+Inputs!$F$15*(J83-K83),J83-Inputs!$F$15*(K83-J83)))</f>
        <v/>
      </c>
      <c r="M83" s="35"/>
      <c r="N83" s="34"/>
      <c r="O83" s="35"/>
      <c r="P83" s="34"/>
      <c r="Q83" s="41"/>
      <c r="R83" s="36" t="str">
        <f aca="false">IF(OR(M83="",J83="",K83="",J83=K83),"",ROUND(IF(G83="Long",(M83-J83)/(J83-K83),(J83-M83)/(K83-J83)),2))</f>
        <v/>
      </c>
      <c r="S83" s="39" t="str">
        <f aca="false">IF(B83="","",IF(AND(I83="Y",OR(P83="None",P83="")),"Yes","No"))</f>
        <v/>
      </c>
      <c r="T83" s="36" t="str">
        <f aca="false">IF(OR(O83="",J83="",K83="",J83=K83),"",ROUND(IF(G83="Long",(O83-J83)/(J83-K83),(J83-O83)/(K83-J83)),2))</f>
        <v/>
      </c>
      <c r="U83" s="36" t="str">
        <f aca="false">IF(OR(R83="",T83=""),"",IF(T83&gt;=2,2,IF(N83="Target",-1,R83)))</f>
        <v/>
      </c>
      <c r="V83" s="36" t="str">
        <f aca="false">IF(OR(R83="",T83=""),"",IF(T83&gt;=3,3,IF(N83="Target",-1,R83)))</f>
        <v/>
      </c>
      <c r="W83" s="42" t="str">
        <f aca="false">IF(R83="","",ROUND(R83*(Inputs!$F$9+SUM(W$6:W82))*Inputs!$F$10,2))</f>
        <v/>
      </c>
      <c r="X83" s="42" t="str">
        <f aca="false">IF(R83="","",Inputs!$F$9+SUM(W$7:W83))</f>
        <v/>
      </c>
      <c r="Y83" s="43" t="str">
        <f aca="false">IF(S83="Yes",R83,"")</f>
        <v/>
      </c>
      <c r="Z83" s="43" t="str">
        <f aca="false">IF(Y83="","",SUM(Y$7:Y83))</f>
        <v/>
      </c>
      <c r="AA83" s="43" t="str">
        <f aca="false">IF(Y83="","",MAX(0,MAX(Z$7:Z83)))</f>
        <v/>
      </c>
      <c r="AB83" s="43" t="str">
        <f aca="false">IF(Y83="","",Z83-AA83)</f>
        <v/>
      </c>
    </row>
    <row r="84" customFormat="false" ht="15" hidden="false" customHeight="false" outlineLevel="0" collapsed="false">
      <c r="B84" s="38"/>
      <c r="C84" s="39" t="str">
        <f aca="false">IF(B84="","",INT((B84-Inputs!$F$8)/7)+1)</f>
        <v/>
      </c>
      <c r="D84" s="39" t="str">
        <f aca="false">IF(B84="","",COUNTIF(B$7:B84,B84))</f>
        <v/>
      </c>
      <c r="E84" s="34"/>
      <c r="F84" s="34"/>
      <c r="G84" s="34"/>
      <c r="H84" s="34"/>
      <c r="I84" s="34"/>
      <c r="J84" s="35"/>
      <c r="K84" s="35"/>
      <c r="L84" s="40" t="str">
        <f aca="false">IF(OR(J84="",K84=""),"",IF(G84="Long",J84+Inputs!$F$15*(J84-K84),J84-Inputs!$F$15*(K84-J84)))</f>
        <v/>
      </c>
      <c r="M84" s="35"/>
      <c r="N84" s="34"/>
      <c r="O84" s="35"/>
      <c r="P84" s="34"/>
      <c r="Q84" s="41"/>
      <c r="R84" s="36" t="str">
        <f aca="false">IF(OR(M84="",J84="",K84="",J84=K84),"",ROUND(IF(G84="Long",(M84-J84)/(J84-K84),(J84-M84)/(K84-J84)),2))</f>
        <v/>
      </c>
      <c r="S84" s="39" t="str">
        <f aca="false">IF(B84="","",IF(AND(I84="Y",OR(P84="None",P84="")),"Yes","No"))</f>
        <v/>
      </c>
      <c r="T84" s="36" t="str">
        <f aca="false">IF(OR(O84="",J84="",K84="",J84=K84),"",ROUND(IF(G84="Long",(O84-J84)/(J84-K84),(J84-O84)/(K84-J84)),2))</f>
        <v/>
      </c>
      <c r="U84" s="36" t="str">
        <f aca="false">IF(OR(R84="",T84=""),"",IF(T84&gt;=2,2,IF(N84="Target",-1,R84)))</f>
        <v/>
      </c>
      <c r="V84" s="36" t="str">
        <f aca="false">IF(OR(R84="",T84=""),"",IF(T84&gt;=3,3,IF(N84="Target",-1,R84)))</f>
        <v/>
      </c>
      <c r="W84" s="42" t="str">
        <f aca="false">IF(R84="","",ROUND(R84*(Inputs!$F$9+SUM(W$6:W83))*Inputs!$F$10,2))</f>
        <v/>
      </c>
      <c r="X84" s="42" t="str">
        <f aca="false">IF(R84="","",Inputs!$F$9+SUM(W$7:W84))</f>
        <v/>
      </c>
      <c r="Y84" s="43" t="str">
        <f aca="false">IF(S84="Yes",R84,"")</f>
        <v/>
      </c>
      <c r="Z84" s="43" t="str">
        <f aca="false">IF(Y84="","",SUM(Y$7:Y84))</f>
        <v/>
      </c>
      <c r="AA84" s="43" t="str">
        <f aca="false">IF(Y84="","",MAX(0,MAX(Z$7:Z84)))</f>
        <v/>
      </c>
      <c r="AB84" s="43" t="str">
        <f aca="false">IF(Y84="","",Z84-AA84)</f>
        <v/>
      </c>
    </row>
    <row r="85" customFormat="false" ht="15" hidden="false" customHeight="false" outlineLevel="0" collapsed="false">
      <c r="B85" s="38"/>
      <c r="C85" s="39" t="str">
        <f aca="false">IF(B85="","",INT((B85-Inputs!$F$8)/7)+1)</f>
        <v/>
      </c>
      <c r="D85" s="39" t="str">
        <f aca="false">IF(B85="","",COUNTIF(B$7:B85,B85))</f>
        <v/>
      </c>
      <c r="E85" s="34"/>
      <c r="F85" s="34"/>
      <c r="G85" s="34"/>
      <c r="H85" s="34"/>
      <c r="I85" s="34"/>
      <c r="J85" s="35"/>
      <c r="K85" s="35"/>
      <c r="L85" s="40" t="str">
        <f aca="false">IF(OR(J85="",K85=""),"",IF(G85="Long",J85+Inputs!$F$15*(J85-K85),J85-Inputs!$F$15*(K85-J85)))</f>
        <v/>
      </c>
      <c r="M85" s="35"/>
      <c r="N85" s="34"/>
      <c r="O85" s="35"/>
      <c r="P85" s="34"/>
      <c r="Q85" s="41"/>
      <c r="R85" s="36" t="str">
        <f aca="false">IF(OR(M85="",J85="",K85="",J85=K85),"",ROUND(IF(G85="Long",(M85-J85)/(J85-K85),(J85-M85)/(K85-J85)),2))</f>
        <v/>
      </c>
      <c r="S85" s="39" t="str">
        <f aca="false">IF(B85="","",IF(AND(I85="Y",OR(P85="None",P85="")),"Yes","No"))</f>
        <v/>
      </c>
      <c r="T85" s="36" t="str">
        <f aca="false">IF(OR(O85="",J85="",K85="",J85=K85),"",ROUND(IF(G85="Long",(O85-J85)/(J85-K85),(J85-O85)/(K85-J85)),2))</f>
        <v/>
      </c>
      <c r="U85" s="36" t="str">
        <f aca="false">IF(OR(R85="",T85=""),"",IF(T85&gt;=2,2,IF(N85="Target",-1,R85)))</f>
        <v/>
      </c>
      <c r="V85" s="36" t="str">
        <f aca="false">IF(OR(R85="",T85=""),"",IF(T85&gt;=3,3,IF(N85="Target",-1,R85)))</f>
        <v/>
      </c>
      <c r="W85" s="42" t="str">
        <f aca="false">IF(R85="","",ROUND(R85*(Inputs!$F$9+SUM(W$6:W84))*Inputs!$F$10,2))</f>
        <v/>
      </c>
      <c r="X85" s="42" t="str">
        <f aca="false">IF(R85="","",Inputs!$F$9+SUM(W$7:W85))</f>
        <v/>
      </c>
      <c r="Y85" s="43" t="str">
        <f aca="false">IF(S85="Yes",R85,"")</f>
        <v/>
      </c>
      <c r="Z85" s="43" t="str">
        <f aca="false">IF(Y85="","",SUM(Y$7:Y85))</f>
        <v/>
      </c>
      <c r="AA85" s="43" t="str">
        <f aca="false">IF(Y85="","",MAX(0,MAX(Z$7:Z85)))</f>
        <v/>
      </c>
      <c r="AB85" s="43" t="str">
        <f aca="false">IF(Y85="","",Z85-AA85)</f>
        <v/>
      </c>
    </row>
    <row r="86" customFormat="false" ht="15" hidden="false" customHeight="false" outlineLevel="0" collapsed="false">
      <c r="B86" s="38"/>
      <c r="C86" s="39" t="str">
        <f aca="false">IF(B86="","",INT((B86-Inputs!$F$8)/7)+1)</f>
        <v/>
      </c>
      <c r="D86" s="39" t="str">
        <f aca="false">IF(B86="","",COUNTIF(B$7:B86,B86))</f>
        <v/>
      </c>
      <c r="E86" s="34"/>
      <c r="F86" s="34"/>
      <c r="G86" s="34"/>
      <c r="H86" s="34"/>
      <c r="I86" s="34"/>
      <c r="J86" s="35"/>
      <c r="K86" s="35"/>
      <c r="L86" s="40" t="str">
        <f aca="false">IF(OR(J86="",K86=""),"",IF(G86="Long",J86+Inputs!$F$15*(J86-K86),J86-Inputs!$F$15*(K86-J86)))</f>
        <v/>
      </c>
      <c r="M86" s="35"/>
      <c r="N86" s="34"/>
      <c r="O86" s="35"/>
      <c r="P86" s="34"/>
      <c r="Q86" s="41"/>
      <c r="R86" s="36" t="str">
        <f aca="false">IF(OR(M86="",J86="",K86="",J86=K86),"",ROUND(IF(G86="Long",(M86-J86)/(J86-K86),(J86-M86)/(K86-J86)),2))</f>
        <v/>
      </c>
      <c r="S86" s="39" t="str">
        <f aca="false">IF(B86="","",IF(AND(I86="Y",OR(P86="None",P86="")),"Yes","No"))</f>
        <v/>
      </c>
      <c r="T86" s="36" t="str">
        <f aca="false">IF(OR(O86="",J86="",K86="",J86=K86),"",ROUND(IF(G86="Long",(O86-J86)/(J86-K86),(J86-O86)/(K86-J86)),2))</f>
        <v/>
      </c>
      <c r="U86" s="36" t="str">
        <f aca="false">IF(OR(R86="",T86=""),"",IF(T86&gt;=2,2,IF(N86="Target",-1,R86)))</f>
        <v/>
      </c>
      <c r="V86" s="36" t="str">
        <f aca="false">IF(OR(R86="",T86=""),"",IF(T86&gt;=3,3,IF(N86="Target",-1,R86)))</f>
        <v/>
      </c>
      <c r="W86" s="42" t="str">
        <f aca="false">IF(R86="","",ROUND(R86*(Inputs!$F$9+SUM(W$6:W85))*Inputs!$F$10,2))</f>
        <v/>
      </c>
      <c r="X86" s="42" t="str">
        <f aca="false">IF(R86="","",Inputs!$F$9+SUM(W$7:W86))</f>
        <v/>
      </c>
      <c r="Y86" s="43" t="str">
        <f aca="false">IF(S86="Yes",R86,"")</f>
        <v/>
      </c>
      <c r="Z86" s="43" t="str">
        <f aca="false">IF(Y86="","",SUM(Y$7:Y86))</f>
        <v/>
      </c>
      <c r="AA86" s="43" t="str">
        <f aca="false">IF(Y86="","",MAX(0,MAX(Z$7:Z86)))</f>
        <v/>
      </c>
      <c r="AB86" s="43" t="str">
        <f aca="false">IF(Y86="","",Z86-AA86)</f>
        <v/>
      </c>
    </row>
    <row r="87" customFormat="false" ht="15" hidden="false" customHeight="false" outlineLevel="0" collapsed="false">
      <c r="B87" s="38"/>
      <c r="C87" s="39" t="str">
        <f aca="false">IF(B87="","",INT((B87-Inputs!$F$8)/7)+1)</f>
        <v/>
      </c>
      <c r="D87" s="39" t="str">
        <f aca="false">IF(B87="","",COUNTIF(B$7:B87,B87))</f>
        <v/>
      </c>
      <c r="E87" s="34"/>
      <c r="F87" s="34"/>
      <c r="G87" s="34"/>
      <c r="H87" s="34"/>
      <c r="I87" s="34"/>
      <c r="J87" s="35"/>
      <c r="K87" s="35"/>
      <c r="L87" s="40" t="str">
        <f aca="false">IF(OR(J87="",K87=""),"",IF(G87="Long",J87+Inputs!$F$15*(J87-K87),J87-Inputs!$F$15*(K87-J87)))</f>
        <v/>
      </c>
      <c r="M87" s="35"/>
      <c r="N87" s="34"/>
      <c r="O87" s="35"/>
      <c r="P87" s="34"/>
      <c r="Q87" s="41"/>
      <c r="R87" s="36" t="str">
        <f aca="false">IF(OR(M87="",J87="",K87="",J87=K87),"",ROUND(IF(G87="Long",(M87-J87)/(J87-K87),(J87-M87)/(K87-J87)),2))</f>
        <v/>
      </c>
      <c r="S87" s="39" t="str">
        <f aca="false">IF(B87="","",IF(AND(I87="Y",OR(P87="None",P87="")),"Yes","No"))</f>
        <v/>
      </c>
      <c r="T87" s="36" t="str">
        <f aca="false">IF(OR(O87="",J87="",K87="",J87=K87),"",ROUND(IF(G87="Long",(O87-J87)/(J87-K87),(J87-O87)/(K87-J87)),2))</f>
        <v/>
      </c>
      <c r="U87" s="36" t="str">
        <f aca="false">IF(OR(R87="",T87=""),"",IF(T87&gt;=2,2,IF(N87="Target",-1,R87)))</f>
        <v/>
      </c>
      <c r="V87" s="36" t="str">
        <f aca="false">IF(OR(R87="",T87=""),"",IF(T87&gt;=3,3,IF(N87="Target",-1,R87)))</f>
        <v/>
      </c>
      <c r="W87" s="42" t="str">
        <f aca="false">IF(R87="","",ROUND(R87*(Inputs!$F$9+SUM(W$6:W86))*Inputs!$F$10,2))</f>
        <v/>
      </c>
      <c r="X87" s="42" t="str">
        <f aca="false">IF(R87="","",Inputs!$F$9+SUM(W$7:W87))</f>
        <v/>
      </c>
      <c r="Y87" s="43" t="str">
        <f aca="false">IF(S87="Yes",R87,"")</f>
        <v/>
      </c>
      <c r="Z87" s="43" t="str">
        <f aca="false">IF(Y87="","",SUM(Y$7:Y87))</f>
        <v/>
      </c>
      <c r="AA87" s="43" t="str">
        <f aca="false">IF(Y87="","",MAX(0,MAX(Z$7:Z87)))</f>
        <v/>
      </c>
      <c r="AB87" s="43" t="str">
        <f aca="false">IF(Y87="","",Z87-AA87)</f>
        <v/>
      </c>
    </row>
    <row r="88" customFormat="false" ht="15" hidden="false" customHeight="false" outlineLevel="0" collapsed="false">
      <c r="B88" s="38"/>
      <c r="C88" s="39" t="str">
        <f aca="false">IF(B88="","",INT((B88-Inputs!$F$8)/7)+1)</f>
        <v/>
      </c>
      <c r="D88" s="39" t="str">
        <f aca="false">IF(B88="","",COUNTIF(B$7:B88,B88))</f>
        <v/>
      </c>
      <c r="E88" s="34"/>
      <c r="F88" s="34"/>
      <c r="G88" s="34"/>
      <c r="H88" s="34"/>
      <c r="I88" s="34"/>
      <c r="J88" s="35"/>
      <c r="K88" s="35"/>
      <c r="L88" s="40" t="str">
        <f aca="false">IF(OR(J88="",K88=""),"",IF(G88="Long",J88+Inputs!$F$15*(J88-K88),J88-Inputs!$F$15*(K88-J88)))</f>
        <v/>
      </c>
      <c r="M88" s="35"/>
      <c r="N88" s="34"/>
      <c r="O88" s="35"/>
      <c r="P88" s="34"/>
      <c r="Q88" s="41"/>
      <c r="R88" s="36" t="str">
        <f aca="false">IF(OR(M88="",J88="",K88="",J88=K88),"",ROUND(IF(G88="Long",(M88-J88)/(J88-K88),(J88-M88)/(K88-J88)),2))</f>
        <v/>
      </c>
      <c r="S88" s="39" t="str">
        <f aca="false">IF(B88="","",IF(AND(I88="Y",OR(P88="None",P88="")),"Yes","No"))</f>
        <v/>
      </c>
      <c r="T88" s="36" t="str">
        <f aca="false">IF(OR(O88="",J88="",K88="",J88=K88),"",ROUND(IF(G88="Long",(O88-J88)/(J88-K88),(J88-O88)/(K88-J88)),2))</f>
        <v/>
      </c>
      <c r="U88" s="36" t="str">
        <f aca="false">IF(OR(R88="",T88=""),"",IF(T88&gt;=2,2,IF(N88="Target",-1,R88)))</f>
        <v/>
      </c>
      <c r="V88" s="36" t="str">
        <f aca="false">IF(OR(R88="",T88=""),"",IF(T88&gt;=3,3,IF(N88="Target",-1,R88)))</f>
        <v/>
      </c>
      <c r="W88" s="42" t="str">
        <f aca="false">IF(R88="","",ROUND(R88*(Inputs!$F$9+SUM(W$6:W87))*Inputs!$F$10,2))</f>
        <v/>
      </c>
      <c r="X88" s="42" t="str">
        <f aca="false">IF(R88="","",Inputs!$F$9+SUM(W$7:W88))</f>
        <v/>
      </c>
      <c r="Y88" s="43" t="str">
        <f aca="false">IF(S88="Yes",R88,"")</f>
        <v/>
      </c>
      <c r="Z88" s="43" t="str">
        <f aca="false">IF(Y88="","",SUM(Y$7:Y88))</f>
        <v/>
      </c>
      <c r="AA88" s="43" t="str">
        <f aca="false">IF(Y88="","",MAX(0,MAX(Z$7:Z88)))</f>
        <v/>
      </c>
      <c r="AB88" s="43" t="str">
        <f aca="false">IF(Y88="","",Z88-AA88)</f>
        <v/>
      </c>
    </row>
    <row r="89" customFormat="false" ht="15" hidden="false" customHeight="false" outlineLevel="0" collapsed="false">
      <c r="B89" s="38"/>
      <c r="C89" s="39" t="str">
        <f aca="false">IF(B89="","",INT((B89-Inputs!$F$8)/7)+1)</f>
        <v/>
      </c>
      <c r="D89" s="39" t="str">
        <f aca="false">IF(B89="","",COUNTIF(B$7:B89,B89))</f>
        <v/>
      </c>
      <c r="E89" s="34"/>
      <c r="F89" s="34"/>
      <c r="G89" s="34"/>
      <c r="H89" s="34"/>
      <c r="I89" s="34"/>
      <c r="J89" s="35"/>
      <c r="K89" s="35"/>
      <c r="L89" s="40" t="str">
        <f aca="false">IF(OR(J89="",K89=""),"",IF(G89="Long",J89+Inputs!$F$15*(J89-K89),J89-Inputs!$F$15*(K89-J89)))</f>
        <v/>
      </c>
      <c r="M89" s="35"/>
      <c r="N89" s="34"/>
      <c r="O89" s="35"/>
      <c r="P89" s="34"/>
      <c r="Q89" s="41"/>
      <c r="R89" s="36" t="str">
        <f aca="false">IF(OR(M89="",J89="",K89="",J89=K89),"",ROUND(IF(G89="Long",(M89-J89)/(J89-K89),(J89-M89)/(K89-J89)),2))</f>
        <v/>
      </c>
      <c r="S89" s="39" t="str">
        <f aca="false">IF(B89="","",IF(AND(I89="Y",OR(P89="None",P89="")),"Yes","No"))</f>
        <v/>
      </c>
      <c r="T89" s="36" t="str">
        <f aca="false">IF(OR(O89="",J89="",K89="",J89=K89),"",ROUND(IF(G89="Long",(O89-J89)/(J89-K89),(J89-O89)/(K89-J89)),2))</f>
        <v/>
      </c>
      <c r="U89" s="36" t="str">
        <f aca="false">IF(OR(R89="",T89=""),"",IF(T89&gt;=2,2,IF(N89="Target",-1,R89)))</f>
        <v/>
      </c>
      <c r="V89" s="36" t="str">
        <f aca="false">IF(OR(R89="",T89=""),"",IF(T89&gt;=3,3,IF(N89="Target",-1,R89)))</f>
        <v/>
      </c>
      <c r="W89" s="42" t="str">
        <f aca="false">IF(R89="","",ROUND(R89*(Inputs!$F$9+SUM(W$6:W88))*Inputs!$F$10,2))</f>
        <v/>
      </c>
      <c r="X89" s="42" t="str">
        <f aca="false">IF(R89="","",Inputs!$F$9+SUM(W$7:W89))</f>
        <v/>
      </c>
      <c r="Y89" s="43" t="str">
        <f aca="false">IF(S89="Yes",R89,"")</f>
        <v/>
      </c>
      <c r="Z89" s="43" t="str">
        <f aca="false">IF(Y89="","",SUM(Y$7:Y89))</f>
        <v/>
      </c>
      <c r="AA89" s="43" t="str">
        <f aca="false">IF(Y89="","",MAX(0,MAX(Z$7:Z89)))</f>
        <v/>
      </c>
      <c r="AB89" s="43" t="str">
        <f aca="false">IF(Y89="","",Z89-AA89)</f>
        <v/>
      </c>
    </row>
    <row r="90" customFormat="false" ht="15" hidden="false" customHeight="false" outlineLevel="0" collapsed="false">
      <c r="B90" s="38"/>
      <c r="C90" s="39" t="str">
        <f aca="false">IF(B90="","",INT((B90-Inputs!$F$8)/7)+1)</f>
        <v/>
      </c>
      <c r="D90" s="39" t="str">
        <f aca="false">IF(B90="","",COUNTIF(B$7:B90,B90))</f>
        <v/>
      </c>
      <c r="E90" s="34"/>
      <c r="F90" s="34"/>
      <c r="G90" s="34"/>
      <c r="H90" s="34"/>
      <c r="I90" s="34"/>
      <c r="J90" s="35"/>
      <c r="K90" s="35"/>
      <c r="L90" s="40" t="str">
        <f aca="false">IF(OR(J90="",K90=""),"",IF(G90="Long",J90+Inputs!$F$15*(J90-K90),J90-Inputs!$F$15*(K90-J90)))</f>
        <v/>
      </c>
      <c r="M90" s="35"/>
      <c r="N90" s="34"/>
      <c r="O90" s="35"/>
      <c r="P90" s="34"/>
      <c r="Q90" s="41"/>
      <c r="R90" s="36" t="str">
        <f aca="false">IF(OR(M90="",J90="",K90="",J90=K90),"",ROUND(IF(G90="Long",(M90-J90)/(J90-K90),(J90-M90)/(K90-J90)),2))</f>
        <v/>
      </c>
      <c r="S90" s="39" t="str">
        <f aca="false">IF(B90="","",IF(AND(I90="Y",OR(P90="None",P90="")),"Yes","No"))</f>
        <v/>
      </c>
      <c r="T90" s="36" t="str">
        <f aca="false">IF(OR(O90="",J90="",K90="",J90=K90),"",ROUND(IF(G90="Long",(O90-J90)/(J90-K90),(J90-O90)/(K90-J90)),2))</f>
        <v/>
      </c>
      <c r="U90" s="36" t="str">
        <f aca="false">IF(OR(R90="",T90=""),"",IF(T90&gt;=2,2,IF(N90="Target",-1,R90)))</f>
        <v/>
      </c>
      <c r="V90" s="36" t="str">
        <f aca="false">IF(OR(R90="",T90=""),"",IF(T90&gt;=3,3,IF(N90="Target",-1,R90)))</f>
        <v/>
      </c>
      <c r="W90" s="42" t="str">
        <f aca="false">IF(R90="","",ROUND(R90*(Inputs!$F$9+SUM(W$6:W89))*Inputs!$F$10,2))</f>
        <v/>
      </c>
      <c r="X90" s="42" t="str">
        <f aca="false">IF(R90="","",Inputs!$F$9+SUM(W$7:W90))</f>
        <v/>
      </c>
      <c r="Y90" s="43" t="str">
        <f aca="false">IF(S90="Yes",R90,"")</f>
        <v/>
      </c>
      <c r="Z90" s="43" t="str">
        <f aca="false">IF(Y90="","",SUM(Y$7:Y90))</f>
        <v/>
      </c>
      <c r="AA90" s="43" t="str">
        <f aca="false">IF(Y90="","",MAX(0,MAX(Z$7:Z90)))</f>
        <v/>
      </c>
      <c r="AB90" s="43" t="str">
        <f aca="false">IF(Y90="","",Z90-AA90)</f>
        <v/>
      </c>
    </row>
    <row r="91" customFormat="false" ht="15" hidden="false" customHeight="false" outlineLevel="0" collapsed="false">
      <c r="B91" s="38"/>
      <c r="C91" s="39" t="str">
        <f aca="false">IF(B91="","",INT((B91-Inputs!$F$8)/7)+1)</f>
        <v/>
      </c>
      <c r="D91" s="39" t="str">
        <f aca="false">IF(B91="","",COUNTIF(B$7:B91,B91))</f>
        <v/>
      </c>
      <c r="E91" s="34"/>
      <c r="F91" s="34"/>
      <c r="G91" s="34"/>
      <c r="H91" s="34"/>
      <c r="I91" s="34"/>
      <c r="J91" s="35"/>
      <c r="K91" s="35"/>
      <c r="L91" s="40" t="str">
        <f aca="false">IF(OR(J91="",K91=""),"",IF(G91="Long",J91+Inputs!$F$15*(J91-K91),J91-Inputs!$F$15*(K91-J91)))</f>
        <v/>
      </c>
      <c r="M91" s="35"/>
      <c r="N91" s="34"/>
      <c r="O91" s="35"/>
      <c r="P91" s="34"/>
      <c r="Q91" s="41"/>
      <c r="R91" s="36" t="str">
        <f aca="false">IF(OR(M91="",J91="",K91="",J91=K91),"",ROUND(IF(G91="Long",(M91-J91)/(J91-K91),(J91-M91)/(K91-J91)),2))</f>
        <v/>
      </c>
      <c r="S91" s="39" t="str">
        <f aca="false">IF(B91="","",IF(AND(I91="Y",OR(P91="None",P91="")),"Yes","No"))</f>
        <v/>
      </c>
      <c r="T91" s="36" t="str">
        <f aca="false">IF(OR(O91="",J91="",K91="",J91=K91),"",ROUND(IF(G91="Long",(O91-J91)/(J91-K91),(J91-O91)/(K91-J91)),2))</f>
        <v/>
      </c>
      <c r="U91" s="36" t="str">
        <f aca="false">IF(OR(R91="",T91=""),"",IF(T91&gt;=2,2,IF(N91="Target",-1,R91)))</f>
        <v/>
      </c>
      <c r="V91" s="36" t="str">
        <f aca="false">IF(OR(R91="",T91=""),"",IF(T91&gt;=3,3,IF(N91="Target",-1,R91)))</f>
        <v/>
      </c>
      <c r="W91" s="42" t="str">
        <f aca="false">IF(R91="","",ROUND(R91*(Inputs!$F$9+SUM(W$6:W90))*Inputs!$F$10,2))</f>
        <v/>
      </c>
      <c r="X91" s="42" t="str">
        <f aca="false">IF(R91="","",Inputs!$F$9+SUM(W$7:W91))</f>
        <v/>
      </c>
      <c r="Y91" s="43" t="str">
        <f aca="false">IF(S91="Yes",R91,"")</f>
        <v/>
      </c>
      <c r="Z91" s="43" t="str">
        <f aca="false">IF(Y91="","",SUM(Y$7:Y91))</f>
        <v/>
      </c>
      <c r="AA91" s="43" t="str">
        <f aca="false">IF(Y91="","",MAX(0,MAX(Z$7:Z91)))</f>
        <v/>
      </c>
      <c r="AB91" s="43" t="str">
        <f aca="false">IF(Y91="","",Z91-AA91)</f>
        <v/>
      </c>
    </row>
    <row r="92" customFormat="false" ht="15" hidden="false" customHeight="false" outlineLevel="0" collapsed="false">
      <c r="B92" s="38"/>
      <c r="C92" s="39" t="str">
        <f aca="false">IF(B92="","",INT((B92-Inputs!$F$8)/7)+1)</f>
        <v/>
      </c>
      <c r="D92" s="39" t="str">
        <f aca="false">IF(B92="","",COUNTIF(B$7:B92,B92))</f>
        <v/>
      </c>
      <c r="E92" s="34"/>
      <c r="F92" s="34"/>
      <c r="G92" s="34"/>
      <c r="H92" s="34"/>
      <c r="I92" s="34"/>
      <c r="J92" s="35"/>
      <c r="K92" s="35"/>
      <c r="L92" s="40" t="str">
        <f aca="false">IF(OR(J92="",K92=""),"",IF(G92="Long",J92+Inputs!$F$15*(J92-K92),J92-Inputs!$F$15*(K92-J92)))</f>
        <v/>
      </c>
      <c r="M92" s="35"/>
      <c r="N92" s="34"/>
      <c r="O92" s="35"/>
      <c r="P92" s="34"/>
      <c r="Q92" s="41"/>
      <c r="R92" s="36" t="str">
        <f aca="false">IF(OR(M92="",J92="",K92="",J92=K92),"",ROUND(IF(G92="Long",(M92-J92)/(J92-K92),(J92-M92)/(K92-J92)),2))</f>
        <v/>
      </c>
      <c r="S92" s="39" t="str">
        <f aca="false">IF(B92="","",IF(AND(I92="Y",OR(P92="None",P92="")),"Yes","No"))</f>
        <v/>
      </c>
      <c r="T92" s="36" t="str">
        <f aca="false">IF(OR(O92="",J92="",K92="",J92=K92),"",ROUND(IF(G92="Long",(O92-J92)/(J92-K92),(J92-O92)/(K92-J92)),2))</f>
        <v/>
      </c>
      <c r="U92" s="36" t="str">
        <f aca="false">IF(OR(R92="",T92=""),"",IF(T92&gt;=2,2,IF(N92="Target",-1,R92)))</f>
        <v/>
      </c>
      <c r="V92" s="36" t="str">
        <f aca="false">IF(OR(R92="",T92=""),"",IF(T92&gt;=3,3,IF(N92="Target",-1,R92)))</f>
        <v/>
      </c>
      <c r="W92" s="42" t="str">
        <f aca="false">IF(R92="","",ROUND(R92*(Inputs!$F$9+SUM(W$6:W91))*Inputs!$F$10,2))</f>
        <v/>
      </c>
      <c r="X92" s="42" t="str">
        <f aca="false">IF(R92="","",Inputs!$F$9+SUM(W$7:W92))</f>
        <v/>
      </c>
      <c r="Y92" s="43" t="str">
        <f aca="false">IF(S92="Yes",R92,"")</f>
        <v/>
      </c>
      <c r="Z92" s="43" t="str">
        <f aca="false">IF(Y92="","",SUM(Y$7:Y92))</f>
        <v/>
      </c>
      <c r="AA92" s="43" t="str">
        <f aca="false">IF(Y92="","",MAX(0,MAX(Z$7:Z92)))</f>
        <v/>
      </c>
      <c r="AB92" s="43" t="str">
        <f aca="false">IF(Y92="","",Z92-AA92)</f>
        <v/>
      </c>
    </row>
    <row r="93" customFormat="false" ht="15" hidden="false" customHeight="false" outlineLevel="0" collapsed="false">
      <c r="B93" s="38"/>
      <c r="C93" s="39" t="str">
        <f aca="false">IF(B93="","",INT((B93-Inputs!$F$8)/7)+1)</f>
        <v/>
      </c>
      <c r="D93" s="39" t="str">
        <f aca="false">IF(B93="","",COUNTIF(B$7:B93,B93))</f>
        <v/>
      </c>
      <c r="E93" s="34"/>
      <c r="F93" s="34"/>
      <c r="G93" s="34"/>
      <c r="H93" s="34"/>
      <c r="I93" s="34"/>
      <c r="J93" s="35"/>
      <c r="K93" s="35"/>
      <c r="L93" s="40" t="str">
        <f aca="false">IF(OR(J93="",K93=""),"",IF(G93="Long",J93+Inputs!$F$15*(J93-K93),J93-Inputs!$F$15*(K93-J93)))</f>
        <v/>
      </c>
      <c r="M93" s="35"/>
      <c r="N93" s="34"/>
      <c r="O93" s="35"/>
      <c r="P93" s="34"/>
      <c r="Q93" s="41"/>
      <c r="R93" s="36" t="str">
        <f aca="false">IF(OR(M93="",J93="",K93="",J93=K93),"",ROUND(IF(G93="Long",(M93-J93)/(J93-K93),(J93-M93)/(K93-J93)),2))</f>
        <v/>
      </c>
      <c r="S93" s="39" t="str">
        <f aca="false">IF(B93="","",IF(AND(I93="Y",OR(P93="None",P93="")),"Yes","No"))</f>
        <v/>
      </c>
      <c r="T93" s="36" t="str">
        <f aca="false">IF(OR(O93="",J93="",K93="",J93=K93),"",ROUND(IF(G93="Long",(O93-J93)/(J93-K93),(J93-O93)/(K93-J93)),2))</f>
        <v/>
      </c>
      <c r="U93" s="36" t="str">
        <f aca="false">IF(OR(R93="",T93=""),"",IF(T93&gt;=2,2,IF(N93="Target",-1,R93)))</f>
        <v/>
      </c>
      <c r="V93" s="36" t="str">
        <f aca="false">IF(OR(R93="",T93=""),"",IF(T93&gt;=3,3,IF(N93="Target",-1,R93)))</f>
        <v/>
      </c>
      <c r="W93" s="42" t="str">
        <f aca="false">IF(R93="","",ROUND(R93*(Inputs!$F$9+SUM(W$6:W92))*Inputs!$F$10,2))</f>
        <v/>
      </c>
      <c r="X93" s="42" t="str">
        <f aca="false">IF(R93="","",Inputs!$F$9+SUM(W$7:W93))</f>
        <v/>
      </c>
      <c r="Y93" s="43" t="str">
        <f aca="false">IF(S93="Yes",R93,"")</f>
        <v/>
      </c>
      <c r="Z93" s="43" t="str">
        <f aca="false">IF(Y93="","",SUM(Y$7:Y93))</f>
        <v/>
      </c>
      <c r="AA93" s="43" t="str">
        <f aca="false">IF(Y93="","",MAX(0,MAX(Z$7:Z93)))</f>
        <v/>
      </c>
      <c r="AB93" s="43" t="str">
        <f aca="false">IF(Y93="","",Z93-AA93)</f>
        <v/>
      </c>
    </row>
    <row r="94" customFormat="false" ht="15" hidden="false" customHeight="false" outlineLevel="0" collapsed="false">
      <c r="B94" s="38"/>
      <c r="C94" s="39" t="str">
        <f aca="false">IF(B94="","",INT((B94-Inputs!$F$8)/7)+1)</f>
        <v/>
      </c>
      <c r="D94" s="39" t="str">
        <f aca="false">IF(B94="","",COUNTIF(B$7:B94,B94))</f>
        <v/>
      </c>
      <c r="E94" s="34"/>
      <c r="F94" s="34"/>
      <c r="G94" s="34"/>
      <c r="H94" s="34"/>
      <c r="I94" s="34"/>
      <c r="J94" s="35"/>
      <c r="K94" s="35"/>
      <c r="L94" s="40" t="str">
        <f aca="false">IF(OR(J94="",K94=""),"",IF(G94="Long",J94+Inputs!$F$15*(J94-K94),J94-Inputs!$F$15*(K94-J94)))</f>
        <v/>
      </c>
      <c r="M94" s="35"/>
      <c r="N94" s="34"/>
      <c r="O94" s="35"/>
      <c r="P94" s="34"/>
      <c r="Q94" s="41"/>
      <c r="R94" s="36" t="str">
        <f aca="false">IF(OR(M94="",J94="",K94="",J94=K94),"",ROUND(IF(G94="Long",(M94-J94)/(J94-K94),(J94-M94)/(K94-J94)),2))</f>
        <v/>
      </c>
      <c r="S94" s="39" t="str">
        <f aca="false">IF(B94="","",IF(AND(I94="Y",OR(P94="None",P94="")),"Yes","No"))</f>
        <v/>
      </c>
      <c r="T94" s="36" t="str">
        <f aca="false">IF(OR(O94="",J94="",K94="",J94=K94),"",ROUND(IF(G94="Long",(O94-J94)/(J94-K94),(J94-O94)/(K94-J94)),2))</f>
        <v/>
      </c>
      <c r="U94" s="36" t="str">
        <f aca="false">IF(OR(R94="",T94=""),"",IF(T94&gt;=2,2,IF(N94="Target",-1,R94)))</f>
        <v/>
      </c>
      <c r="V94" s="36" t="str">
        <f aca="false">IF(OR(R94="",T94=""),"",IF(T94&gt;=3,3,IF(N94="Target",-1,R94)))</f>
        <v/>
      </c>
      <c r="W94" s="42" t="str">
        <f aca="false">IF(R94="","",ROUND(R94*(Inputs!$F$9+SUM(W$6:W93))*Inputs!$F$10,2))</f>
        <v/>
      </c>
      <c r="X94" s="42" t="str">
        <f aca="false">IF(R94="","",Inputs!$F$9+SUM(W$7:W94))</f>
        <v/>
      </c>
      <c r="Y94" s="43" t="str">
        <f aca="false">IF(S94="Yes",R94,"")</f>
        <v/>
      </c>
      <c r="Z94" s="43" t="str">
        <f aca="false">IF(Y94="","",SUM(Y$7:Y94))</f>
        <v/>
      </c>
      <c r="AA94" s="43" t="str">
        <f aca="false">IF(Y94="","",MAX(0,MAX(Z$7:Z94)))</f>
        <v/>
      </c>
      <c r="AB94" s="43" t="str">
        <f aca="false">IF(Y94="","",Z94-AA94)</f>
        <v/>
      </c>
    </row>
    <row r="95" customFormat="false" ht="15" hidden="false" customHeight="false" outlineLevel="0" collapsed="false">
      <c r="B95" s="38"/>
      <c r="C95" s="39" t="str">
        <f aca="false">IF(B95="","",INT((B95-Inputs!$F$8)/7)+1)</f>
        <v/>
      </c>
      <c r="D95" s="39" t="str">
        <f aca="false">IF(B95="","",COUNTIF(B$7:B95,B95))</f>
        <v/>
      </c>
      <c r="E95" s="34"/>
      <c r="F95" s="34"/>
      <c r="G95" s="34"/>
      <c r="H95" s="34"/>
      <c r="I95" s="34"/>
      <c r="J95" s="35"/>
      <c r="K95" s="35"/>
      <c r="L95" s="40" t="str">
        <f aca="false">IF(OR(J95="",K95=""),"",IF(G95="Long",J95+Inputs!$F$15*(J95-K95),J95-Inputs!$F$15*(K95-J95)))</f>
        <v/>
      </c>
      <c r="M95" s="35"/>
      <c r="N95" s="34"/>
      <c r="O95" s="35"/>
      <c r="P95" s="34"/>
      <c r="Q95" s="41"/>
      <c r="R95" s="36" t="str">
        <f aca="false">IF(OR(M95="",J95="",K95="",J95=K95),"",ROUND(IF(G95="Long",(M95-J95)/(J95-K95),(J95-M95)/(K95-J95)),2))</f>
        <v/>
      </c>
      <c r="S95" s="39" t="str">
        <f aca="false">IF(B95="","",IF(AND(I95="Y",OR(P95="None",P95="")),"Yes","No"))</f>
        <v/>
      </c>
      <c r="T95" s="36" t="str">
        <f aca="false">IF(OR(O95="",J95="",K95="",J95=K95),"",ROUND(IF(G95="Long",(O95-J95)/(J95-K95),(J95-O95)/(K95-J95)),2))</f>
        <v/>
      </c>
      <c r="U95" s="36" t="str">
        <f aca="false">IF(OR(R95="",T95=""),"",IF(T95&gt;=2,2,IF(N95="Target",-1,R95)))</f>
        <v/>
      </c>
      <c r="V95" s="36" t="str">
        <f aca="false">IF(OR(R95="",T95=""),"",IF(T95&gt;=3,3,IF(N95="Target",-1,R95)))</f>
        <v/>
      </c>
      <c r="W95" s="42" t="str">
        <f aca="false">IF(R95="","",ROUND(R95*(Inputs!$F$9+SUM(W$6:W94))*Inputs!$F$10,2))</f>
        <v/>
      </c>
      <c r="X95" s="42" t="str">
        <f aca="false">IF(R95="","",Inputs!$F$9+SUM(W$7:W95))</f>
        <v/>
      </c>
      <c r="Y95" s="43" t="str">
        <f aca="false">IF(S95="Yes",R95,"")</f>
        <v/>
      </c>
      <c r="Z95" s="43" t="str">
        <f aca="false">IF(Y95="","",SUM(Y$7:Y95))</f>
        <v/>
      </c>
      <c r="AA95" s="43" t="str">
        <f aca="false">IF(Y95="","",MAX(0,MAX(Z$7:Z95)))</f>
        <v/>
      </c>
      <c r="AB95" s="43" t="str">
        <f aca="false">IF(Y95="","",Z95-AA95)</f>
        <v/>
      </c>
    </row>
    <row r="96" customFormat="false" ht="15" hidden="false" customHeight="false" outlineLevel="0" collapsed="false">
      <c r="B96" s="38"/>
      <c r="C96" s="39" t="str">
        <f aca="false">IF(B96="","",INT((B96-Inputs!$F$8)/7)+1)</f>
        <v/>
      </c>
      <c r="D96" s="39" t="str">
        <f aca="false">IF(B96="","",COUNTIF(B$7:B96,B96))</f>
        <v/>
      </c>
      <c r="E96" s="34"/>
      <c r="F96" s="34"/>
      <c r="G96" s="34"/>
      <c r="H96" s="34"/>
      <c r="I96" s="34"/>
      <c r="J96" s="35"/>
      <c r="K96" s="35"/>
      <c r="L96" s="40" t="str">
        <f aca="false">IF(OR(J96="",K96=""),"",IF(G96="Long",J96+Inputs!$F$15*(J96-K96),J96-Inputs!$F$15*(K96-J96)))</f>
        <v/>
      </c>
      <c r="M96" s="35"/>
      <c r="N96" s="34"/>
      <c r="O96" s="35"/>
      <c r="P96" s="34"/>
      <c r="Q96" s="41"/>
      <c r="R96" s="36" t="str">
        <f aca="false">IF(OR(M96="",J96="",K96="",J96=K96),"",ROUND(IF(G96="Long",(M96-J96)/(J96-K96),(J96-M96)/(K96-J96)),2))</f>
        <v/>
      </c>
      <c r="S96" s="39" t="str">
        <f aca="false">IF(B96="","",IF(AND(I96="Y",OR(P96="None",P96="")),"Yes","No"))</f>
        <v/>
      </c>
      <c r="T96" s="36" t="str">
        <f aca="false">IF(OR(O96="",J96="",K96="",J96=K96),"",ROUND(IF(G96="Long",(O96-J96)/(J96-K96),(J96-O96)/(K96-J96)),2))</f>
        <v/>
      </c>
      <c r="U96" s="36" t="str">
        <f aca="false">IF(OR(R96="",T96=""),"",IF(T96&gt;=2,2,IF(N96="Target",-1,R96)))</f>
        <v/>
      </c>
      <c r="V96" s="36" t="str">
        <f aca="false">IF(OR(R96="",T96=""),"",IF(T96&gt;=3,3,IF(N96="Target",-1,R96)))</f>
        <v/>
      </c>
      <c r="W96" s="42" t="str">
        <f aca="false">IF(R96="","",ROUND(R96*(Inputs!$F$9+SUM(W$6:W95))*Inputs!$F$10,2))</f>
        <v/>
      </c>
      <c r="X96" s="42" t="str">
        <f aca="false">IF(R96="","",Inputs!$F$9+SUM(W$7:W96))</f>
        <v/>
      </c>
      <c r="Y96" s="43" t="str">
        <f aca="false">IF(S96="Yes",R96,"")</f>
        <v/>
      </c>
      <c r="Z96" s="43" t="str">
        <f aca="false">IF(Y96="","",SUM(Y$7:Y96))</f>
        <v/>
      </c>
      <c r="AA96" s="43" t="str">
        <f aca="false">IF(Y96="","",MAX(0,MAX(Z$7:Z96)))</f>
        <v/>
      </c>
      <c r="AB96" s="43" t="str">
        <f aca="false">IF(Y96="","",Z96-AA96)</f>
        <v/>
      </c>
    </row>
    <row r="97" customFormat="false" ht="15" hidden="false" customHeight="false" outlineLevel="0" collapsed="false">
      <c r="B97" s="38"/>
      <c r="C97" s="39" t="str">
        <f aca="false">IF(B97="","",INT((B97-Inputs!$F$8)/7)+1)</f>
        <v/>
      </c>
      <c r="D97" s="39" t="str">
        <f aca="false">IF(B97="","",COUNTIF(B$7:B97,B97))</f>
        <v/>
      </c>
      <c r="E97" s="34"/>
      <c r="F97" s="34"/>
      <c r="G97" s="34"/>
      <c r="H97" s="34"/>
      <c r="I97" s="34"/>
      <c r="J97" s="35"/>
      <c r="K97" s="35"/>
      <c r="L97" s="40" t="str">
        <f aca="false">IF(OR(J97="",K97=""),"",IF(G97="Long",J97+Inputs!$F$15*(J97-K97),J97-Inputs!$F$15*(K97-J97)))</f>
        <v/>
      </c>
      <c r="M97" s="35"/>
      <c r="N97" s="34"/>
      <c r="O97" s="35"/>
      <c r="P97" s="34"/>
      <c r="Q97" s="41"/>
      <c r="R97" s="36" t="str">
        <f aca="false">IF(OR(M97="",J97="",K97="",J97=K97),"",ROUND(IF(G97="Long",(M97-J97)/(J97-K97),(J97-M97)/(K97-J97)),2))</f>
        <v/>
      </c>
      <c r="S97" s="39" t="str">
        <f aca="false">IF(B97="","",IF(AND(I97="Y",OR(P97="None",P97="")),"Yes","No"))</f>
        <v/>
      </c>
      <c r="T97" s="36" t="str">
        <f aca="false">IF(OR(O97="",J97="",K97="",J97=K97),"",ROUND(IF(G97="Long",(O97-J97)/(J97-K97),(J97-O97)/(K97-J97)),2))</f>
        <v/>
      </c>
      <c r="U97" s="36" t="str">
        <f aca="false">IF(OR(R97="",T97=""),"",IF(T97&gt;=2,2,IF(N97="Target",-1,R97)))</f>
        <v/>
      </c>
      <c r="V97" s="36" t="str">
        <f aca="false">IF(OR(R97="",T97=""),"",IF(T97&gt;=3,3,IF(N97="Target",-1,R97)))</f>
        <v/>
      </c>
      <c r="W97" s="42" t="str">
        <f aca="false">IF(R97="","",ROUND(R97*(Inputs!$F$9+SUM(W$6:W96))*Inputs!$F$10,2))</f>
        <v/>
      </c>
      <c r="X97" s="42" t="str">
        <f aca="false">IF(R97="","",Inputs!$F$9+SUM(W$7:W97))</f>
        <v/>
      </c>
      <c r="Y97" s="43" t="str">
        <f aca="false">IF(S97="Yes",R97,"")</f>
        <v/>
      </c>
      <c r="Z97" s="43" t="str">
        <f aca="false">IF(Y97="","",SUM(Y$7:Y97))</f>
        <v/>
      </c>
      <c r="AA97" s="43" t="str">
        <f aca="false">IF(Y97="","",MAX(0,MAX(Z$7:Z97)))</f>
        <v/>
      </c>
      <c r="AB97" s="43" t="str">
        <f aca="false">IF(Y97="","",Z97-AA97)</f>
        <v/>
      </c>
    </row>
    <row r="98" customFormat="false" ht="15" hidden="false" customHeight="false" outlineLevel="0" collapsed="false">
      <c r="B98" s="38"/>
      <c r="C98" s="39" t="str">
        <f aca="false">IF(B98="","",INT((B98-Inputs!$F$8)/7)+1)</f>
        <v/>
      </c>
      <c r="D98" s="39" t="str">
        <f aca="false">IF(B98="","",COUNTIF(B$7:B98,B98))</f>
        <v/>
      </c>
      <c r="E98" s="34"/>
      <c r="F98" s="34"/>
      <c r="G98" s="34"/>
      <c r="H98" s="34"/>
      <c r="I98" s="34"/>
      <c r="J98" s="35"/>
      <c r="K98" s="35"/>
      <c r="L98" s="40" t="str">
        <f aca="false">IF(OR(J98="",K98=""),"",IF(G98="Long",J98+Inputs!$F$15*(J98-K98),J98-Inputs!$F$15*(K98-J98)))</f>
        <v/>
      </c>
      <c r="M98" s="35"/>
      <c r="N98" s="34"/>
      <c r="O98" s="35"/>
      <c r="P98" s="34"/>
      <c r="Q98" s="41"/>
      <c r="R98" s="36" t="str">
        <f aca="false">IF(OR(M98="",J98="",K98="",J98=K98),"",ROUND(IF(G98="Long",(M98-J98)/(J98-K98),(J98-M98)/(K98-J98)),2))</f>
        <v/>
      </c>
      <c r="S98" s="39" t="str">
        <f aca="false">IF(B98="","",IF(AND(I98="Y",OR(P98="None",P98="")),"Yes","No"))</f>
        <v/>
      </c>
      <c r="T98" s="36" t="str">
        <f aca="false">IF(OR(O98="",J98="",K98="",J98=K98),"",ROUND(IF(G98="Long",(O98-J98)/(J98-K98),(J98-O98)/(K98-J98)),2))</f>
        <v/>
      </c>
      <c r="U98" s="36" t="str">
        <f aca="false">IF(OR(R98="",T98=""),"",IF(T98&gt;=2,2,IF(N98="Target",-1,R98)))</f>
        <v/>
      </c>
      <c r="V98" s="36" t="str">
        <f aca="false">IF(OR(R98="",T98=""),"",IF(T98&gt;=3,3,IF(N98="Target",-1,R98)))</f>
        <v/>
      </c>
      <c r="W98" s="42" t="str">
        <f aca="false">IF(R98="","",ROUND(R98*(Inputs!$F$9+SUM(W$6:W97))*Inputs!$F$10,2))</f>
        <v/>
      </c>
      <c r="X98" s="42" t="str">
        <f aca="false">IF(R98="","",Inputs!$F$9+SUM(W$7:W98))</f>
        <v/>
      </c>
      <c r="Y98" s="43" t="str">
        <f aca="false">IF(S98="Yes",R98,"")</f>
        <v/>
      </c>
      <c r="Z98" s="43" t="str">
        <f aca="false">IF(Y98="","",SUM(Y$7:Y98))</f>
        <v/>
      </c>
      <c r="AA98" s="43" t="str">
        <f aca="false">IF(Y98="","",MAX(0,MAX(Z$7:Z98)))</f>
        <v/>
      </c>
      <c r="AB98" s="43" t="str">
        <f aca="false">IF(Y98="","",Z98-AA98)</f>
        <v/>
      </c>
    </row>
    <row r="99" customFormat="false" ht="15" hidden="false" customHeight="false" outlineLevel="0" collapsed="false">
      <c r="B99" s="38"/>
      <c r="C99" s="39" t="str">
        <f aca="false">IF(B99="","",INT((B99-Inputs!$F$8)/7)+1)</f>
        <v/>
      </c>
      <c r="D99" s="39" t="str">
        <f aca="false">IF(B99="","",COUNTIF(B$7:B99,B99))</f>
        <v/>
      </c>
      <c r="E99" s="34"/>
      <c r="F99" s="34"/>
      <c r="G99" s="34"/>
      <c r="H99" s="34"/>
      <c r="I99" s="34"/>
      <c r="J99" s="35"/>
      <c r="K99" s="35"/>
      <c r="L99" s="40" t="str">
        <f aca="false">IF(OR(J99="",K99=""),"",IF(G99="Long",J99+Inputs!$F$15*(J99-K99),J99-Inputs!$F$15*(K99-J99)))</f>
        <v/>
      </c>
      <c r="M99" s="35"/>
      <c r="N99" s="34"/>
      <c r="O99" s="35"/>
      <c r="P99" s="34"/>
      <c r="Q99" s="41"/>
      <c r="R99" s="36" t="str">
        <f aca="false">IF(OR(M99="",J99="",K99="",J99=K99),"",ROUND(IF(G99="Long",(M99-J99)/(J99-K99),(J99-M99)/(K99-J99)),2))</f>
        <v/>
      </c>
      <c r="S99" s="39" t="str">
        <f aca="false">IF(B99="","",IF(AND(I99="Y",OR(P99="None",P99="")),"Yes","No"))</f>
        <v/>
      </c>
      <c r="T99" s="36" t="str">
        <f aca="false">IF(OR(O99="",J99="",K99="",J99=K99),"",ROUND(IF(G99="Long",(O99-J99)/(J99-K99),(J99-O99)/(K99-J99)),2))</f>
        <v/>
      </c>
      <c r="U99" s="36" t="str">
        <f aca="false">IF(OR(R99="",T99=""),"",IF(T99&gt;=2,2,IF(N99="Target",-1,R99)))</f>
        <v/>
      </c>
      <c r="V99" s="36" t="str">
        <f aca="false">IF(OR(R99="",T99=""),"",IF(T99&gt;=3,3,IF(N99="Target",-1,R99)))</f>
        <v/>
      </c>
      <c r="W99" s="42" t="str">
        <f aca="false">IF(R99="","",ROUND(R99*(Inputs!$F$9+SUM(W$6:W98))*Inputs!$F$10,2))</f>
        <v/>
      </c>
      <c r="X99" s="42" t="str">
        <f aca="false">IF(R99="","",Inputs!$F$9+SUM(W$7:W99))</f>
        <v/>
      </c>
      <c r="Y99" s="43" t="str">
        <f aca="false">IF(S99="Yes",R99,"")</f>
        <v/>
      </c>
      <c r="Z99" s="43" t="str">
        <f aca="false">IF(Y99="","",SUM(Y$7:Y99))</f>
        <v/>
      </c>
      <c r="AA99" s="43" t="str">
        <f aca="false">IF(Y99="","",MAX(0,MAX(Z$7:Z99)))</f>
        <v/>
      </c>
      <c r="AB99" s="43" t="str">
        <f aca="false">IF(Y99="","",Z99-AA99)</f>
        <v/>
      </c>
    </row>
    <row r="100" customFormat="false" ht="15" hidden="false" customHeight="false" outlineLevel="0" collapsed="false">
      <c r="B100" s="38"/>
      <c r="C100" s="39" t="str">
        <f aca="false">IF(B100="","",INT((B100-Inputs!$F$8)/7)+1)</f>
        <v/>
      </c>
      <c r="D100" s="39" t="str">
        <f aca="false">IF(B100="","",COUNTIF(B$7:B100,B100))</f>
        <v/>
      </c>
      <c r="E100" s="34"/>
      <c r="F100" s="34"/>
      <c r="G100" s="34"/>
      <c r="H100" s="34"/>
      <c r="I100" s="34"/>
      <c r="J100" s="35"/>
      <c r="K100" s="35"/>
      <c r="L100" s="40" t="str">
        <f aca="false">IF(OR(J100="",K100=""),"",IF(G100="Long",J100+Inputs!$F$15*(J100-K100),J100-Inputs!$F$15*(K100-J100)))</f>
        <v/>
      </c>
      <c r="M100" s="35"/>
      <c r="N100" s="34"/>
      <c r="O100" s="35"/>
      <c r="P100" s="34"/>
      <c r="Q100" s="41"/>
      <c r="R100" s="36" t="str">
        <f aca="false">IF(OR(M100="",J100="",K100="",J100=K100),"",ROUND(IF(G100="Long",(M100-J100)/(J100-K100),(J100-M100)/(K100-J100)),2))</f>
        <v/>
      </c>
      <c r="S100" s="39" t="str">
        <f aca="false">IF(B100="","",IF(AND(I100="Y",OR(P100="None",P100="")),"Yes","No"))</f>
        <v/>
      </c>
      <c r="T100" s="36" t="str">
        <f aca="false">IF(OR(O100="",J100="",K100="",J100=K100),"",ROUND(IF(G100="Long",(O100-J100)/(J100-K100),(J100-O100)/(K100-J100)),2))</f>
        <v/>
      </c>
      <c r="U100" s="36" t="str">
        <f aca="false">IF(OR(R100="",T100=""),"",IF(T100&gt;=2,2,IF(N100="Target",-1,R100)))</f>
        <v/>
      </c>
      <c r="V100" s="36" t="str">
        <f aca="false">IF(OR(R100="",T100=""),"",IF(T100&gt;=3,3,IF(N100="Target",-1,R100)))</f>
        <v/>
      </c>
      <c r="W100" s="42" t="str">
        <f aca="false">IF(R100="","",ROUND(R100*(Inputs!$F$9+SUM(W$6:W99))*Inputs!$F$10,2))</f>
        <v/>
      </c>
      <c r="X100" s="42" t="str">
        <f aca="false">IF(R100="","",Inputs!$F$9+SUM(W$7:W100))</f>
        <v/>
      </c>
      <c r="Y100" s="43" t="str">
        <f aca="false">IF(S100="Yes",R100,"")</f>
        <v/>
      </c>
      <c r="Z100" s="43" t="str">
        <f aca="false">IF(Y100="","",SUM(Y$7:Y100))</f>
        <v/>
      </c>
      <c r="AA100" s="43" t="str">
        <f aca="false">IF(Y100="","",MAX(0,MAX(Z$7:Z100)))</f>
        <v/>
      </c>
      <c r="AB100" s="43" t="str">
        <f aca="false">IF(Y100="","",Z100-AA100)</f>
        <v/>
      </c>
    </row>
    <row r="101" customFormat="false" ht="15" hidden="false" customHeight="false" outlineLevel="0" collapsed="false">
      <c r="B101" s="38"/>
      <c r="C101" s="39" t="str">
        <f aca="false">IF(B101="","",INT((B101-Inputs!$F$8)/7)+1)</f>
        <v/>
      </c>
      <c r="D101" s="39" t="str">
        <f aca="false">IF(B101="","",COUNTIF(B$7:B101,B101))</f>
        <v/>
      </c>
      <c r="E101" s="34"/>
      <c r="F101" s="34"/>
      <c r="G101" s="34"/>
      <c r="H101" s="34"/>
      <c r="I101" s="34"/>
      <c r="J101" s="35"/>
      <c r="K101" s="35"/>
      <c r="L101" s="40" t="str">
        <f aca="false">IF(OR(J101="",K101=""),"",IF(G101="Long",J101+Inputs!$F$15*(J101-K101),J101-Inputs!$F$15*(K101-J101)))</f>
        <v/>
      </c>
      <c r="M101" s="35"/>
      <c r="N101" s="34"/>
      <c r="O101" s="35"/>
      <c r="P101" s="34"/>
      <c r="Q101" s="41"/>
      <c r="R101" s="36" t="str">
        <f aca="false">IF(OR(M101="",J101="",K101="",J101=K101),"",ROUND(IF(G101="Long",(M101-J101)/(J101-K101),(J101-M101)/(K101-J101)),2))</f>
        <v/>
      </c>
      <c r="S101" s="39" t="str">
        <f aca="false">IF(B101="","",IF(AND(I101="Y",OR(P101="None",P101="")),"Yes","No"))</f>
        <v/>
      </c>
      <c r="T101" s="36" t="str">
        <f aca="false">IF(OR(O101="",J101="",K101="",J101=K101),"",ROUND(IF(G101="Long",(O101-J101)/(J101-K101),(J101-O101)/(K101-J101)),2))</f>
        <v/>
      </c>
      <c r="U101" s="36" t="str">
        <f aca="false">IF(OR(R101="",T101=""),"",IF(T101&gt;=2,2,IF(N101="Target",-1,R101)))</f>
        <v/>
      </c>
      <c r="V101" s="36" t="str">
        <f aca="false">IF(OR(R101="",T101=""),"",IF(T101&gt;=3,3,IF(N101="Target",-1,R101)))</f>
        <v/>
      </c>
      <c r="W101" s="42" t="str">
        <f aca="false">IF(R101="","",ROUND(R101*(Inputs!$F$9+SUM(W$6:W100))*Inputs!$F$10,2))</f>
        <v/>
      </c>
      <c r="X101" s="42" t="str">
        <f aca="false">IF(R101="","",Inputs!$F$9+SUM(W$7:W101))</f>
        <v/>
      </c>
      <c r="Y101" s="43" t="str">
        <f aca="false">IF(S101="Yes",R101,"")</f>
        <v/>
      </c>
      <c r="Z101" s="43" t="str">
        <f aca="false">IF(Y101="","",SUM(Y$7:Y101))</f>
        <v/>
      </c>
      <c r="AA101" s="43" t="str">
        <f aca="false">IF(Y101="","",MAX(0,MAX(Z$7:Z101)))</f>
        <v/>
      </c>
      <c r="AB101" s="43" t="str">
        <f aca="false">IF(Y101="","",Z101-AA101)</f>
        <v/>
      </c>
    </row>
    <row r="102" customFormat="false" ht="15" hidden="false" customHeight="false" outlineLevel="0" collapsed="false">
      <c r="B102" s="38"/>
      <c r="C102" s="39" t="str">
        <f aca="false">IF(B102="","",INT((B102-Inputs!$F$8)/7)+1)</f>
        <v/>
      </c>
      <c r="D102" s="39" t="str">
        <f aca="false">IF(B102="","",COUNTIF(B$7:B102,B102))</f>
        <v/>
      </c>
      <c r="E102" s="34"/>
      <c r="F102" s="34"/>
      <c r="G102" s="34"/>
      <c r="H102" s="34"/>
      <c r="I102" s="34"/>
      <c r="J102" s="35"/>
      <c r="K102" s="35"/>
      <c r="L102" s="40" t="str">
        <f aca="false">IF(OR(J102="",K102=""),"",IF(G102="Long",J102+Inputs!$F$15*(J102-K102),J102-Inputs!$F$15*(K102-J102)))</f>
        <v/>
      </c>
      <c r="M102" s="35"/>
      <c r="N102" s="34"/>
      <c r="O102" s="35"/>
      <c r="P102" s="34"/>
      <c r="Q102" s="41"/>
      <c r="R102" s="36" t="str">
        <f aca="false">IF(OR(M102="",J102="",K102="",J102=K102),"",ROUND(IF(G102="Long",(M102-J102)/(J102-K102),(J102-M102)/(K102-J102)),2))</f>
        <v/>
      </c>
      <c r="S102" s="39" t="str">
        <f aca="false">IF(B102="","",IF(AND(I102="Y",OR(P102="None",P102="")),"Yes","No"))</f>
        <v/>
      </c>
      <c r="T102" s="36" t="str">
        <f aca="false">IF(OR(O102="",J102="",K102="",J102=K102),"",ROUND(IF(G102="Long",(O102-J102)/(J102-K102),(J102-O102)/(K102-J102)),2))</f>
        <v/>
      </c>
      <c r="U102" s="36" t="str">
        <f aca="false">IF(OR(R102="",T102=""),"",IF(T102&gt;=2,2,IF(N102="Target",-1,R102)))</f>
        <v/>
      </c>
      <c r="V102" s="36" t="str">
        <f aca="false">IF(OR(R102="",T102=""),"",IF(T102&gt;=3,3,IF(N102="Target",-1,R102)))</f>
        <v/>
      </c>
      <c r="W102" s="42" t="str">
        <f aca="false">IF(R102="","",ROUND(R102*(Inputs!$F$9+SUM(W$6:W101))*Inputs!$F$10,2))</f>
        <v/>
      </c>
      <c r="X102" s="42" t="str">
        <f aca="false">IF(R102="","",Inputs!$F$9+SUM(W$7:W102))</f>
        <v/>
      </c>
      <c r="Y102" s="43" t="str">
        <f aca="false">IF(S102="Yes",R102,"")</f>
        <v/>
      </c>
      <c r="Z102" s="43" t="str">
        <f aca="false">IF(Y102="","",SUM(Y$7:Y102))</f>
        <v/>
      </c>
      <c r="AA102" s="43" t="str">
        <f aca="false">IF(Y102="","",MAX(0,MAX(Z$7:Z102)))</f>
        <v/>
      </c>
      <c r="AB102" s="43" t="str">
        <f aca="false">IF(Y102="","",Z102-AA102)</f>
        <v/>
      </c>
    </row>
    <row r="103" customFormat="false" ht="15" hidden="false" customHeight="false" outlineLevel="0" collapsed="false">
      <c r="B103" s="38"/>
      <c r="C103" s="39" t="str">
        <f aca="false">IF(B103="","",INT((B103-Inputs!$F$8)/7)+1)</f>
        <v/>
      </c>
      <c r="D103" s="39" t="str">
        <f aca="false">IF(B103="","",COUNTIF(B$7:B103,B103))</f>
        <v/>
      </c>
      <c r="E103" s="34"/>
      <c r="F103" s="34"/>
      <c r="G103" s="34"/>
      <c r="H103" s="34"/>
      <c r="I103" s="34"/>
      <c r="J103" s="35"/>
      <c r="K103" s="35"/>
      <c r="L103" s="40" t="str">
        <f aca="false">IF(OR(J103="",K103=""),"",IF(G103="Long",J103+Inputs!$F$15*(J103-K103),J103-Inputs!$F$15*(K103-J103)))</f>
        <v/>
      </c>
      <c r="M103" s="35"/>
      <c r="N103" s="34"/>
      <c r="O103" s="35"/>
      <c r="P103" s="34"/>
      <c r="Q103" s="41"/>
      <c r="R103" s="36" t="str">
        <f aca="false">IF(OR(M103="",J103="",K103="",J103=K103),"",ROUND(IF(G103="Long",(M103-J103)/(J103-K103),(J103-M103)/(K103-J103)),2))</f>
        <v/>
      </c>
      <c r="S103" s="39" t="str">
        <f aca="false">IF(B103="","",IF(AND(I103="Y",OR(P103="None",P103="")),"Yes","No"))</f>
        <v/>
      </c>
      <c r="T103" s="36" t="str">
        <f aca="false">IF(OR(O103="",J103="",K103="",J103=K103),"",ROUND(IF(G103="Long",(O103-J103)/(J103-K103),(J103-O103)/(K103-J103)),2))</f>
        <v/>
      </c>
      <c r="U103" s="36" t="str">
        <f aca="false">IF(OR(R103="",T103=""),"",IF(T103&gt;=2,2,IF(N103="Target",-1,R103)))</f>
        <v/>
      </c>
      <c r="V103" s="36" t="str">
        <f aca="false">IF(OR(R103="",T103=""),"",IF(T103&gt;=3,3,IF(N103="Target",-1,R103)))</f>
        <v/>
      </c>
      <c r="W103" s="42" t="str">
        <f aca="false">IF(R103="","",ROUND(R103*(Inputs!$F$9+SUM(W$6:W102))*Inputs!$F$10,2))</f>
        <v/>
      </c>
      <c r="X103" s="42" t="str">
        <f aca="false">IF(R103="","",Inputs!$F$9+SUM(W$7:W103))</f>
        <v/>
      </c>
      <c r="Y103" s="43" t="str">
        <f aca="false">IF(S103="Yes",R103,"")</f>
        <v/>
      </c>
      <c r="Z103" s="43" t="str">
        <f aca="false">IF(Y103="","",SUM(Y$7:Y103))</f>
        <v/>
      </c>
      <c r="AA103" s="43" t="str">
        <f aca="false">IF(Y103="","",MAX(0,MAX(Z$7:Z103)))</f>
        <v/>
      </c>
      <c r="AB103" s="43" t="str">
        <f aca="false">IF(Y103="","",Z103-AA103)</f>
        <v/>
      </c>
    </row>
    <row r="104" customFormat="false" ht="15" hidden="false" customHeight="false" outlineLevel="0" collapsed="false">
      <c r="B104" s="38"/>
      <c r="C104" s="39" t="str">
        <f aca="false">IF(B104="","",INT((B104-Inputs!$F$8)/7)+1)</f>
        <v/>
      </c>
      <c r="D104" s="39" t="str">
        <f aca="false">IF(B104="","",COUNTIF(B$7:B104,B104))</f>
        <v/>
      </c>
      <c r="E104" s="34"/>
      <c r="F104" s="34"/>
      <c r="G104" s="34"/>
      <c r="H104" s="34"/>
      <c r="I104" s="34"/>
      <c r="J104" s="35"/>
      <c r="K104" s="35"/>
      <c r="L104" s="40" t="str">
        <f aca="false">IF(OR(J104="",K104=""),"",IF(G104="Long",J104+Inputs!$F$15*(J104-K104),J104-Inputs!$F$15*(K104-J104)))</f>
        <v/>
      </c>
      <c r="M104" s="35"/>
      <c r="N104" s="34"/>
      <c r="O104" s="35"/>
      <c r="P104" s="34"/>
      <c r="Q104" s="41"/>
      <c r="R104" s="36" t="str">
        <f aca="false">IF(OR(M104="",J104="",K104="",J104=K104),"",ROUND(IF(G104="Long",(M104-J104)/(J104-K104),(J104-M104)/(K104-J104)),2))</f>
        <v/>
      </c>
      <c r="S104" s="39" t="str">
        <f aca="false">IF(B104="","",IF(AND(I104="Y",OR(P104="None",P104="")),"Yes","No"))</f>
        <v/>
      </c>
      <c r="T104" s="36" t="str">
        <f aca="false">IF(OR(O104="",J104="",K104="",J104=K104),"",ROUND(IF(G104="Long",(O104-J104)/(J104-K104),(J104-O104)/(K104-J104)),2))</f>
        <v/>
      </c>
      <c r="U104" s="36" t="str">
        <f aca="false">IF(OR(R104="",T104=""),"",IF(T104&gt;=2,2,IF(N104="Target",-1,R104)))</f>
        <v/>
      </c>
      <c r="V104" s="36" t="str">
        <f aca="false">IF(OR(R104="",T104=""),"",IF(T104&gt;=3,3,IF(N104="Target",-1,R104)))</f>
        <v/>
      </c>
      <c r="W104" s="42" t="str">
        <f aca="false">IF(R104="","",ROUND(R104*(Inputs!$F$9+SUM(W$6:W103))*Inputs!$F$10,2))</f>
        <v/>
      </c>
      <c r="X104" s="42" t="str">
        <f aca="false">IF(R104="","",Inputs!$F$9+SUM(W$7:W104))</f>
        <v/>
      </c>
      <c r="Y104" s="43" t="str">
        <f aca="false">IF(S104="Yes",R104,"")</f>
        <v/>
      </c>
      <c r="Z104" s="43" t="str">
        <f aca="false">IF(Y104="","",SUM(Y$7:Y104))</f>
        <v/>
      </c>
      <c r="AA104" s="43" t="str">
        <f aca="false">IF(Y104="","",MAX(0,MAX(Z$7:Z104)))</f>
        <v/>
      </c>
      <c r="AB104" s="43" t="str">
        <f aca="false">IF(Y104="","",Z104-AA104)</f>
        <v/>
      </c>
    </row>
    <row r="105" customFormat="false" ht="15" hidden="false" customHeight="false" outlineLevel="0" collapsed="false">
      <c r="B105" s="38"/>
      <c r="C105" s="39" t="str">
        <f aca="false">IF(B105="","",INT((B105-Inputs!$F$8)/7)+1)</f>
        <v/>
      </c>
      <c r="D105" s="39" t="str">
        <f aca="false">IF(B105="","",COUNTIF(B$7:B105,B105))</f>
        <v/>
      </c>
      <c r="E105" s="34"/>
      <c r="F105" s="34"/>
      <c r="G105" s="34"/>
      <c r="H105" s="34"/>
      <c r="I105" s="34"/>
      <c r="J105" s="35"/>
      <c r="K105" s="35"/>
      <c r="L105" s="40" t="str">
        <f aca="false">IF(OR(J105="",K105=""),"",IF(G105="Long",J105+Inputs!$F$15*(J105-K105),J105-Inputs!$F$15*(K105-J105)))</f>
        <v/>
      </c>
      <c r="M105" s="35"/>
      <c r="N105" s="34"/>
      <c r="O105" s="35"/>
      <c r="P105" s="34"/>
      <c r="Q105" s="41"/>
      <c r="R105" s="36" t="str">
        <f aca="false">IF(OR(M105="",J105="",K105="",J105=K105),"",ROUND(IF(G105="Long",(M105-J105)/(J105-K105),(J105-M105)/(K105-J105)),2))</f>
        <v/>
      </c>
      <c r="S105" s="39" t="str">
        <f aca="false">IF(B105="","",IF(AND(I105="Y",OR(P105="None",P105="")),"Yes","No"))</f>
        <v/>
      </c>
      <c r="T105" s="36" t="str">
        <f aca="false">IF(OR(O105="",J105="",K105="",J105=K105),"",ROUND(IF(G105="Long",(O105-J105)/(J105-K105),(J105-O105)/(K105-J105)),2))</f>
        <v/>
      </c>
      <c r="U105" s="36" t="str">
        <f aca="false">IF(OR(R105="",T105=""),"",IF(T105&gt;=2,2,IF(N105="Target",-1,R105)))</f>
        <v/>
      </c>
      <c r="V105" s="36" t="str">
        <f aca="false">IF(OR(R105="",T105=""),"",IF(T105&gt;=3,3,IF(N105="Target",-1,R105)))</f>
        <v/>
      </c>
      <c r="W105" s="42" t="str">
        <f aca="false">IF(R105="","",ROUND(R105*(Inputs!$F$9+SUM(W$6:W104))*Inputs!$F$10,2))</f>
        <v/>
      </c>
      <c r="X105" s="42" t="str">
        <f aca="false">IF(R105="","",Inputs!$F$9+SUM(W$7:W105))</f>
        <v/>
      </c>
      <c r="Y105" s="43" t="str">
        <f aca="false">IF(S105="Yes",R105,"")</f>
        <v/>
      </c>
      <c r="Z105" s="43" t="str">
        <f aca="false">IF(Y105="","",SUM(Y$7:Y105))</f>
        <v/>
      </c>
      <c r="AA105" s="43" t="str">
        <f aca="false">IF(Y105="","",MAX(0,MAX(Z$7:Z105)))</f>
        <v/>
      </c>
      <c r="AB105" s="43" t="str">
        <f aca="false">IF(Y105="","",Z105-AA105)</f>
        <v/>
      </c>
    </row>
    <row r="106" customFormat="false" ht="15" hidden="false" customHeight="false" outlineLevel="0" collapsed="false">
      <c r="B106" s="38"/>
      <c r="C106" s="39" t="str">
        <f aca="false">IF(B106="","",INT((B106-Inputs!$F$8)/7)+1)</f>
        <v/>
      </c>
      <c r="D106" s="39" t="str">
        <f aca="false">IF(B106="","",COUNTIF(B$7:B106,B106))</f>
        <v/>
      </c>
      <c r="E106" s="34"/>
      <c r="F106" s="34"/>
      <c r="G106" s="34"/>
      <c r="H106" s="34"/>
      <c r="I106" s="34"/>
      <c r="J106" s="35"/>
      <c r="K106" s="35"/>
      <c r="L106" s="40" t="str">
        <f aca="false">IF(OR(J106="",K106=""),"",IF(G106="Long",J106+Inputs!$F$15*(J106-K106),J106-Inputs!$F$15*(K106-J106)))</f>
        <v/>
      </c>
      <c r="M106" s="35"/>
      <c r="N106" s="34"/>
      <c r="O106" s="35"/>
      <c r="P106" s="34"/>
      <c r="Q106" s="41"/>
      <c r="R106" s="36" t="str">
        <f aca="false">IF(OR(M106="",J106="",K106="",J106=K106),"",ROUND(IF(G106="Long",(M106-J106)/(J106-K106),(J106-M106)/(K106-J106)),2))</f>
        <v/>
      </c>
      <c r="S106" s="39" t="str">
        <f aca="false">IF(B106="","",IF(AND(I106="Y",OR(P106="None",P106="")),"Yes","No"))</f>
        <v/>
      </c>
      <c r="T106" s="36" t="str">
        <f aca="false">IF(OR(O106="",J106="",K106="",J106=K106),"",ROUND(IF(G106="Long",(O106-J106)/(J106-K106),(J106-O106)/(K106-J106)),2))</f>
        <v/>
      </c>
      <c r="U106" s="36" t="str">
        <f aca="false">IF(OR(R106="",T106=""),"",IF(T106&gt;=2,2,IF(N106="Target",-1,R106)))</f>
        <v/>
      </c>
      <c r="V106" s="36" t="str">
        <f aca="false">IF(OR(R106="",T106=""),"",IF(T106&gt;=3,3,IF(N106="Target",-1,R106)))</f>
        <v/>
      </c>
      <c r="W106" s="42" t="str">
        <f aca="false">IF(R106="","",ROUND(R106*(Inputs!$F$9+SUM(W$6:W105))*Inputs!$F$10,2))</f>
        <v/>
      </c>
      <c r="X106" s="42" t="str">
        <f aca="false">IF(R106="","",Inputs!$F$9+SUM(W$7:W106))</f>
        <v/>
      </c>
      <c r="Y106" s="43" t="str">
        <f aca="false">IF(S106="Yes",R106,"")</f>
        <v/>
      </c>
      <c r="Z106" s="43" t="str">
        <f aca="false">IF(Y106="","",SUM(Y$7:Y106))</f>
        <v/>
      </c>
      <c r="AA106" s="43" t="str">
        <f aca="false">IF(Y106="","",MAX(0,MAX(Z$7:Z106)))</f>
        <v/>
      </c>
      <c r="AB106" s="43" t="str">
        <f aca="false">IF(Y106="","",Z106-AA106)</f>
        <v/>
      </c>
    </row>
    <row r="107" customFormat="false" ht="15" hidden="false" customHeight="false" outlineLevel="0" collapsed="false">
      <c r="B107" s="38"/>
      <c r="C107" s="39" t="str">
        <f aca="false">IF(B107="","",INT((B107-Inputs!$F$8)/7)+1)</f>
        <v/>
      </c>
      <c r="D107" s="39" t="str">
        <f aca="false">IF(B107="","",COUNTIF(B$7:B107,B107))</f>
        <v/>
      </c>
      <c r="E107" s="34"/>
      <c r="F107" s="34"/>
      <c r="G107" s="34"/>
      <c r="H107" s="34"/>
      <c r="I107" s="34"/>
      <c r="J107" s="35"/>
      <c r="K107" s="35"/>
      <c r="L107" s="40" t="str">
        <f aca="false">IF(OR(J107="",K107=""),"",IF(G107="Long",J107+Inputs!$F$15*(J107-K107),J107-Inputs!$F$15*(K107-J107)))</f>
        <v/>
      </c>
      <c r="M107" s="35"/>
      <c r="N107" s="34"/>
      <c r="O107" s="35"/>
      <c r="P107" s="34"/>
      <c r="Q107" s="41"/>
      <c r="R107" s="36" t="str">
        <f aca="false">IF(OR(M107="",J107="",K107="",J107=K107),"",ROUND(IF(G107="Long",(M107-J107)/(J107-K107),(J107-M107)/(K107-J107)),2))</f>
        <v/>
      </c>
      <c r="S107" s="39" t="str">
        <f aca="false">IF(B107="","",IF(AND(I107="Y",OR(P107="None",P107="")),"Yes","No"))</f>
        <v/>
      </c>
      <c r="T107" s="36" t="str">
        <f aca="false">IF(OR(O107="",J107="",K107="",J107=K107),"",ROUND(IF(G107="Long",(O107-J107)/(J107-K107),(J107-O107)/(K107-J107)),2))</f>
        <v/>
      </c>
      <c r="U107" s="36" t="str">
        <f aca="false">IF(OR(R107="",T107=""),"",IF(T107&gt;=2,2,IF(N107="Target",-1,R107)))</f>
        <v/>
      </c>
      <c r="V107" s="36" t="str">
        <f aca="false">IF(OR(R107="",T107=""),"",IF(T107&gt;=3,3,IF(N107="Target",-1,R107)))</f>
        <v/>
      </c>
      <c r="W107" s="42" t="str">
        <f aca="false">IF(R107="","",ROUND(R107*(Inputs!$F$9+SUM(W$6:W106))*Inputs!$F$10,2))</f>
        <v/>
      </c>
      <c r="X107" s="42" t="str">
        <f aca="false">IF(R107="","",Inputs!$F$9+SUM(W$7:W107))</f>
        <v/>
      </c>
      <c r="Y107" s="43" t="str">
        <f aca="false">IF(S107="Yes",R107,"")</f>
        <v/>
      </c>
      <c r="Z107" s="43" t="str">
        <f aca="false">IF(Y107="","",SUM(Y$7:Y107))</f>
        <v/>
      </c>
      <c r="AA107" s="43" t="str">
        <f aca="false">IF(Y107="","",MAX(0,MAX(Z$7:Z107)))</f>
        <v/>
      </c>
      <c r="AB107" s="43" t="str">
        <f aca="false">IF(Y107="","",Z107-AA107)</f>
        <v/>
      </c>
    </row>
    <row r="108" customFormat="false" ht="15" hidden="false" customHeight="false" outlineLevel="0" collapsed="false">
      <c r="B108" s="38"/>
      <c r="C108" s="39" t="str">
        <f aca="false">IF(B108="","",INT((B108-Inputs!$F$8)/7)+1)</f>
        <v/>
      </c>
      <c r="D108" s="39" t="str">
        <f aca="false">IF(B108="","",COUNTIF(B$7:B108,B108))</f>
        <v/>
      </c>
      <c r="E108" s="34"/>
      <c r="F108" s="34"/>
      <c r="G108" s="34"/>
      <c r="H108" s="34"/>
      <c r="I108" s="34"/>
      <c r="J108" s="35"/>
      <c r="K108" s="35"/>
      <c r="L108" s="40" t="str">
        <f aca="false">IF(OR(J108="",K108=""),"",IF(G108="Long",J108+Inputs!$F$15*(J108-K108),J108-Inputs!$F$15*(K108-J108)))</f>
        <v/>
      </c>
      <c r="M108" s="35"/>
      <c r="N108" s="34"/>
      <c r="O108" s="35"/>
      <c r="P108" s="34"/>
      <c r="Q108" s="41"/>
      <c r="R108" s="36" t="str">
        <f aca="false">IF(OR(M108="",J108="",K108="",J108=K108),"",ROUND(IF(G108="Long",(M108-J108)/(J108-K108),(J108-M108)/(K108-J108)),2))</f>
        <v/>
      </c>
      <c r="S108" s="39" t="str">
        <f aca="false">IF(B108="","",IF(AND(I108="Y",OR(P108="None",P108="")),"Yes","No"))</f>
        <v/>
      </c>
      <c r="T108" s="36" t="str">
        <f aca="false">IF(OR(O108="",J108="",K108="",J108=K108),"",ROUND(IF(G108="Long",(O108-J108)/(J108-K108),(J108-O108)/(K108-J108)),2))</f>
        <v/>
      </c>
      <c r="U108" s="36" t="str">
        <f aca="false">IF(OR(R108="",T108=""),"",IF(T108&gt;=2,2,IF(N108="Target",-1,R108)))</f>
        <v/>
      </c>
      <c r="V108" s="36" t="str">
        <f aca="false">IF(OR(R108="",T108=""),"",IF(T108&gt;=3,3,IF(N108="Target",-1,R108)))</f>
        <v/>
      </c>
      <c r="W108" s="42" t="str">
        <f aca="false">IF(R108="","",ROUND(R108*(Inputs!$F$9+SUM(W$6:W107))*Inputs!$F$10,2))</f>
        <v/>
      </c>
      <c r="X108" s="42" t="str">
        <f aca="false">IF(R108="","",Inputs!$F$9+SUM(W$7:W108))</f>
        <v/>
      </c>
      <c r="Y108" s="43" t="str">
        <f aca="false">IF(S108="Yes",R108,"")</f>
        <v/>
      </c>
      <c r="Z108" s="43" t="str">
        <f aca="false">IF(Y108="","",SUM(Y$7:Y108))</f>
        <v/>
      </c>
      <c r="AA108" s="43" t="str">
        <f aca="false">IF(Y108="","",MAX(0,MAX(Z$7:Z108)))</f>
        <v/>
      </c>
      <c r="AB108" s="43" t="str">
        <f aca="false">IF(Y108="","",Z108-AA108)</f>
        <v/>
      </c>
    </row>
    <row r="109" customFormat="false" ht="15" hidden="false" customHeight="false" outlineLevel="0" collapsed="false">
      <c r="B109" s="38"/>
      <c r="C109" s="39" t="str">
        <f aca="false">IF(B109="","",INT((B109-Inputs!$F$8)/7)+1)</f>
        <v/>
      </c>
      <c r="D109" s="39" t="str">
        <f aca="false">IF(B109="","",COUNTIF(B$7:B109,B109))</f>
        <v/>
      </c>
      <c r="E109" s="34"/>
      <c r="F109" s="34"/>
      <c r="G109" s="34"/>
      <c r="H109" s="34"/>
      <c r="I109" s="34"/>
      <c r="J109" s="35"/>
      <c r="K109" s="35"/>
      <c r="L109" s="40" t="str">
        <f aca="false">IF(OR(J109="",K109=""),"",IF(G109="Long",J109+Inputs!$F$15*(J109-K109),J109-Inputs!$F$15*(K109-J109)))</f>
        <v/>
      </c>
      <c r="M109" s="35"/>
      <c r="N109" s="34"/>
      <c r="O109" s="35"/>
      <c r="P109" s="34"/>
      <c r="Q109" s="41"/>
      <c r="R109" s="36" t="str">
        <f aca="false">IF(OR(M109="",J109="",K109="",J109=K109),"",ROUND(IF(G109="Long",(M109-J109)/(J109-K109),(J109-M109)/(K109-J109)),2))</f>
        <v/>
      </c>
      <c r="S109" s="39" t="str">
        <f aca="false">IF(B109="","",IF(AND(I109="Y",OR(P109="None",P109="")),"Yes","No"))</f>
        <v/>
      </c>
      <c r="T109" s="36" t="str">
        <f aca="false">IF(OR(O109="",J109="",K109="",J109=K109),"",ROUND(IF(G109="Long",(O109-J109)/(J109-K109),(J109-O109)/(K109-J109)),2))</f>
        <v/>
      </c>
      <c r="U109" s="36" t="str">
        <f aca="false">IF(OR(R109="",T109=""),"",IF(T109&gt;=2,2,IF(N109="Target",-1,R109)))</f>
        <v/>
      </c>
      <c r="V109" s="36" t="str">
        <f aca="false">IF(OR(R109="",T109=""),"",IF(T109&gt;=3,3,IF(N109="Target",-1,R109)))</f>
        <v/>
      </c>
      <c r="W109" s="42" t="str">
        <f aca="false">IF(R109="","",ROUND(R109*(Inputs!$F$9+SUM(W$6:W108))*Inputs!$F$10,2))</f>
        <v/>
      </c>
      <c r="X109" s="42" t="str">
        <f aca="false">IF(R109="","",Inputs!$F$9+SUM(W$7:W109))</f>
        <v/>
      </c>
      <c r="Y109" s="43" t="str">
        <f aca="false">IF(S109="Yes",R109,"")</f>
        <v/>
      </c>
      <c r="Z109" s="43" t="str">
        <f aca="false">IF(Y109="","",SUM(Y$7:Y109))</f>
        <v/>
      </c>
      <c r="AA109" s="43" t="str">
        <f aca="false">IF(Y109="","",MAX(0,MAX(Z$7:Z109)))</f>
        <v/>
      </c>
      <c r="AB109" s="43" t="str">
        <f aca="false">IF(Y109="","",Z109-AA109)</f>
        <v/>
      </c>
    </row>
    <row r="110" customFormat="false" ht="15" hidden="false" customHeight="false" outlineLevel="0" collapsed="false">
      <c r="B110" s="38"/>
      <c r="C110" s="39" t="str">
        <f aca="false">IF(B110="","",INT((B110-Inputs!$F$8)/7)+1)</f>
        <v/>
      </c>
      <c r="D110" s="39" t="str">
        <f aca="false">IF(B110="","",COUNTIF(B$7:B110,B110))</f>
        <v/>
      </c>
      <c r="E110" s="34"/>
      <c r="F110" s="34"/>
      <c r="G110" s="34"/>
      <c r="H110" s="34"/>
      <c r="I110" s="34"/>
      <c r="J110" s="35"/>
      <c r="K110" s="35"/>
      <c r="L110" s="40" t="str">
        <f aca="false">IF(OR(J110="",K110=""),"",IF(G110="Long",J110+Inputs!$F$15*(J110-K110),J110-Inputs!$F$15*(K110-J110)))</f>
        <v/>
      </c>
      <c r="M110" s="35"/>
      <c r="N110" s="34"/>
      <c r="O110" s="35"/>
      <c r="P110" s="34"/>
      <c r="Q110" s="41"/>
      <c r="R110" s="36" t="str">
        <f aca="false">IF(OR(M110="",J110="",K110="",J110=K110),"",ROUND(IF(G110="Long",(M110-J110)/(J110-K110),(J110-M110)/(K110-J110)),2))</f>
        <v/>
      </c>
      <c r="S110" s="39" t="str">
        <f aca="false">IF(B110="","",IF(AND(I110="Y",OR(P110="None",P110="")),"Yes","No"))</f>
        <v/>
      </c>
      <c r="T110" s="36" t="str">
        <f aca="false">IF(OR(O110="",J110="",K110="",J110=K110),"",ROUND(IF(G110="Long",(O110-J110)/(J110-K110),(J110-O110)/(K110-J110)),2))</f>
        <v/>
      </c>
      <c r="U110" s="36" t="str">
        <f aca="false">IF(OR(R110="",T110=""),"",IF(T110&gt;=2,2,IF(N110="Target",-1,R110)))</f>
        <v/>
      </c>
      <c r="V110" s="36" t="str">
        <f aca="false">IF(OR(R110="",T110=""),"",IF(T110&gt;=3,3,IF(N110="Target",-1,R110)))</f>
        <v/>
      </c>
      <c r="W110" s="42" t="str">
        <f aca="false">IF(R110="","",ROUND(R110*(Inputs!$F$9+SUM(W$6:W109))*Inputs!$F$10,2))</f>
        <v/>
      </c>
      <c r="X110" s="42" t="str">
        <f aca="false">IF(R110="","",Inputs!$F$9+SUM(W$7:W110))</f>
        <v/>
      </c>
      <c r="Y110" s="43" t="str">
        <f aca="false">IF(S110="Yes",R110,"")</f>
        <v/>
      </c>
      <c r="Z110" s="43" t="str">
        <f aca="false">IF(Y110="","",SUM(Y$7:Y110))</f>
        <v/>
      </c>
      <c r="AA110" s="43" t="str">
        <f aca="false">IF(Y110="","",MAX(0,MAX(Z$7:Z110)))</f>
        <v/>
      </c>
      <c r="AB110" s="43" t="str">
        <f aca="false">IF(Y110="","",Z110-AA110)</f>
        <v/>
      </c>
    </row>
    <row r="111" customFormat="false" ht="15" hidden="false" customHeight="false" outlineLevel="0" collapsed="false">
      <c r="B111" s="38"/>
      <c r="C111" s="39" t="str">
        <f aca="false">IF(B111="","",INT((B111-Inputs!$F$8)/7)+1)</f>
        <v/>
      </c>
      <c r="D111" s="39" t="str">
        <f aca="false">IF(B111="","",COUNTIF(B$7:B111,B111))</f>
        <v/>
      </c>
      <c r="E111" s="34"/>
      <c r="F111" s="34"/>
      <c r="G111" s="34"/>
      <c r="H111" s="34"/>
      <c r="I111" s="34"/>
      <c r="J111" s="35"/>
      <c r="K111" s="35"/>
      <c r="L111" s="40" t="str">
        <f aca="false">IF(OR(J111="",K111=""),"",IF(G111="Long",J111+Inputs!$F$15*(J111-K111),J111-Inputs!$F$15*(K111-J111)))</f>
        <v/>
      </c>
      <c r="M111" s="35"/>
      <c r="N111" s="34"/>
      <c r="O111" s="35"/>
      <c r="P111" s="34"/>
      <c r="Q111" s="41"/>
      <c r="R111" s="36" t="str">
        <f aca="false">IF(OR(M111="",J111="",K111="",J111=K111),"",ROUND(IF(G111="Long",(M111-J111)/(J111-K111),(J111-M111)/(K111-J111)),2))</f>
        <v/>
      </c>
      <c r="S111" s="39" t="str">
        <f aca="false">IF(B111="","",IF(AND(I111="Y",OR(P111="None",P111="")),"Yes","No"))</f>
        <v/>
      </c>
      <c r="T111" s="36" t="str">
        <f aca="false">IF(OR(O111="",J111="",K111="",J111=K111),"",ROUND(IF(G111="Long",(O111-J111)/(J111-K111),(J111-O111)/(K111-J111)),2))</f>
        <v/>
      </c>
      <c r="U111" s="36" t="str">
        <f aca="false">IF(OR(R111="",T111=""),"",IF(T111&gt;=2,2,IF(N111="Target",-1,R111)))</f>
        <v/>
      </c>
      <c r="V111" s="36" t="str">
        <f aca="false">IF(OR(R111="",T111=""),"",IF(T111&gt;=3,3,IF(N111="Target",-1,R111)))</f>
        <v/>
      </c>
      <c r="W111" s="42" t="str">
        <f aca="false">IF(R111="","",ROUND(R111*(Inputs!$F$9+SUM(W$6:W110))*Inputs!$F$10,2))</f>
        <v/>
      </c>
      <c r="X111" s="42" t="str">
        <f aca="false">IF(R111="","",Inputs!$F$9+SUM(W$7:W111))</f>
        <v/>
      </c>
      <c r="Y111" s="43" t="str">
        <f aca="false">IF(S111="Yes",R111,"")</f>
        <v/>
      </c>
      <c r="Z111" s="43" t="str">
        <f aca="false">IF(Y111="","",SUM(Y$7:Y111))</f>
        <v/>
      </c>
      <c r="AA111" s="43" t="str">
        <f aca="false">IF(Y111="","",MAX(0,MAX(Z$7:Z111)))</f>
        <v/>
      </c>
      <c r="AB111" s="43" t="str">
        <f aca="false">IF(Y111="","",Z111-AA111)</f>
        <v/>
      </c>
    </row>
    <row r="112" customFormat="false" ht="15" hidden="false" customHeight="false" outlineLevel="0" collapsed="false">
      <c r="B112" s="38"/>
      <c r="C112" s="39" t="str">
        <f aca="false">IF(B112="","",INT((B112-Inputs!$F$8)/7)+1)</f>
        <v/>
      </c>
      <c r="D112" s="39" t="str">
        <f aca="false">IF(B112="","",COUNTIF(B$7:B112,B112))</f>
        <v/>
      </c>
      <c r="E112" s="34"/>
      <c r="F112" s="34"/>
      <c r="G112" s="34"/>
      <c r="H112" s="34"/>
      <c r="I112" s="34"/>
      <c r="J112" s="35"/>
      <c r="K112" s="35"/>
      <c r="L112" s="40" t="str">
        <f aca="false">IF(OR(J112="",K112=""),"",IF(G112="Long",J112+Inputs!$F$15*(J112-K112),J112-Inputs!$F$15*(K112-J112)))</f>
        <v/>
      </c>
      <c r="M112" s="35"/>
      <c r="N112" s="34"/>
      <c r="O112" s="35"/>
      <c r="P112" s="34"/>
      <c r="Q112" s="41"/>
      <c r="R112" s="36" t="str">
        <f aca="false">IF(OR(M112="",J112="",K112="",J112=K112),"",ROUND(IF(G112="Long",(M112-J112)/(J112-K112),(J112-M112)/(K112-J112)),2))</f>
        <v/>
      </c>
      <c r="S112" s="39" t="str">
        <f aca="false">IF(B112="","",IF(AND(I112="Y",OR(P112="None",P112="")),"Yes","No"))</f>
        <v/>
      </c>
      <c r="T112" s="36" t="str">
        <f aca="false">IF(OR(O112="",J112="",K112="",J112=K112),"",ROUND(IF(G112="Long",(O112-J112)/(J112-K112),(J112-O112)/(K112-J112)),2))</f>
        <v/>
      </c>
      <c r="U112" s="36" t="str">
        <f aca="false">IF(OR(R112="",T112=""),"",IF(T112&gt;=2,2,IF(N112="Target",-1,R112)))</f>
        <v/>
      </c>
      <c r="V112" s="36" t="str">
        <f aca="false">IF(OR(R112="",T112=""),"",IF(T112&gt;=3,3,IF(N112="Target",-1,R112)))</f>
        <v/>
      </c>
      <c r="W112" s="42" t="str">
        <f aca="false">IF(R112="","",ROUND(R112*(Inputs!$F$9+SUM(W$6:W111))*Inputs!$F$10,2))</f>
        <v/>
      </c>
      <c r="X112" s="42" t="str">
        <f aca="false">IF(R112="","",Inputs!$F$9+SUM(W$7:W112))</f>
        <v/>
      </c>
      <c r="Y112" s="43" t="str">
        <f aca="false">IF(S112="Yes",R112,"")</f>
        <v/>
      </c>
      <c r="Z112" s="43" t="str">
        <f aca="false">IF(Y112="","",SUM(Y$7:Y112))</f>
        <v/>
      </c>
      <c r="AA112" s="43" t="str">
        <f aca="false">IF(Y112="","",MAX(0,MAX(Z$7:Z112)))</f>
        <v/>
      </c>
      <c r="AB112" s="43" t="str">
        <f aca="false">IF(Y112="","",Z112-AA112)</f>
        <v/>
      </c>
    </row>
    <row r="113" customFormat="false" ht="15" hidden="false" customHeight="false" outlineLevel="0" collapsed="false">
      <c r="B113" s="38"/>
      <c r="C113" s="39" t="str">
        <f aca="false">IF(B113="","",INT((B113-Inputs!$F$8)/7)+1)</f>
        <v/>
      </c>
      <c r="D113" s="39" t="str">
        <f aca="false">IF(B113="","",COUNTIF(B$7:B113,B113))</f>
        <v/>
      </c>
      <c r="E113" s="34"/>
      <c r="F113" s="34"/>
      <c r="G113" s="34"/>
      <c r="H113" s="34"/>
      <c r="I113" s="34"/>
      <c r="J113" s="35"/>
      <c r="K113" s="35"/>
      <c r="L113" s="40" t="str">
        <f aca="false">IF(OR(J113="",K113=""),"",IF(G113="Long",J113+Inputs!$F$15*(J113-K113),J113-Inputs!$F$15*(K113-J113)))</f>
        <v/>
      </c>
      <c r="M113" s="35"/>
      <c r="N113" s="34"/>
      <c r="O113" s="35"/>
      <c r="P113" s="34"/>
      <c r="Q113" s="41"/>
      <c r="R113" s="36" t="str">
        <f aca="false">IF(OR(M113="",J113="",K113="",J113=K113),"",ROUND(IF(G113="Long",(M113-J113)/(J113-K113),(J113-M113)/(K113-J113)),2))</f>
        <v/>
      </c>
      <c r="S113" s="39" t="str">
        <f aca="false">IF(B113="","",IF(AND(I113="Y",OR(P113="None",P113="")),"Yes","No"))</f>
        <v/>
      </c>
      <c r="T113" s="36" t="str">
        <f aca="false">IF(OR(O113="",J113="",K113="",J113=K113),"",ROUND(IF(G113="Long",(O113-J113)/(J113-K113),(J113-O113)/(K113-J113)),2))</f>
        <v/>
      </c>
      <c r="U113" s="36" t="str">
        <f aca="false">IF(OR(R113="",T113=""),"",IF(T113&gt;=2,2,IF(N113="Target",-1,R113)))</f>
        <v/>
      </c>
      <c r="V113" s="36" t="str">
        <f aca="false">IF(OR(R113="",T113=""),"",IF(T113&gt;=3,3,IF(N113="Target",-1,R113)))</f>
        <v/>
      </c>
      <c r="W113" s="42" t="str">
        <f aca="false">IF(R113="","",ROUND(R113*(Inputs!$F$9+SUM(W$6:W112))*Inputs!$F$10,2))</f>
        <v/>
      </c>
      <c r="X113" s="42" t="str">
        <f aca="false">IF(R113="","",Inputs!$F$9+SUM(W$7:W113))</f>
        <v/>
      </c>
      <c r="Y113" s="43" t="str">
        <f aca="false">IF(S113="Yes",R113,"")</f>
        <v/>
      </c>
      <c r="Z113" s="43" t="str">
        <f aca="false">IF(Y113="","",SUM(Y$7:Y113))</f>
        <v/>
      </c>
      <c r="AA113" s="43" t="str">
        <f aca="false">IF(Y113="","",MAX(0,MAX(Z$7:Z113)))</f>
        <v/>
      </c>
      <c r="AB113" s="43" t="str">
        <f aca="false">IF(Y113="","",Z113-AA113)</f>
        <v/>
      </c>
    </row>
    <row r="114" customFormat="false" ht="15" hidden="false" customHeight="false" outlineLevel="0" collapsed="false">
      <c r="B114" s="38"/>
      <c r="C114" s="39" t="str">
        <f aca="false">IF(B114="","",INT((B114-Inputs!$F$8)/7)+1)</f>
        <v/>
      </c>
      <c r="D114" s="39" t="str">
        <f aca="false">IF(B114="","",COUNTIF(B$7:B114,B114))</f>
        <v/>
      </c>
      <c r="E114" s="34"/>
      <c r="F114" s="34"/>
      <c r="G114" s="34"/>
      <c r="H114" s="34"/>
      <c r="I114" s="34"/>
      <c r="J114" s="35"/>
      <c r="K114" s="35"/>
      <c r="L114" s="40" t="str">
        <f aca="false">IF(OR(J114="",K114=""),"",IF(G114="Long",J114+Inputs!$F$15*(J114-K114),J114-Inputs!$F$15*(K114-J114)))</f>
        <v/>
      </c>
      <c r="M114" s="35"/>
      <c r="N114" s="34"/>
      <c r="O114" s="35"/>
      <c r="P114" s="34"/>
      <c r="Q114" s="41"/>
      <c r="R114" s="36" t="str">
        <f aca="false">IF(OR(M114="",J114="",K114="",J114=K114),"",ROUND(IF(G114="Long",(M114-J114)/(J114-K114),(J114-M114)/(K114-J114)),2))</f>
        <v/>
      </c>
      <c r="S114" s="39" t="str">
        <f aca="false">IF(B114="","",IF(AND(I114="Y",OR(P114="None",P114="")),"Yes","No"))</f>
        <v/>
      </c>
      <c r="T114" s="36" t="str">
        <f aca="false">IF(OR(O114="",J114="",K114="",J114=K114),"",ROUND(IF(G114="Long",(O114-J114)/(J114-K114),(J114-O114)/(K114-J114)),2))</f>
        <v/>
      </c>
      <c r="U114" s="36" t="str">
        <f aca="false">IF(OR(R114="",T114=""),"",IF(T114&gt;=2,2,IF(N114="Target",-1,R114)))</f>
        <v/>
      </c>
      <c r="V114" s="36" t="str">
        <f aca="false">IF(OR(R114="",T114=""),"",IF(T114&gt;=3,3,IF(N114="Target",-1,R114)))</f>
        <v/>
      </c>
      <c r="W114" s="42" t="str">
        <f aca="false">IF(R114="","",ROUND(R114*(Inputs!$F$9+SUM(W$6:W113))*Inputs!$F$10,2))</f>
        <v/>
      </c>
      <c r="X114" s="42" t="str">
        <f aca="false">IF(R114="","",Inputs!$F$9+SUM(W$7:W114))</f>
        <v/>
      </c>
      <c r="Y114" s="43" t="str">
        <f aca="false">IF(S114="Yes",R114,"")</f>
        <v/>
      </c>
      <c r="Z114" s="43" t="str">
        <f aca="false">IF(Y114="","",SUM(Y$7:Y114))</f>
        <v/>
      </c>
      <c r="AA114" s="43" t="str">
        <f aca="false">IF(Y114="","",MAX(0,MAX(Z$7:Z114)))</f>
        <v/>
      </c>
      <c r="AB114" s="43" t="str">
        <f aca="false">IF(Y114="","",Z114-AA114)</f>
        <v/>
      </c>
    </row>
    <row r="115" customFormat="false" ht="15" hidden="false" customHeight="false" outlineLevel="0" collapsed="false">
      <c r="B115" s="38"/>
      <c r="C115" s="39" t="str">
        <f aca="false">IF(B115="","",INT((B115-Inputs!$F$8)/7)+1)</f>
        <v/>
      </c>
      <c r="D115" s="39" t="str">
        <f aca="false">IF(B115="","",COUNTIF(B$7:B115,B115))</f>
        <v/>
      </c>
      <c r="E115" s="34"/>
      <c r="F115" s="34"/>
      <c r="G115" s="34"/>
      <c r="H115" s="34"/>
      <c r="I115" s="34"/>
      <c r="J115" s="35"/>
      <c r="K115" s="35"/>
      <c r="L115" s="40" t="str">
        <f aca="false">IF(OR(J115="",K115=""),"",IF(G115="Long",J115+Inputs!$F$15*(J115-K115),J115-Inputs!$F$15*(K115-J115)))</f>
        <v/>
      </c>
      <c r="M115" s="35"/>
      <c r="N115" s="34"/>
      <c r="O115" s="35"/>
      <c r="P115" s="34"/>
      <c r="Q115" s="41"/>
      <c r="R115" s="36" t="str">
        <f aca="false">IF(OR(M115="",J115="",K115="",J115=K115),"",ROUND(IF(G115="Long",(M115-J115)/(J115-K115),(J115-M115)/(K115-J115)),2))</f>
        <v/>
      </c>
      <c r="S115" s="39" t="str">
        <f aca="false">IF(B115="","",IF(AND(I115="Y",OR(P115="None",P115="")),"Yes","No"))</f>
        <v/>
      </c>
      <c r="T115" s="36" t="str">
        <f aca="false">IF(OR(O115="",J115="",K115="",J115=K115),"",ROUND(IF(G115="Long",(O115-J115)/(J115-K115),(J115-O115)/(K115-J115)),2))</f>
        <v/>
      </c>
      <c r="U115" s="36" t="str">
        <f aca="false">IF(OR(R115="",T115=""),"",IF(T115&gt;=2,2,IF(N115="Target",-1,R115)))</f>
        <v/>
      </c>
      <c r="V115" s="36" t="str">
        <f aca="false">IF(OR(R115="",T115=""),"",IF(T115&gt;=3,3,IF(N115="Target",-1,R115)))</f>
        <v/>
      </c>
      <c r="W115" s="42" t="str">
        <f aca="false">IF(R115="","",ROUND(R115*(Inputs!$F$9+SUM(W$6:W114))*Inputs!$F$10,2))</f>
        <v/>
      </c>
      <c r="X115" s="42" t="str">
        <f aca="false">IF(R115="","",Inputs!$F$9+SUM(W$7:W115))</f>
        <v/>
      </c>
      <c r="Y115" s="43" t="str">
        <f aca="false">IF(S115="Yes",R115,"")</f>
        <v/>
      </c>
      <c r="Z115" s="43" t="str">
        <f aca="false">IF(Y115="","",SUM(Y$7:Y115))</f>
        <v/>
      </c>
      <c r="AA115" s="43" t="str">
        <f aca="false">IF(Y115="","",MAX(0,MAX(Z$7:Z115)))</f>
        <v/>
      </c>
      <c r="AB115" s="43" t="str">
        <f aca="false">IF(Y115="","",Z115-AA115)</f>
        <v/>
      </c>
    </row>
    <row r="116" customFormat="false" ht="15" hidden="false" customHeight="false" outlineLevel="0" collapsed="false">
      <c r="B116" s="38"/>
      <c r="C116" s="39" t="str">
        <f aca="false">IF(B116="","",INT((B116-Inputs!$F$8)/7)+1)</f>
        <v/>
      </c>
      <c r="D116" s="39" t="str">
        <f aca="false">IF(B116="","",COUNTIF(B$7:B116,B116))</f>
        <v/>
      </c>
      <c r="E116" s="34"/>
      <c r="F116" s="34"/>
      <c r="G116" s="34"/>
      <c r="H116" s="34"/>
      <c r="I116" s="34"/>
      <c r="J116" s="35"/>
      <c r="K116" s="35"/>
      <c r="L116" s="40" t="str">
        <f aca="false">IF(OR(J116="",K116=""),"",IF(G116="Long",J116+Inputs!$F$15*(J116-K116),J116-Inputs!$F$15*(K116-J116)))</f>
        <v/>
      </c>
      <c r="M116" s="35"/>
      <c r="N116" s="34"/>
      <c r="O116" s="35"/>
      <c r="P116" s="34"/>
      <c r="Q116" s="41"/>
      <c r="R116" s="36" t="str">
        <f aca="false">IF(OR(M116="",J116="",K116="",J116=K116),"",ROUND(IF(G116="Long",(M116-J116)/(J116-K116),(J116-M116)/(K116-J116)),2))</f>
        <v/>
      </c>
      <c r="S116" s="39" t="str">
        <f aca="false">IF(B116="","",IF(AND(I116="Y",OR(P116="None",P116="")),"Yes","No"))</f>
        <v/>
      </c>
      <c r="T116" s="36" t="str">
        <f aca="false">IF(OR(O116="",J116="",K116="",J116=K116),"",ROUND(IF(G116="Long",(O116-J116)/(J116-K116),(J116-O116)/(K116-J116)),2))</f>
        <v/>
      </c>
      <c r="U116" s="36" t="str">
        <f aca="false">IF(OR(R116="",T116=""),"",IF(T116&gt;=2,2,IF(N116="Target",-1,R116)))</f>
        <v/>
      </c>
      <c r="V116" s="36" t="str">
        <f aca="false">IF(OR(R116="",T116=""),"",IF(T116&gt;=3,3,IF(N116="Target",-1,R116)))</f>
        <v/>
      </c>
      <c r="W116" s="42" t="str">
        <f aca="false">IF(R116="","",ROUND(R116*(Inputs!$F$9+SUM(W$6:W115))*Inputs!$F$10,2))</f>
        <v/>
      </c>
      <c r="X116" s="42" t="str">
        <f aca="false">IF(R116="","",Inputs!$F$9+SUM(W$7:W116))</f>
        <v/>
      </c>
      <c r="Y116" s="43" t="str">
        <f aca="false">IF(S116="Yes",R116,"")</f>
        <v/>
      </c>
      <c r="Z116" s="43" t="str">
        <f aca="false">IF(Y116="","",SUM(Y$7:Y116))</f>
        <v/>
      </c>
      <c r="AA116" s="43" t="str">
        <f aca="false">IF(Y116="","",MAX(0,MAX(Z$7:Z116)))</f>
        <v/>
      </c>
      <c r="AB116" s="43" t="str">
        <f aca="false">IF(Y116="","",Z116-AA116)</f>
        <v/>
      </c>
    </row>
    <row r="117" customFormat="false" ht="15" hidden="false" customHeight="false" outlineLevel="0" collapsed="false">
      <c r="B117" s="38"/>
      <c r="C117" s="39" t="str">
        <f aca="false">IF(B117="","",INT((B117-Inputs!$F$8)/7)+1)</f>
        <v/>
      </c>
      <c r="D117" s="39" t="str">
        <f aca="false">IF(B117="","",COUNTIF(B$7:B117,B117))</f>
        <v/>
      </c>
      <c r="E117" s="34"/>
      <c r="F117" s="34"/>
      <c r="G117" s="34"/>
      <c r="H117" s="34"/>
      <c r="I117" s="34"/>
      <c r="J117" s="35"/>
      <c r="K117" s="35"/>
      <c r="L117" s="40" t="str">
        <f aca="false">IF(OR(J117="",K117=""),"",IF(G117="Long",J117+Inputs!$F$15*(J117-K117),J117-Inputs!$F$15*(K117-J117)))</f>
        <v/>
      </c>
      <c r="M117" s="35"/>
      <c r="N117" s="34"/>
      <c r="O117" s="35"/>
      <c r="P117" s="34"/>
      <c r="Q117" s="41"/>
      <c r="R117" s="36" t="str">
        <f aca="false">IF(OR(M117="",J117="",K117="",J117=K117),"",ROUND(IF(G117="Long",(M117-J117)/(J117-K117),(J117-M117)/(K117-J117)),2))</f>
        <v/>
      </c>
      <c r="S117" s="39" t="str">
        <f aca="false">IF(B117="","",IF(AND(I117="Y",OR(P117="None",P117="")),"Yes","No"))</f>
        <v/>
      </c>
      <c r="T117" s="36" t="str">
        <f aca="false">IF(OR(O117="",J117="",K117="",J117=K117),"",ROUND(IF(G117="Long",(O117-J117)/(J117-K117),(J117-O117)/(K117-J117)),2))</f>
        <v/>
      </c>
      <c r="U117" s="36" t="str">
        <f aca="false">IF(OR(R117="",T117=""),"",IF(T117&gt;=2,2,IF(N117="Target",-1,R117)))</f>
        <v/>
      </c>
      <c r="V117" s="36" t="str">
        <f aca="false">IF(OR(R117="",T117=""),"",IF(T117&gt;=3,3,IF(N117="Target",-1,R117)))</f>
        <v/>
      </c>
      <c r="W117" s="42" t="str">
        <f aca="false">IF(R117="","",ROUND(R117*(Inputs!$F$9+SUM(W$6:W116))*Inputs!$F$10,2))</f>
        <v/>
      </c>
      <c r="X117" s="42" t="str">
        <f aca="false">IF(R117="","",Inputs!$F$9+SUM(W$7:W117))</f>
        <v/>
      </c>
      <c r="Y117" s="43" t="str">
        <f aca="false">IF(S117="Yes",R117,"")</f>
        <v/>
      </c>
      <c r="Z117" s="43" t="str">
        <f aca="false">IF(Y117="","",SUM(Y$7:Y117))</f>
        <v/>
      </c>
      <c r="AA117" s="43" t="str">
        <f aca="false">IF(Y117="","",MAX(0,MAX(Z$7:Z117)))</f>
        <v/>
      </c>
      <c r="AB117" s="43" t="str">
        <f aca="false">IF(Y117="","",Z117-AA117)</f>
        <v/>
      </c>
    </row>
    <row r="118" customFormat="false" ht="15" hidden="false" customHeight="false" outlineLevel="0" collapsed="false">
      <c r="B118" s="38"/>
      <c r="C118" s="39" t="str">
        <f aca="false">IF(B118="","",INT((B118-Inputs!$F$8)/7)+1)</f>
        <v/>
      </c>
      <c r="D118" s="39" t="str">
        <f aca="false">IF(B118="","",COUNTIF(B$7:B118,B118))</f>
        <v/>
      </c>
      <c r="E118" s="34"/>
      <c r="F118" s="34"/>
      <c r="G118" s="34"/>
      <c r="H118" s="34"/>
      <c r="I118" s="34"/>
      <c r="J118" s="35"/>
      <c r="K118" s="35"/>
      <c r="L118" s="40" t="str">
        <f aca="false">IF(OR(J118="",K118=""),"",IF(G118="Long",J118+Inputs!$F$15*(J118-K118),J118-Inputs!$F$15*(K118-J118)))</f>
        <v/>
      </c>
      <c r="M118" s="35"/>
      <c r="N118" s="34"/>
      <c r="O118" s="35"/>
      <c r="P118" s="34"/>
      <c r="Q118" s="41"/>
      <c r="R118" s="36" t="str">
        <f aca="false">IF(OR(M118="",J118="",K118="",J118=K118),"",ROUND(IF(G118="Long",(M118-J118)/(J118-K118),(J118-M118)/(K118-J118)),2))</f>
        <v/>
      </c>
      <c r="S118" s="39" t="str">
        <f aca="false">IF(B118="","",IF(AND(I118="Y",OR(P118="None",P118="")),"Yes","No"))</f>
        <v/>
      </c>
      <c r="T118" s="36" t="str">
        <f aca="false">IF(OR(O118="",J118="",K118="",J118=K118),"",ROUND(IF(G118="Long",(O118-J118)/(J118-K118),(J118-O118)/(K118-J118)),2))</f>
        <v/>
      </c>
      <c r="U118" s="36" t="str">
        <f aca="false">IF(OR(R118="",T118=""),"",IF(T118&gt;=2,2,IF(N118="Target",-1,R118)))</f>
        <v/>
      </c>
      <c r="V118" s="36" t="str">
        <f aca="false">IF(OR(R118="",T118=""),"",IF(T118&gt;=3,3,IF(N118="Target",-1,R118)))</f>
        <v/>
      </c>
      <c r="W118" s="42" t="str">
        <f aca="false">IF(R118="","",ROUND(R118*(Inputs!$F$9+SUM(W$6:W117))*Inputs!$F$10,2))</f>
        <v/>
      </c>
      <c r="X118" s="42" t="str">
        <f aca="false">IF(R118="","",Inputs!$F$9+SUM(W$7:W118))</f>
        <v/>
      </c>
      <c r="Y118" s="43" t="str">
        <f aca="false">IF(S118="Yes",R118,"")</f>
        <v/>
      </c>
      <c r="Z118" s="43" t="str">
        <f aca="false">IF(Y118="","",SUM(Y$7:Y118))</f>
        <v/>
      </c>
      <c r="AA118" s="43" t="str">
        <f aca="false">IF(Y118="","",MAX(0,MAX(Z$7:Z118)))</f>
        <v/>
      </c>
      <c r="AB118" s="43" t="str">
        <f aca="false">IF(Y118="","",Z118-AA118)</f>
        <v/>
      </c>
    </row>
    <row r="119" customFormat="false" ht="15" hidden="false" customHeight="false" outlineLevel="0" collapsed="false">
      <c r="B119" s="38"/>
      <c r="C119" s="39" t="str">
        <f aca="false">IF(B119="","",INT((B119-Inputs!$F$8)/7)+1)</f>
        <v/>
      </c>
      <c r="D119" s="39" t="str">
        <f aca="false">IF(B119="","",COUNTIF(B$7:B119,B119))</f>
        <v/>
      </c>
      <c r="E119" s="34"/>
      <c r="F119" s="34"/>
      <c r="G119" s="34"/>
      <c r="H119" s="34"/>
      <c r="I119" s="34"/>
      <c r="J119" s="35"/>
      <c r="K119" s="35"/>
      <c r="L119" s="40" t="str">
        <f aca="false">IF(OR(J119="",K119=""),"",IF(G119="Long",J119+Inputs!$F$15*(J119-K119),J119-Inputs!$F$15*(K119-J119)))</f>
        <v/>
      </c>
      <c r="M119" s="35"/>
      <c r="N119" s="34"/>
      <c r="O119" s="35"/>
      <c r="P119" s="34"/>
      <c r="Q119" s="41"/>
      <c r="R119" s="36" t="str">
        <f aca="false">IF(OR(M119="",J119="",K119="",J119=K119),"",ROUND(IF(G119="Long",(M119-J119)/(J119-K119),(J119-M119)/(K119-J119)),2))</f>
        <v/>
      </c>
      <c r="S119" s="39" t="str">
        <f aca="false">IF(B119="","",IF(AND(I119="Y",OR(P119="None",P119="")),"Yes","No"))</f>
        <v/>
      </c>
      <c r="T119" s="36" t="str">
        <f aca="false">IF(OR(O119="",J119="",K119="",J119=K119),"",ROUND(IF(G119="Long",(O119-J119)/(J119-K119),(J119-O119)/(K119-J119)),2))</f>
        <v/>
      </c>
      <c r="U119" s="36" t="str">
        <f aca="false">IF(OR(R119="",T119=""),"",IF(T119&gt;=2,2,IF(N119="Target",-1,R119)))</f>
        <v/>
      </c>
      <c r="V119" s="36" t="str">
        <f aca="false">IF(OR(R119="",T119=""),"",IF(T119&gt;=3,3,IF(N119="Target",-1,R119)))</f>
        <v/>
      </c>
      <c r="W119" s="42" t="str">
        <f aca="false">IF(R119="","",ROUND(R119*(Inputs!$F$9+SUM(W$6:W118))*Inputs!$F$10,2))</f>
        <v/>
      </c>
      <c r="X119" s="42" t="str">
        <f aca="false">IF(R119="","",Inputs!$F$9+SUM(W$7:W119))</f>
        <v/>
      </c>
      <c r="Y119" s="43" t="str">
        <f aca="false">IF(S119="Yes",R119,"")</f>
        <v/>
      </c>
      <c r="Z119" s="43" t="str">
        <f aca="false">IF(Y119="","",SUM(Y$7:Y119))</f>
        <v/>
      </c>
      <c r="AA119" s="43" t="str">
        <f aca="false">IF(Y119="","",MAX(0,MAX(Z$7:Z119)))</f>
        <v/>
      </c>
      <c r="AB119" s="43" t="str">
        <f aca="false">IF(Y119="","",Z119-AA119)</f>
        <v/>
      </c>
    </row>
    <row r="120" customFormat="false" ht="15" hidden="false" customHeight="false" outlineLevel="0" collapsed="false">
      <c r="B120" s="38"/>
      <c r="C120" s="39" t="str">
        <f aca="false">IF(B120="","",INT((B120-Inputs!$F$8)/7)+1)</f>
        <v/>
      </c>
      <c r="D120" s="39" t="str">
        <f aca="false">IF(B120="","",COUNTIF(B$7:B120,B120))</f>
        <v/>
      </c>
      <c r="E120" s="34"/>
      <c r="F120" s="34"/>
      <c r="G120" s="34"/>
      <c r="H120" s="34"/>
      <c r="I120" s="34"/>
      <c r="J120" s="35"/>
      <c r="K120" s="35"/>
      <c r="L120" s="40" t="str">
        <f aca="false">IF(OR(J120="",K120=""),"",IF(G120="Long",J120+Inputs!$F$15*(J120-K120),J120-Inputs!$F$15*(K120-J120)))</f>
        <v/>
      </c>
      <c r="M120" s="35"/>
      <c r="N120" s="34"/>
      <c r="O120" s="35"/>
      <c r="P120" s="34"/>
      <c r="Q120" s="41"/>
      <c r="R120" s="36" t="str">
        <f aca="false">IF(OR(M120="",J120="",K120="",J120=K120),"",ROUND(IF(G120="Long",(M120-J120)/(J120-K120),(J120-M120)/(K120-J120)),2))</f>
        <v/>
      </c>
      <c r="S120" s="39" t="str">
        <f aca="false">IF(B120="","",IF(AND(I120="Y",OR(P120="None",P120="")),"Yes","No"))</f>
        <v/>
      </c>
      <c r="T120" s="36" t="str">
        <f aca="false">IF(OR(O120="",J120="",K120="",J120=K120),"",ROUND(IF(G120="Long",(O120-J120)/(J120-K120),(J120-O120)/(K120-J120)),2))</f>
        <v/>
      </c>
      <c r="U120" s="36" t="str">
        <f aca="false">IF(OR(R120="",T120=""),"",IF(T120&gt;=2,2,IF(N120="Target",-1,R120)))</f>
        <v/>
      </c>
      <c r="V120" s="36" t="str">
        <f aca="false">IF(OR(R120="",T120=""),"",IF(T120&gt;=3,3,IF(N120="Target",-1,R120)))</f>
        <v/>
      </c>
      <c r="W120" s="42" t="str">
        <f aca="false">IF(R120="","",ROUND(R120*(Inputs!$F$9+SUM(W$6:W119))*Inputs!$F$10,2))</f>
        <v/>
      </c>
      <c r="X120" s="42" t="str">
        <f aca="false">IF(R120="","",Inputs!$F$9+SUM(W$7:W120))</f>
        <v/>
      </c>
      <c r="Y120" s="43" t="str">
        <f aca="false">IF(S120="Yes",R120,"")</f>
        <v/>
      </c>
      <c r="Z120" s="43" t="str">
        <f aca="false">IF(Y120="","",SUM(Y$7:Y120))</f>
        <v/>
      </c>
      <c r="AA120" s="43" t="str">
        <f aca="false">IF(Y120="","",MAX(0,MAX(Z$7:Z120)))</f>
        <v/>
      </c>
      <c r="AB120" s="43" t="str">
        <f aca="false">IF(Y120="","",Z120-AA120)</f>
        <v/>
      </c>
    </row>
    <row r="121" customFormat="false" ht="15" hidden="false" customHeight="false" outlineLevel="0" collapsed="false">
      <c r="B121" s="38"/>
      <c r="C121" s="39" t="str">
        <f aca="false">IF(B121="","",INT((B121-Inputs!$F$8)/7)+1)</f>
        <v/>
      </c>
      <c r="D121" s="39" t="str">
        <f aca="false">IF(B121="","",COUNTIF(B$7:B121,B121))</f>
        <v/>
      </c>
      <c r="E121" s="34"/>
      <c r="F121" s="34"/>
      <c r="G121" s="34"/>
      <c r="H121" s="34"/>
      <c r="I121" s="34"/>
      <c r="J121" s="35"/>
      <c r="K121" s="35"/>
      <c r="L121" s="40" t="str">
        <f aca="false">IF(OR(J121="",K121=""),"",IF(G121="Long",J121+Inputs!$F$15*(J121-K121),J121-Inputs!$F$15*(K121-J121)))</f>
        <v/>
      </c>
      <c r="M121" s="35"/>
      <c r="N121" s="34"/>
      <c r="O121" s="35"/>
      <c r="P121" s="34"/>
      <c r="Q121" s="41"/>
      <c r="R121" s="36" t="str">
        <f aca="false">IF(OR(M121="",J121="",K121="",J121=K121),"",ROUND(IF(G121="Long",(M121-J121)/(J121-K121),(J121-M121)/(K121-J121)),2))</f>
        <v/>
      </c>
      <c r="S121" s="39" t="str">
        <f aca="false">IF(B121="","",IF(AND(I121="Y",OR(P121="None",P121="")),"Yes","No"))</f>
        <v/>
      </c>
      <c r="T121" s="36" t="str">
        <f aca="false">IF(OR(O121="",J121="",K121="",J121=K121),"",ROUND(IF(G121="Long",(O121-J121)/(J121-K121),(J121-O121)/(K121-J121)),2))</f>
        <v/>
      </c>
      <c r="U121" s="36" t="str">
        <f aca="false">IF(OR(R121="",T121=""),"",IF(T121&gt;=2,2,IF(N121="Target",-1,R121)))</f>
        <v/>
      </c>
      <c r="V121" s="36" t="str">
        <f aca="false">IF(OR(R121="",T121=""),"",IF(T121&gt;=3,3,IF(N121="Target",-1,R121)))</f>
        <v/>
      </c>
      <c r="W121" s="42" t="str">
        <f aca="false">IF(R121="","",ROUND(R121*(Inputs!$F$9+SUM(W$6:W120))*Inputs!$F$10,2))</f>
        <v/>
      </c>
      <c r="X121" s="42" t="str">
        <f aca="false">IF(R121="","",Inputs!$F$9+SUM(W$7:W121))</f>
        <v/>
      </c>
      <c r="Y121" s="43" t="str">
        <f aca="false">IF(S121="Yes",R121,"")</f>
        <v/>
      </c>
      <c r="Z121" s="43" t="str">
        <f aca="false">IF(Y121="","",SUM(Y$7:Y121))</f>
        <v/>
      </c>
      <c r="AA121" s="43" t="str">
        <f aca="false">IF(Y121="","",MAX(0,MAX(Z$7:Z121)))</f>
        <v/>
      </c>
      <c r="AB121" s="43" t="str">
        <f aca="false">IF(Y121="","",Z121-AA121)</f>
        <v/>
      </c>
    </row>
    <row r="122" customFormat="false" ht="15" hidden="false" customHeight="false" outlineLevel="0" collapsed="false">
      <c r="B122" s="38"/>
      <c r="C122" s="39" t="str">
        <f aca="false">IF(B122="","",INT((B122-Inputs!$F$8)/7)+1)</f>
        <v/>
      </c>
      <c r="D122" s="39" t="str">
        <f aca="false">IF(B122="","",COUNTIF(B$7:B122,B122))</f>
        <v/>
      </c>
      <c r="E122" s="34"/>
      <c r="F122" s="34"/>
      <c r="G122" s="34"/>
      <c r="H122" s="34"/>
      <c r="I122" s="34"/>
      <c r="J122" s="35"/>
      <c r="K122" s="35"/>
      <c r="L122" s="40" t="str">
        <f aca="false">IF(OR(J122="",K122=""),"",IF(G122="Long",J122+Inputs!$F$15*(J122-K122),J122-Inputs!$F$15*(K122-J122)))</f>
        <v/>
      </c>
      <c r="M122" s="35"/>
      <c r="N122" s="34"/>
      <c r="O122" s="35"/>
      <c r="P122" s="34"/>
      <c r="Q122" s="41"/>
      <c r="R122" s="36" t="str">
        <f aca="false">IF(OR(M122="",J122="",K122="",J122=K122),"",ROUND(IF(G122="Long",(M122-J122)/(J122-K122),(J122-M122)/(K122-J122)),2))</f>
        <v/>
      </c>
      <c r="S122" s="39" t="str">
        <f aca="false">IF(B122="","",IF(AND(I122="Y",OR(P122="None",P122="")),"Yes","No"))</f>
        <v/>
      </c>
      <c r="T122" s="36" t="str">
        <f aca="false">IF(OR(O122="",J122="",K122="",J122=K122),"",ROUND(IF(G122="Long",(O122-J122)/(J122-K122),(J122-O122)/(K122-J122)),2))</f>
        <v/>
      </c>
      <c r="U122" s="36" t="str">
        <f aca="false">IF(OR(R122="",T122=""),"",IF(T122&gt;=2,2,IF(N122="Target",-1,R122)))</f>
        <v/>
      </c>
      <c r="V122" s="36" t="str">
        <f aca="false">IF(OR(R122="",T122=""),"",IF(T122&gt;=3,3,IF(N122="Target",-1,R122)))</f>
        <v/>
      </c>
      <c r="W122" s="42" t="str">
        <f aca="false">IF(R122="","",ROUND(R122*(Inputs!$F$9+SUM(W$6:W121))*Inputs!$F$10,2))</f>
        <v/>
      </c>
      <c r="X122" s="42" t="str">
        <f aca="false">IF(R122="","",Inputs!$F$9+SUM(W$7:W122))</f>
        <v/>
      </c>
      <c r="Y122" s="43" t="str">
        <f aca="false">IF(S122="Yes",R122,"")</f>
        <v/>
      </c>
      <c r="Z122" s="43" t="str">
        <f aca="false">IF(Y122="","",SUM(Y$7:Y122))</f>
        <v/>
      </c>
      <c r="AA122" s="43" t="str">
        <f aca="false">IF(Y122="","",MAX(0,MAX(Z$7:Z122)))</f>
        <v/>
      </c>
      <c r="AB122" s="43" t="str">
        <f aca="false">IF(Y122="","",Z122-AA122)</f>
        <v/>
      </c>
    </row>
    <row r="123" customFormat="false" ht="15" hidden="false" customHeight="false" outlineLevel="0" collapsed="false">
      <c r="B123" s="38"/>
      <c r="C123" s="39" t="str">
        <f aca="false">IF(B123="","",INT((B123-Inputs!$F$8)/7)+1)</f>
        <v/>
      </c>
      <c r="D123" s="39" t="str">
        <f aca="false">IF(B123="","",COUNTIF(B$7:B123,B123))</f>
        <v/>
      </c>
      <c r="E123" s="34"/>
      <c r="F123" s="34"/>
      <c r="G123" s="34"/>
      <c r="H123" s="34"/>
      <c r="I123" s="34"/>
      <c r="J123" s="35"/>
      <c r="K123" s="35"/>
      <c r="L123" s="40" t="str">
        <f aca="false">IF(OR(J123="",K123=""),"",IF(G123="Long",J123+Inputs!$F$15*(J123-K123),J123-Inputs!$F$15*(K123-J123)))</f>
        <v/>
      </c>
      <c r="M123" s="35"/>
      <c r="N123" s="34"/>
      <c r="O123" s="35"/>
      <c r="P123" s="34"/>
      <c r="Q123" s="41"/>
      <c r="R123" s="36" t="str">
        <f aca="false">IF(OR(M123="",J123="",K123="",J123=K123),"",ROUND(IF(G123="Long",(M123-J123)/(J123-K123),(J123-M123)/(K123-J123)),2))</f>
        <v/>
      </c>
      <c r="S123" s="39" t="str">
        <f aca="false">IF(B123="","",IF(AND(I123="Y",OR(P123="None",P123="")),"Yes","No"))</f>
        <v/>
      </c>
      <c r="T123" s="36" t="str">
        <f aca="false">IF(OR(O123="",J123="",K123="",J123=K123),"",ROUND(IF(G123="Long",(O123-J123)/(J123-K123),(J123-O123)/(K123-J123)),2))</f>
        <v/>
      </c>
      <c r="U123" s="36" t="str">
        <f aca="false">IF(OR(R123="",T123=""),"",IF(T123&gt;=2,2,IF(N123="Target",-1,R123)))</f>
        <v/>
      </c>
      <c r="V123" s="36" t="str">
        <f aca="false">IF(OR(R123="",T123=""),"",IF(T123&gt;=3,3,IF(N123="Target",-1,R123)))</f>
        <v/>
      </c>
      <c r="W123" s="42" t="str">
        <f aca="false">IF(R123="","",ROUND(R123*(Inputs!$F$9+SUM(W$6:W122))*Inputs!$F$10,2))</f>
        <v/>
      </c>
      <c r="X123" s="42" t="str">
        <f aca="false">IF(R123="","",Inputs!$F$9+SUM(W$7:W123))</f>
        <v/>
      </c>
      <c r="Y123" s="43" t="str">
        <f aca="false">IF(S123="Yes",R123,"")</f>
        <v/>
      </c>
      <c r="Z123" s="43" t="str">
        <f aca="false">IF(Y123="","",SUM(Y$7:Y123))</f>
        <v/>
      </c>
      <c r="AA123" s="43" t="str">
        <f aca="false">IF(Y123="","",MAX(0,MAX(Z$7:Z123)))</f>
        <v/>
      </c>
      <c r="AB123" s="43" t="str">
        <f aca="false">IF(Y123="","",Z123-AA123)</f>
        <v/>
      </c>
    </row>
    <row r="124" customFormat="false" ht="15" hidden="false" customHeight="false" outlineLevel="0" collapsed="false">
      <c r="B124" s="38"/>
      <c r="C124" s="39" t="str">
        <f aca="false">IF(B124="","",INT((B124-Inputs!$F$8)/7)+1)</f>
        <v/>
      </c>
      <c r="D124" s="39" t="str">
        <f aca="false">IF(B124="","",COUNTIF(B$7:B124,B124))</f>
        <v/>
      </c>
      <c r="E124" s="34"/>
      <c r="F124" s="34"/>
      <c r="G124" s="34"/>
      <c r="H124" s="34"/>
      <c r="I124" s="34"/>
      <c r="J124" s="35"/>
      <c r="K124" s="35"/>
      <c r="L124" s="40" t="str">
        <f aca="false">IF(OR(J124="",K124=""),"",IF(G124="Long",J124+Inputs!$F$15*(J124-K124),J124-Inputs!$F$15*(K124-J124)))</f>
        <v/>
      </c>
      <c r="M124" s="35"/>
      <c r="N124" s="34"/>
      <c r="O124" s="35"/>
      <c r="P124" s="34"/>
      <c r="Q124" s="41"/>
      <c r="R124" s="36" t="str">
        <f aca="false">IF(OR(M124="",J124="",K124="",J124=K124),"",ROUND(IF(G124="Long",(M124-J124)/(J124-K124),(J124-M124)/(K124-J124)),2))</f>
        <v/>
      </c>
      <c r="S124" s="39" t="str">
        <f aca="false">IF(B124="","",IF(AND(I124="Y",OR(P124="None",P124="")),"Yes","No"))</f>
        <v/>
      </c>
      <c r="T124" s="36" t="str">
        <f aca="false">IF(OR(O124="",J124="",K124="",J124=K124),"",ROUND(IF(G124="Long",(O124-J124)/(J124-K124),(J124-O124)/(K124-J124)),2))</f>
        <v/>
      </c>
      <c r="U124" s="36" t="str">
        <f aca="false">IF(OR(R124="",T124=""),"",IF(T124&gt;=2,2,IF(N124="Target",-1,R124)))</f>
        <v/>
      </c>
      <c r="V124" s="36" t="str">
        <f aca="false">IF(OR(R124="",T124=""),"",IF(T124&gt;=3,3,IF(N124="Target",-1,R124)))</f>
        <v/>
      </c>
      <c r="W124" s="42" t="str">
        <f aca="false">IF(R124="","",ROUND(R124*(Inputs!$F$9+SUM(W$6:W123))*Inputs!$F$10,2))</f>
        <v/>
      </c>
      <c r="X124" s="42" t="str">
        <f aca="false">IF(R124="","",Inputs!$F$9+SUM(W$7:W124))</f>
        <v/>
      </c>
      <c r="Y124" s="43" t="str">
        <f aca="false">IF(S124="Yes",R124,"")</f>
        <v/>
      </c>
      <c r="Z124" s="43" t="str">
        <f aca="false">IF(Y124="","",SUM(Y$7:Y124))</f>
        <v/>
      </c>
      <c r="AA124" s="43" t="str">
        <f aca="false">IF(Y124="","",MAX(0,MAX(Z$7:Z124)))</f>
        <v/>
      </c>
      <c r="AB124" s="43" t="str">
        <f aca="false">IF(Y124="","",Z124-AA124)</f>
        <v/>
      </c>
    </row>
    <row r="125" customFormat="false" ht="15" hidden="false" customHeight="false" outlineLevel="0" collapsed="false">
      <c r="B125" s="38"/>
      <c r="C125" s="39" t="str">
        <f aca="false">IF(B125="","",INT((B125-Inputs!$F$8)/7)+1)</f>
        <v/>
      </c>
      <c r="D125" s="39" t="str">
        <f aca="false">IF(B125="","",COUNTIF(B$7:B125,B125))</f>
        <v/>
      </c>
      <c r="E125" s="34"/>
      <c r="F125" s="34"/>
      <c r="G125" s="34"/>
      <c r="H125" s="34"/>
      <c r="I125" s="34"/>
      <c r="J125" s="35"/>
      <c r="K125" s="35"/>
      <c r="L125" s="40" t="str">
        <f aca="false">IF(OR(J125="",K125=""),"",IF(G125="Long",J125+Inputs!$F$15*(J125-K125),J125-Inputs!$F$15*(K125-J125)))</f>
        <v/>
      </c>
      <c r="M125" s="35"/>
      <c r="N125" s="34"/>
      <c r="O125" s="35"/>
      <c r="P125" s="34"/>
      <c r="Q125" s="41"/>
      <c r="R125" s="36" t="str">
        <f aca="false">IF(OR(M125="",J125="",K125="",J125=K125),"",ROUND(IF(G125="Long",(M125-J125)/(J125-K125),(J125-M125)/(K125-J125)),2))</f>
        <v/>
      </c>
      <c r="S125" s="39" t="str">
        <f aca="false">IF(B125="","",IF(AND(I125="Y",OR(P125="None",P125="")),"Yes","No"))</f>
        <v/>
      </c>
      <c r="T125" s="36" t="str">
        <f aca="false">IF(OR(O125="",J125="",K125="",J125=K125),"",ROUND(IF(G125="Long",(O125-J125)/(J125-K125),(J125-O125)/(K125-J125)),2))</f>
        <v/>
      </c>
      <c r="U125" s="36" t="str">
        <f aca="false">IF(OR(R125="",T125=""),"",IF(T125&gt;=2,2,IF(N125="Target",-1,R125)))</f>
        <v/>
      </c>
      <c r="V125" s="36" t="str">
        <f aca="false">IF(OR(R125="",T125=""),"",IF(T125&gt;=3,3,IF(N125="Target",-1,R125)))</f>
        <v/>
      </c>
      <c r="W125" s="42" t="str">
        <f aca="false">IF(R125="","",ROUND(R125*(Inputs!$F$9+SUM(W$6:W124))*Inputs!$F$10,2))</f>
        <v/>
      </c>
      <c r="X125" s="42" t="str">
        <f aca="false">IF(R125="","",Inputs!$F$9+SUM(W$7:W125))</f>
        <v/>
      </c>
      <c r="Y125" s="43" t="str">
        <f aca="false">IF(S125="Yes",R125,"")</f>
        <v/>
      </c>
      <c r="Z125" s="43" t="str">
        <f aca="false">IF(Y125="","",SUM(Y$7:Y125))</f>
        <v/>
      </c>
      <c r="AA125" s="43" t="str">
        <f aca="false">IF(Y125="","",MAX(0,MAX(Z$7:Z125)))</f>
        <v/>
      </c>
      <c r="AB125" s="43" t="str">
        <f aca="false">IF(Y125="","",Z125-AA125)</f>
        <v/>
      </c>
    </row>
    <row r="126" customFormat="false" ht="15" hidden="false" customHeight="false" outlineLevel="0" collapsed="false">
      <c r="B126" s="38"/>
      <c r="C126" s="39" t="str">
        <f aca="false">IF(B126="","",INT((B126-Inputs!$F$8)/7)+1)</f>
        <v/>
      </c>
      <c r="D126" s="39" t="str">
        <f aca="false">IF(B126="","",COUNTIF(B$7:B126,B126))</f>
        <v/>
      </c>
      <c r="E126" s="34"/>
      <c r="F126" s="34"/>
      <c r="G126" s="34"/>
      <c r="H126" s="34"/>
      <c r="I126" s="34"/>
      <c r="J126" s="35"/>
      <c r="K126" s="35"/>
      <c r="L126" s="40" t="str">
        <f aca="false">IF(OR(J126="",K126=""),"",IF(G126="Long",J126+Inputs!$F$15*(J126-K126),J126-Inputs!$F$15*(K126-J126)))</f>
        <v/>
      </c>
      <c r="M126" s="35"/>
      <c r="N126" s="34"/>
      <c r="O126" s="35"/>
      <c r="P126" s="34"/>
      <c r="Q126" s="41"/>
      <c r="R126" s="36" t="str">
        <f aca="false">IF(OR(M126="",J126="",K126="",J126=K126),"",ROUND(IF(G126="Long",(M126-J126)/(J126-K126),(J126-M126)/(K126-J126)),2))</f>
        <v/>
      </c>
      <c r="S126" s="39" t="str">
        <f aca="false">IF(B126="","",IF(AND(I126="Y",OR(P126="None",P126="")),"Yes","No"))</f>
        <v/>
      </c>
      <c r="T126" s="36" t="str">
        <f aca="false">IF(OR(O126="",J126="",K126="",J126=K126),"",ROUND(IF(G126="Long",(O126-J126)/(J126-K126),(J126-O126)/(K126-J126)),2))</f>
        <v/>
      </c>
      <c r="U126" s="36" t="str">
        <f aca="false">IF(OR(R126="",T126=""),"",IF(T126&gt;=2,2,IF(N126="Target",-1,R126)))</f>
        <v/>
      </c>
      <c r="V126" s="36" t="str">
        <f aca="false">IF(OR(R126="",T126=""),"",IF(T126&gt;=3,3,IF(N126="Target",-1,R126)))</f>
        <v/>
      </c>
      <c r="W126" s="42" t="str">
        <f aca="false">IF(R126="","",ROUND(R126*(Inputs!$F$9+SUM(W$6:W125))*Inputs!$F$10,2))</f>
        <v/>
      </c>
      <c r="X126" s="42" t="str">
        <f aca="false">IF(R126="","",Inputs!$F$9+SUM(W$7:W126))</f>
        <v/>
      </c>
      <c r="Y126" s="43" t="str">
        <f aca="false">IF(S126="Yes",R126,"")</f>
        <v/>
      </c>
      <c r="Z126" s="43" t="str">
        <f aca="false">IF(Y126="","",SUM(Y$7:Y126))</f>
        <v/>
      </c>
      <c r="AA126" s="43" t="str">
        <f aca="false">IF(Y126="","",MAX(0,MAX(Z$7:Z126)))</f>
        <v/>
      </c>
      <c r="AB126" s="43" t="str">
        <f aca="false">IF(Y126="","",Z126-AA126)</f>
        <v/>
      </c>
    </row>
    <row r="127" customFormat="false" ht="15" hidden="false" customHeight="false" outlineLevel="0" collapsed="false">
      <c r="B127" s="38"/>
      <c r="C127" s="39" t="str">
        <f aca="false">IF(B127="","",INT((B127-Inputs!$F$8)/7)+1)</f>
        <v/>
      </c>
      <c r="D127" s="39" t="str">
        <f aca="false">IF(B127="","",COUNTIF(B$7:B127,B127))</f>
        <v/>
      </c>
      <c r="E127" s="34"/>
      <c r="F127" s="34"/>
      <c r="G127" s="34"/>
      <c r="H127" s="34"/>
      <c r="I127" s="34"/>
      <c r="J127" s="35"/>
      <c r="K127" s="35"/>
      <c r="L127" s="40" t="str">
        <f aca="false">IF(OR(J127="",K127=""),"",IF(G127="Long",J127+Inputs!$F$15*(J127-K127),J127-Inputs!$F$15*(K127-J127)))</f>
        <v/>
      </c>
      <c r="M127" s="35"/>
      <c r="N127" s="34"/>
      <c r="O127" s="35"/>
      <c r="P127" s="34"/>
      <c r="Q127" s="41"/>
      <c r="R127" s="36" t="str">
        <f aca="false">IF(OR(M127="",J127="",K127="",J127=K127),"",ROUND(IF(G127="Long",(M127-J127)/(J127-K127),(J127-M127)/(K127-J127)),2))</f>
        <v/>
      </c>
      <c r="S127" s="39" t="str">
        <f aca="false">IF(B127="","",IF(AND(I127="Y",OR(P127="None",P127="")),"Yes","No"))</f>
        <v/>
      </c>
      <c r="T127" s="36" t="str">
        <f aca="false">IF(OR(O127="",J127="",K127="",J127=K127),"",ROUND(IF(G127="Long",(O127-J127)/(J127-K127),(J127-O127)/(K127-J127)),2))</f>
        <v/>
      </c>
      <c r="U127" s="36" t="str">
        <f aca="false">IF(OR(R127="",T127=""),"",IF(T127&gt;=2,2,IF(N127="Target",-1,R127)))</f>
        <v/>
      </c>
      <c r="V127" s="36" t="str">
        <f aca="false">IF(OR(R127="",T127=""),"",IF(T127&gt;=3,3,IF(N127="Target",-1,R127)))</f>
        <v/>
      </c>
      <c r="W127" s="42" t="str">
        <f aca="false">IF(R127="","",ROUND(R127*(Inputs!$F$9+SUM(W$6:W126))*Inputs!$F$10,2))</f>
        <v/>
      </c>
      <c r="X127" s="42" t="str">
        <f aca="false">IF(R127="","",Inputs!$F$9+SUM(W$7:W127))</f>
        <v/>
      </c>
      <c r="Y127" s="43" t="str">
        <f aca="false">IF(S127="Yes",R127,"")</f>
        <v/>
      </c>
      <c r="Z127" s="43" t="str">
        <f aca="false">IF(Y127="","",SUM(Y$7:Y127))</f>
        <v/>
      </c>
      <c r="AA127" s="43" t="str">
        <f aca="false">IF(Y127="","",MAX(0,MAX(Z$7:Z127)))</f>
        <v/>
      </c>
      <c r="AB127" s="43" t="str">
        <f aca="false">IF(Y127="","",Z127-AA127)</f>
        <v/>
      </c>
    </row>
    <row r="128" customFormat="false" ht="15" hidden="false" customHeight="false" outlineLevel="0" collapsed="false">
      <c r="B128" s="38"/>
      <c r="C128" s="39" t="str">
        <f aca="false">IF(B128="","",INT((B128-Inputs!$F$8)/7)+1)</f>
        <v/>
      </c>
      <c r="D128" s="39" t="str">
        <f aca="false">IF(B128="","",COUNTIF(B$7:B128,B128))</f>
        <v/>
      </c>
      <c r="E128" s="34"/>
      <c r="F128" s="34"/>
      <c r="G128" s="34"/>
      <c r="H128" s="34"/>
      <c r="I128" s="34"/>
      <c r="J128" s="35"/>
      <c r="K128" s="35"/>
      <c r="L128" s="40" t="str">
        <f aca="false">IF(OR(J128="",K128=""),"",IF(G128="Long",J128+Inputs!$F$15*(J128-K128),J128-Inputs!$F$15*(K128-J128)))</f>
        <v/>
      </c>
      <c r="M128" s="35"/>
      <c r="N128" s="34"/>
      <c r="O128" s="35"/>
      <c r="P128" s="34"/>
      <c r="Q128" s="41"/>
      <c r="R128" s="36" t="str">
        <f aca="false">IF(OR(M128="",J128="",K128="",J128=K128),"",ROUND(IF(G128="Long",(M128-J128)/(J128-K128),(J128-M128)/(K128-J128)),2))</f>
        <v/>
      </c>
      <c r="S128" s="39" t="str">
        <f aca="false">IF(B128="","",IF(AND(I128="Y",OR(P128="None",P128="")),"Yes","No"))</f>
        <v/>
      </c>
      <c r="T128" s="36" t="str">
        <f aca="false">IF(OR(O128="",J128="",K128="",J128=K128),"",ROUND(IF(G128="Long",(O128-J128)/(J128-K128),(J128-O128)/(K128-J128)),2))</f>
        <v/>
      </c>
      <c r="U128" s="36" t="str">
        <f aca="false">IF(OR(R128="",T128=""),"",IF(T128&gt;=2,2,IF(N128="Target",-1,R128)))</f>
        <v/>
      </c>
      <c r="V128" s="36" t="str">
        <f aca="false">IF(OR(R128="",T128=""),"",IF(T128&gt;=3,3,IF(N128="Target",-1,R128)))</f>
        <v/>
      </c>
      <c r="W128" s="42" t="str">
        <f aca="false">IF(R128="","",ROUND(R128*(Inputs!$F$9+SUM(W$6:W127))*Inputs!$F$10,2))</f>
        <v/>
      </c>
      <c r="X128" s="42" t="str">
        <f aca="false">IF(R128="","",Inputs!$F$9+SUM(W$7:W128))</f>
        <v/>
      </c>
      <c r="Y128" s="43" t="str">
        <f aca="false">IF(S128="Yes",R128,"")</f>
        <v/>
      </c>
      <c r="Z128" s="43" t="str">
        <f aca="false">IF(Y128="","",SUM(Y$7:Y128))</f>
        <v/>
      </c>
      <c r="AA128" s="43" t="str">
        <f aca="false">IF(Y128="","",MAX(0,MAX(Z$7:Z128)))</f>
        <v/>
      </c>
      <c r="AB128" s="43" t="str">
        <f aca="false">IF(Y128="","",Z128-AA128)</f>
        <v/>
      </c>
    </row>
    <row r="129" customFormat="false" ht="15" hidden="false" customHeight="false" outlineLevel="0" collapsed="false">
      <c r="B129" s="38"/>
      <c r="C129" s="39" t="str">
        <f aca="false">IF(B129="","",INT((B129-Inputs!$F$8)/7)+1)</f>
        <v/>
      </c>
      <c r="D129" s="39" t="str">
        <f aca="false">IF(B129="","",COUNTIF(B$7:B129,B129))</f>
        <v/>
      </c>
      <c r="E129" s="34"/>
      <c r="F129" s="34"/>
      <c r="G129" s="34"/>
      <c r="H129" s="34"/>
      <c r="I129" s="34"/>
      <c r="J129" s="35"/>
      <c r="K129" s="35"/>
      <c r="L129" s="40" t="str">
        <f aca="false">IF(OR(J129="",K129=""),"",IF(G129="Long",J129+Inputs!$F$15*(J129-K129),J129-Inputs!$F$15*(K129-J129)))</f>
        <v/>
      </c>
      <c r="M129" s="35"/>
      <c r="N129" s="34"/>
      <c r="O129" s="35"/>
      <c r="P129" s="34"/>
      <c r="Q129" s="41"/>
      <c r="R129" s="36" t="str">
        <f aca="false">IF(OR(M129="",J129="",K129="",J129=K129),"",ROUND(IF(G129="Long",(M129-J129)/(J129-K129),(J129-M129)/(K129-J129)),2))</f>
        <v/>
      </c>
      <c r="S129" s="39" t="str">
        <f aca="false">IF(B129="","",IF(AND(I129="Y",OR(P129="None",P129="")),"Yes","No"))</f>
        <v/>
      </c>
      <c r="T129" s="36" t="str">
        <f aca="false">IF(OR(O129="",J129="",K129="",J129=K129),"",ROUND(IF(G129="Long",(O129-J129)/(J129-K129),(J129-O129)/(K129-J129)),2))</f>
        <v/>
      </c>
      <c r="U129" s="36" t="str">
        <f aca="false">IF(OR(R129="",T129=""),"",IF(T129&gt;=2,2,IF(N129="Target",-1,R129)))</f>
        <v/>
      </c>
      <c r="V129" s="36" t="str">
        <f aca="false">IF(OR(R129="",T129=""),"",IF(T129&gt;=3,3,IF(N129="Target",-1,R129)))</f>
        <v/>
      </c>
      <c r="W129" s="42" t="str">
        <f aca="false">IF(R129="","",ROUND(R129*(Inputs!$F$9+SUM(W$6:W128))*Inputs!$F$10,2))</f>
        <v/>
      </c>
      <c r="X129" s="42" t="str">
        <f aca="false">IF(R129="","",Inputs!$F$9+SUM(W$7:W129))</f>
        <v/>
      </c>
      <c r="Y129" s="43" t="str">
        <f aca="false">IF(S129="Yes",R129,"")</f>
        <v/>
      </c>
      <c r="Z129" s="43" t="str">
        <f aca="false">IF(Y129="","",SUM(Y$7:Y129))</f>
        <v/>
      </c>
      <c r="AA129" s="43" t="str">
        <f aca="false">IF(Y129="","",MAX(0,MAX(Z$7:Z129)))</f>
        <v/>
      </c>
      <c r="AB129" s="43" t="str">
        <f aca="false">IF(Y129="","",Z129-AA129)</f>
        <v/>
      </c>
    </row>
    <row r="130" customFormat="false" ht="15" hidden="false" customHeight="false" outlineLevel="0" collapsed="false">
      <c r="B130" s="38"/>
      <c r="C130" s="39" t="str">
        <f aca="false">IF(B130="","",INT((B130-Inputs!$F$8)/7)+1)</f>
        <v/>
      </c>
      <c r="D130" s="39" t="str">
        <f aca="false">IF(B130="","",COUNTIF(B$7:B130,B130))</f>
        <v/>
      </c>
      <c r="E130" s="34"/>
      <c r="F130" s="34"/>
      <c r="G130" s="34"/>
      <c r="H130" s="34"/>
      <c r="I130" s="34"/>
      <c r="J130" s="35"/>
      <c r="K130" s="35"/>
      <c r="L130" s="40" t="str">
        <f aca="false">IF(OR(J130="",K130=""),"",IF(G130="Long",J130+Inputs!$F$15*(J130-K130),J130-Inputs!$F$15*(K130-J130)))</f>
        <v/>
      </c>
      <c r="M130" s="35"/>
      <c r="N130" s="34"/>
      <c r="O130" s="35"/>
      <c r="P130" s="34"/>
      <c r="Q130" s="41"/>
      <c r="R130" s="36" t="str">
        <f aca="false">IF(OR(M130="",J130="",K130="",J130=K130),"",ROUND(IF(G130="Long",(M130-J130)/(J130-K130),(J130-M130)/(K130-J130)),2))</f>
        <v/>
      </c>
      <c r="S130" s="39" t="str">
        <f aca="false">IF(B130="","",IF(AND(I130="Y",OR(P130="None",P130="")),"Yes","No"))</f>
        <v/>
      </c>
      <c r="T130" s="36" t="str">
        <f aca="false">IF(OR(O130="",J130="",K130="",J130=K130),"",ROUND(IF(G130="Long",(O130-J130)/(J130-K130),(J130-O130)/(K130-J130)),2))</f>
        <v/>
      </c>
      <c r="U130" s="36" t="str">
        <f aca="false">IF(OR(R130="",T130=""),"",IF(T130&gt;=2,2,IF(N130="Target",-1,R130)))</f>
        <v/>
      </c>
      <c r="V130" s="36" t="str">
        <f aca="false">IF(OR(R130="",T130=""),"",IF(T130&gt;=3,3,IF(N130="Target",-1,R130)))</f>
        <v/>
      </c>
      <c r="W130" s="42" t="str">
        <f aca="false">IF(R130="","",ROUND(R130*(Inputs!$F$9+SUM(W$6:W129))*Inputs!$F$10,2))</f>
        <v/>
      </c>
      <c r="X130" s="42" t="str">
        <f aca="false">IF(R130="","",Inputs!$F$9+SUM(W$7:W130))</f>
        <v/>
      </c>
      <c r="Y130" s="43" t="str">
        <f aca="false">IF(S130="Yes",R130,"")</f>
        <v/>
      </c>
      <c r="Z130" s="43" t="str">
        <f aca="false">IF(Y130="","",SUM(Y$7:Y130))</f>
        <v/>
      </c>
      <c r="AA130" s="43" t="str">
        <f aca="false">IF(Y130="","",MAX(0,MAX(Z$7:Z130)))</f>
        <v/>
      </c>
      <c r="AB130" s="43" t="str">
        <f aca="false">IF(Y130="","",Z130-AA130)</f>
        <v/>
      </c>
    </row>
    <row r="131" customFormat="false" ht="15" hidden="false" customHeight="false" outlineLevel="0" collapsed="false">
      <c r="B131" s="38"/>
      <c r="C131" s="39" t="str">
        <f aca="false">IF(B131="","",INT((B131-Inputs!$F$8)/7)+1)</f>
        <v/>
      </c>
      <c r="D131" s="39" t="str">
        <f aca="false">IF(B131="","",COUNTIF(B$7:B131,B131))</f>
        <v/>
      </c>
      <c r="E131" s="34"/>
      <c r="F131" s="34"/>
      <c r="G131" s="34"/>
      <c r="H131" s="34"/>
      <c r="I131" s="34"/>
      <c r="J131" s="35"/>
      <c r="K131" s="35"/>
      <c r="L131" s="40" t="str">
        <f aca="false">IF(OR(J131="",K131=""),"",IF(G131="Long",J131+Inputs!$F$15*(J131-K131),J131-Inputs!$F$15*(K131-J131)))</f>
        <v/>
      </c>
      <c r="M131" s="35"/>
      <c r="N131" s="34"/>
      <c r="O131" s="35"/>
      <c r="P131" s="34"/>
      <c r="Q131" s="41"/>
      <c r="R131" s="36" t="str">
        <f aca="false">IF(OR(M131="",J131="",K131="",J131=K131),"",ROUND(IF(G131="Long",(M131-J131)/(J131-K131),(J131-M131)/(K131-J131)),2))</f>
        <v/>
      </c>
      <c r="S131" s="39" t="str">
        <f aca="false">IF(B131="","",IF(AND(I131="Y",OR(P131="None",P131="")),"Yes","No"))</f>
        <v/>
      </c>
      <c r="T131" s="36" t="str">
        <f aca="false">IF(OR(O131="",J131="",K131="",J131=K131),"",ROUND(IF(G131="Long",(O131-J131)/(J131-K131),(J131-O131)/(K131-J131)),2))</f>
        <v/>
      </c>
      <c r="U131" s="36" t="str">
        <f aca="false">IF(OR(R131="",T131=""),"",IF(T131&gt;=2,2,IF(N131="Target",-1,R131)))</f>
        <v/>
      </c>
      <c r="V131" s="36" t="str">
        <f aca="false">IF(OR(R131="",T131=""),"",IF(T131&gt;=3,3,IF(N131="Target",-1,R131)))</f>
        <v/>
      </c>
      <c r="W131" s="42" t="str">
        <f aca="false">IF(R131="","",ROUND(R131*(Inputs!$F$9+SUM(W$6:W130))*Inputs!$F$10,2))</f>
        <v/>
      </c>
      <c r="X131" s="42" t="str">
        <f aca="false">IF(R131="","",Inputs!$F$9+SUM(W$7:W131))</f>
        <v/>
      </c>
      <c r="Y131" s="43" t="str">
        <f aca="false">IF(S131="Yes",R131,"")</f>
        <v/>
      </c>
      <c r="Z131" s="43" t="str">
        <f aca="false">IF(Y131="","",SUM(Y$7:Y131))</f>
        <v/>
      </c>
      <c r="AA131" s="43" t="str">
        <f aca="false">IF(Y131="","",MAX(0,MAX(Z$7:Z131)))</f>
        <v/>
      </c>
      <c r="AB131" s="43" t="str">
        <f aca="false">IF(Y131="","",Z131-AA131)</f>
        <v/>
      </c>
    </row>
    <row r="132" customFormat="false" ht="15" hidden="false" customHeight="false" outlineLevel="0" collapsed="false">
      <c r="B132" s="38"/>
      <c r="C132" s="39" t="str">
        <f aca="false">IF(B132="","",INT((B132-Inputs!$F$8)/7)+1)</f>
        <v/>
      </c>
      <c r="D132" s="39" t="str">
        <f aca="false">IF(B132="","",COUNTIF(B$7:B132,B132))</f>
        <v/>
      </c>
      <c r="E132" s="34"/>
      <c r="F132" s="34"/>
      <c r="G132" s="34"/>
      <c r="H132" s="34"/>
      <c r="I132" s="34"/>
      <c r="J132" s="35"/>
      <c r="K132" s="35"/>
      <c r="L132" s="40" t="str">
        <f aca="false">IF(OR(J132="",K132=""),"",IF(G132="Long",J132+Inputs!$F$15*(J132-K132),J132-Inputs!$F$15*(K132-J132)))</f>
        <v/>
      </c>
      <c r="M132" s="35"/>
      <c r="N132" s="34"/>
      <c r="O132" s="35"/>
      <c r="P132" s="34"/>
      <c r="Q132" s="41"/>
      <c r="R132" s="36" t="str">
        <f aca="false">IF(OR(M132="",J132="",K132="",J132=K132),"",ROUND(IF(G132="Long",(M132-J132)/(J132-K132),(J132-M132)/(K132-J132)),2))</f>
        <v/>
      </c>
      <c r="S132" s="39" t="str">
        <f aca="false">IF(B132="","",IF(AND(I132="Y",OR(P132="None",P132="")),"Yes","No"))</f>
        <v/>
      </c>
      <c r="T132" s="36" t="str">
        <f aca="false">IF(OR(O132="",J132="",K132="",J132=K132),"",ROUND(IF(G132="Long",(O132-J132)/(J132-K132),(J132-O132)/(K132-J132)),2))</f>
        <v/>
      </c>
      <c r="U132" s="36" t="str">
        <f aca="false">IF(OR(R132="",T132=""),"",IF(T132&gt;=2,2,IF(N132="Target",-1,R132)))</f>
        <v/>
      </c>
      <c r="V132" s="36" t="str">
        <f aca="false">IF(OR(R132="",T132=""),"",IF(T132&gt;=3,3,IF(N132="Target",-1,R132)))</f>
        <v/>
      </c>
      <c r="W132" s="42" t="str">
        <f aca="false">IF(R132="","",ROUND(R132*(Inputs!$F$9+SUM(W$6:W131))*Inputs!$F$10,2))</f>
        <v/>
      </c>
      <c r="X132" s="42" t="str">
        <f aca="false">IF(R132="","",Inputs!$F$9+SUM(W$7:W132))</f>
        <v/>
      </c>
      <c r="Y132" s="43" t="str">
        <f aca="false">IF(S132="Yes",R132,"")</f>
        <v/>
      </c>
      <c r="Z132" s="43" t="str">
        <f aca="false">IF(Y132="","",SUM(Y$7:Y132))</f>
        <v/>
      </c>
      <c r="AA132" s="43" t="str">
        <f aca="false">IF(Y132="","",MAX(0,MAX(Z$7:Z132)))</f>
        <v/>
      </c>
      <c r="AB132" s="43" t="str">
        <f aca="false">IF(Y132="","",Z132-AA132)</f>
        <v/>
      </c>
    </row>
    <row r="133" customFormat="false" ht="15" hidden="false" customHeight="false" outlineLevel="0" collapsed="false">
      <c r="B133" s="38"/>
      <c r="C133" s="39" t="str">
        <f aca="false">IF(B133="","",INT((B133-Inputs!$F$8)/7)+1)</f>
        <v/>
      </c>
      <c r="D133" s="39" t="str">
        <f aca="false">IF(B133="","",COUNTIF(B$7:B133,B133))</f>
        <v/>
      </c>
      <c r="E133" s="34"/>
      <c r="F133" s="34"/>
      <c r="G133" s="34"/>
      <c r="H133" s="34"/>
      <c r="I133" s="34"/>
      <c r="J133" s="35"/>
      <c r="K133" s="35"/>
      <c r="L133" s="40" t="str">
        <f aca="false">IF(OR(J133="",K133=""),"",IF(G133="Long",J133+Inputs!$F$15*(J133-K133),J133-Inputs!$F$15*(K133-J133)))</f>
        <v/>
      </c>
      <c r="M133" s="35"/>
      <c r="N133" s="34"/>
      <c r="O133" s="35"/>
      <c r="P133" s="34"/>
      <c r="Q133" s="41"/>
      <c r="R133" s="36" t="str">
        <f aca="false">IF(OR(M133="",J133="",K133="",J133=K133),"",ROUND(IF(G133="Long",(M133-J133)/(J133-K133),(J133-M133)/(K133-J133)),2))</f>
        <v/>
      </c>
      <c r="S133" s="39" t="str">
        <f aca="false">IF(B133="","",IF(AND(I133="Y",OR(P133="None",P133="")),"Yes","No"))</f>
        <v/>
      </c>
      <c r="T133" s="36" t="str">
        <f aca="false">IF(OR(O133="",J133="",K133="",J133=K133),"",ROUND(IF(G133="Long",(O133-J133)/(J133-K133),(J133-O133)/(K133-J133)),2))</f>
        <v/>
      </c>
      <c r="U133" s="36" t="str">
        <f aca="false">IF(OR(R133="",T133=""),"",IF(T133&gt;=2,2,IF(N133="Target",-1,R133)))</f>
        <v/>
      </c>
      <c r="V133" s="36" t="str">
        <f aca="false">IF(OR(R133="",T133=""),"",IF(T133&gt;=3,3,IF(N133="Target",-1,R133)))</f>
        <v/>
      </c>
      <c r="W133" s="42" t="str">
        <f aca="false">IF(R133="","",ROUND(R133*(Inputs!$F$9+SUM(W$6:W132))*Inputs!$F$10,2))</f>
        <v/>
      </c>
      <c r="X133" s="42" t="str">
        <f aca="false">IF(R133="","",Inputs!$F$9+SUM(W$7:W133))</f>
        <v/>
      </c>
      <c r="Y133" s="43" t="str">
        <f aca="false">IF(S133="Yes",R133,"")</f>
        <v/>
      </c>
      <c r="Z133" s="43" t="str">
        <f aca="false">IF(Y133="","",SUM(Y$7:Y133))</f>
        <v/>
      </c>
      <c r="AA133" s="43" t="str">
        <f aca="false">IF(Y133="","",MAX(0,MAX(Z$7:Z133)))</f>
        <v/>
      </c>
      <c r="AB133" s="43" t="str">
        <f aca="false">IF(Y133="","",Z133-AA133)</f>
        <v/>
      </c>
    </row>
    <row r="134" customFormat="false" ht="15" hidden="false" customHeight="false" outlineLevel="0" collapsed="false">
      <c r="B134" s="38"/>
      <c r="C134" s="39" t="str">
        <f aca="false">IF(B134="","",INT((B134-Inputs!$F$8)/7)+1)</f>
        <v/>
      </c>
      <c r="D134" s="39" t="str">
        <f aca="false">IF(B134="","",COUNTIF(B$7:B134,B134))</f>
        <v/>
      </c>
      <c r="E134" s="34"/>
      <c r="F134" s="34"/>
      <c r="G134" s="34"/>
      <c r="H134" s="34"/>
      <c r="I134" s="34"/>
      <c r="J134" s="35"/>
      <c r="K134" s="35"/>
      <c r="L134" s="40" t="str">
        <f aca="false">IF(OR(J134="",K134=""),"",IF(G134="Long",J134+Inputs!$F$15*(J134-K134),J134-Inputs!$F$15*(K134-J134)))</f>
        <v/>
      </c>
      <c r="M134" s="35"/>
      <c r="N134" s="34"/>
      <c r="O134" s="35"/>
      <c r="P134" s="34"/>
      <c r="Q134" s="41"/>
      <c r="R134" s="36" t="str">
        <f aca="false">IF(OR(M134="",J134="",K134="",J134=K134),"",ROUND(IF(G134="Long",(M134-J134)/(J134-K134),(J134-M134)/(K134-J134)),2))</f>
        <v/>
      </c>
      <c r="S134" s="39" t="str">
        <f aca="false">IF(B134="","",IF(AND(I134="Y",OR(P134="None",P134="")),"Yes","No"))</f>
        <v/>
      </c>
      <c r="T134" s="36" t="str">
        <f aca="false">IF(OR(O134="",J134="",K134="",J134=K134),"",ROUND(IF(G134="Long",(O134-J134)/(J134-K134),(J134-O134)/(K134-J134)),2))</f>
        <v/>
      </c>
      <c r="U134" s="36" t="str">
        <f aca="false">IF(OR(R134="",T134=""),"",IF(T134&gt;=2,2,IF(N134="Target",-1,R134)))</f>
        <v/>
      </c>
      <c r="V134" s="36" t="str">
        <f aca="false">IF(OR(R134="",T134=""),"",IF(T134&gt;=3,3,IF(N134="Target",-1,R134)))</f>
        <v/>
      </c>
      <c r="W134" s="42" t="str">
        <f aca="false">IF(R134="","",ROUND(R134*(Inputs!$F$9+SUM(W$6:W133))*Inputs!$F$10,2))</f>
        <v/>
      </c>
      <c r="X134" s="42" t="str">
        <f aca="false">IF(R134="","",Inputs!$F$9+SUM(W$7:W134))</f>
        <v/>
      </c>
      <c r="Y134" s="43" t="str">
        <f aca="false">IF(S134="Yes",R134,"")</f>
        <v/>
      </c>
      <c r="Z134" s="43" t="str">
        <f aca="false">IF(Y134="","",SUM(Y$7:Y134))</f>
        <v/>
      </c>
      <c r="AA134" s="43" t="str">
        <f aca="false">IF(Y134="","",MAX(0,MAX(Z$7:Z134)))</f>
        <v/>
      </c>
      <c r="AB134" s="43" t="str">
        <f aca="false">IF(Y134="","",Z134-AA134)</f>
        <v/>
      </c>
    </row>
    <row r="135" customFormat="false" ht="15" hidden="false" customHeight="false" outlineLevel="0" collapsed="false">
      <c r="B135" s="38"/>
      <c r="C135" s="39" t="str">
        <f aca="false">IF(B135="","",INT((B135-Inputs!$F$8)/7)+1)</f>
        <v/>
      </c>
      <c r="D135" s="39" t="str">
        <f aca="false">IF(B135="","",COUNTIF(B$7:B135,B135))</f>
        <v/>
      </c>
      <c r="E135" s="34"/>
      <c r="F135" s="34"/>
      <c r="G135" s="34"/>
      <c r="H135" s="34"/>
      <c r="I135" s="34"/>
      <c r="J135" s="35"/>
      <c r="K135" s="35"/>
      <c r="L135" s="40" t="str">
        <f aca="false">IF(OR(J135="",K135=""),"",IF(G135="Long",J135+Inputs!$F$15*(J135-K135),J135-Inputs!$F$15*(K135-J135)))</f>
        <v/>
      </c>
      <c r="M135" s="35"/>
      <c r="N135" s="34"/>
      <c r="O135" s="35"/>
      <c r="P135" s="34"/>
      <c r="Q135" s="41"/>
      <c r="R135" s="36" t="str">
        <f aca="false">IF(OR(M135="",J135="",K135="",J135=K135),"",ROUND(IF(G135="Long",(M135-J135)/(J135-K135),(J135-M135)/(K135-J135)),2))</f>
        <v/>
      </c>
      <c r="S135" s="39" t="str">
        <f aca="false">IF(B135="","",IF(AND(I135="Y",OR(P135="None",P135="")),"Yes","No"))</f>
        <v/>
      </c>
      <c r="T135" s="36" t="str">
        <f aca="false">IF(OR(O135="",J135="",K135="",J135=K135),"",ROUND(IF(G135="Long",(O135-J135)/(J135-K135),(J135-O135)/(K135-J135)),2))</f>
        <v/>
      </c>
      <c r="U135" s="36" t="str">
        <f aca="false">IF(OR(R135="",T135=""),"",IF(T135&gt;=2,2,IF(N135="Target",-1,R135)))</f>
        <v/>
      </c>
      <c r="V135" s="36" t="str">
        <f aca="false">IF(OR(R135="",T135=""),"",IF(T135&gt;=3,3,IF(N135="Target",-1,R135)))</f>
        <v/>
      </c>
      <c r="W135" s="42" t="str">
        <f aca="false">IF(R135="","",ROUND(R135*(Inputs!$F$9+SUM(W$6:W134))*Inputs!$F$10,2))</f>
        <v/>
      </c>
      <c r="X135" s="42" t="str">
        <f aca="false">IF(R135="","",Inputs!$F$9+SUM(W$7:W135))</f>
        <v/>
      </c>
      <c r="Y135" s="43" t="str">
        <f aca="false">IF(S135="Yes",R135,"")</f>
        <v/>
      </c>
      <c r="Z135" s="43" t="str">
        <f aca="false">IF(Y135="","",SUM(Y$7:Y135))</f>
        <v/>
      </c>
      <c r="AA135" s="43" t="str">
        <f aca="false">IF(Y135="","",MAX(0,MAX(Z$7:Z135)))</f>
        <v/>
      </c>
      <c r="AB135" s="43" t="str">
        <f aca="false">IF(Y135="","",Z135-AA135)</f>
        <v/>
      </c>
    </row>
    <row r="136" customFormat="false" ht="15" hidden="false" customHeight="false" outlineLevel="0" collapsed="false">
      <c r="B136" s="38"/>
      <c r="C136" s="39" t="str">
        <f aca="false">IF(B136="","",INT((B136-Inputs!$F$8)/7)+1)</f>
        <v/>
      </c>
      <c r="D136" s="39" t="str">
        <f aca="false">IF(B136="","",COUNTIF(B$7:B136,B136))</f>
        <v/>
      </c>
      <c r="E136" s="34"/>
      <c r="F136" s="34"/>
      <c r="G136" s="34"/>
      <c r="H136" s="34"/>
      <c r="I136" s="34"/>
      <c r="J136" s="35"/>
      <c r="K136" s="35"/>
      <c r="L136" s="40" t="str">
        <f aca="false">IF(OR(J136="",K136=""),"",IF(G136="Long",J136+Inputs!$F$15*(J136-K136),J136-Inputs!$F$15*(K136-J136)))</f>
        <v/>
      </c>
      <c r="M136" s="35"/>
      <c r="N136" s="34"/>
      <c r="O136" s="35"/>
      <c r="P136" s="34"/>
      <c r="Q136" s="41"/>
      <c r="R136" s="36" t="str">
        <f aca="false">IF(OR(M136="",J136="",K136="",J136=K136),"",ROUND(IF(G136="Long",(M136-J136)/(J136-K136),(J136-M136)/(K136-J136)),2))</f>
        <v/>
      </c>
      <c r="S136" s="39" t="str">
        <f aca="false">IF(B136="","",IF(AND(I136="Y",OR(P136="None",P136="")),"Yes","No"))</f>
        <v/>
      </c>
      <c r="T136" s="36" t="str">
        <f aca="false">IF(OR(O136="",J136="",K136="",J136=K136),"",ROUND(IF(G136="Long",(O136-J136)/(J136-K136),(J136-O136)/(K136-J136)),2))</f>
        <v/>
      </c>
      <c r="U136" s="36" t="str">
        <f aca="false">IF(OR(R136="",T136=""),"",IF(T136&gt;=2,2,IF(N136="Target",-1,R136)))</f>
        <v/>
      </c>
      <c r="V136" s="36" t="str">
        <f aca="false">IF(OR(R136="",T136=""),"",IF(T136&gt;=3,3,IF(N136="Target",-1,R136)))</f>
        <v/>
      </c>
      <c r="W136" s="42" t="str">
        <f aca="false">IF(R136="","",ROUND(R136*(Inputs!$F$9+SUM(W$6:W135))*Inputs!$F$10,2))</f>
        <v/>
      </c>
      <c r="X136" s="42" t="str">
        <f aca="false">IF(R136="","",Inputs!$F$9+SUM(W$7:W136))</f>
        <v/>
      </c>
      <c r="Y136" s="43" t="str">
        <f aca="false">IF(S136="Yes",R136,"")</f>
        <v/>
      </c>
      <c r="Z136" s="43" t="str">
        <f aca="false">IF(Y136="","",SUM(Y$7:Y136))</f>
        <v/>
      </c>
      <c r="AA136" s="43" t="str">
        <f aca="false">IF(Y136="","",MAX(0,MAX(Z$7:Z136)))</f>
        <v/>
      </c>
      <c r="AB136" s="43" t="str">
        <f aca="false">IF(Y136="","",Z136-AA136)</f>
        <v/>
      </c>
    </row>
    <row r="137" customFormat="false" ht="15" hidden="false" customHeight="false" outlineLevel="0" collapsed="false">
      <c r="B137" s="38"/>
      <c r="C137" s="39" t="str">
        <f aca="false">IF(B137="","",INT((B137-Inputs!$F$8)/7)+1)</f>
        <v/>
      </c>
      <c r="D137" s="39" t="str">
        <f aca="false">IF(B137="","",COUNTIF(B$7:B137,B137))</f>
        <v/>
      </c>
      <c r="E137" s="34"/>
      <c r="F137" s="34"/>
      <c r="G137" s="34"/>
      <c r="H137" s="34"/>
      <c r="I137" s="34"/>
      <c r="J137" s="35"/>
      <c r="K137" s="35"/>
      <c r="L137" s="40" t="str">
        <f aca="false">IF(OR(J137="",K137=""),"",IF(G137="Long",J137+Inputs!$F$15*(J137-K137),J137-Inputs!$F$15*(K137-J137)))</f>
        <v/>
      </c>
      <c r="M137" s="35"/>
      <c r="N137" s="34"/>
      <c r="O137" s="35"/>
      <c r="P137" s="34"/>
      <c r="Q137" s="41"/>
      <c r="R137" s="36" t="str">
        <f aca="false">IF(OR(M137="",J137="",K137="",J137=K137),"",ROUND(IF(G137="Long",(M137-J137)/(J137-K137),(J137-M137)/(K137-J137)),2))</f>
        <v/>
      </c>
      <c r="S137" s="39" t="str">
        <f aca="false">IF(B137="","",IF(AND(I137="Y",OR(P137="None",P137="")),"Yes","No"))</f>
        <v/>
      </c>
      <c r="T137" s="36" t="str">
        <f aca="false">IF(OR(O137="",J137="",K137="",J137=K137),"",ROUND(IF(G137="Long",(O137-J137)/(J137-K137),(J137-O137)/(K137-J137)),2))</f>
        <v/>
      </c>
      <c r="U137" s="36" t="str">
        <f aca="false">IF(OR(R137="",T137=""),"",IF(T137&gt;=2,2,IF(N137="Target",-1,R137)))</f>
        <v/>
      </c>
      <c r="V137" s="36" t="str">
        <f aca="false">IF(OR(R137="",T137=""),"",IF(T137&gt;=3,3,IF(N137="Target",-1,R137)))</f>
        <v/>
      </c>
      <c r="W137" s="42" t="str">
        <f aca="false">IF(R137="","",ROUND(R137*(Inputs!$F$9+SUM(W$6:W136))*Inputs!$F$10,2))</f>
        <v/>
      </c>
      <c r="X137" s="42" t="str">
        <f aca="false">IF(R137="","",Inputs!$F$9+SUM(W$7:W137))</f>
        <v/>
      </c>
      <c r="Y137" s="43" t="str">
        <f aca="false">IF(S137="Yes",R137,"")</f>
        <v/>
      </c>
      <c r="Z137" s="43" t="str">
        <f aca="false">IF(Y137="","",SUM(Y$7:Y137))</f>
        <v/>
      </c>
      <c r="AA137" s="43" t="str">
        <f aca="false">IF(Y137="","",MAX(0,MAX(Z$7:Z137)))</f>
        <v/>
      </c>
      <c r="AB137" s="43" t="str">
        <f aca="false">IF(Y137="","",Z137-AA137)</f>
        <v/>
      </c>
    </row>
    <row r="138" customFormat="false" ht="15" hidden="false" customHeight="false" outlineLevel="0" collapsed="false">
      <c r="B138" s="38"/>
      <c r="C138" s="39" t="str">
        <f aca="false">IF(B138="","",INT((B138-Inputs!$F$8)/7)+1)</f>
        <v/>
      </c>
      <c r="D138" s="39" t="str">
        <f aca="false">IF(B138="","",COUNTIF(B$7:B138,B138))</f>
        <v/>
      </c>
      <c r="E138" s="34"/>
      <c r="F138" s="34"/>
      <c r="G138" s="34"/>
      <c r="H138" s="34"/>
      <c r="I138" s="34"/>
      <c r="J138" s="35"/>
      <c r="K138" s="35"/>
      <c r="L138" s="40" t="str">
        <f aca="false">IF(OR(J138="",K138=""),"",IF(G138="Long",J138+Inputs!$F$15*(J138-K138),J138-Inputs!$F$15*(K138-J138)))</f>
        <v/>
      </c>
      <c r="M138" s="35"/>
      <c r="N138" s="34"/>
      <c r="O138" s="35"/>
      <c r="P138" s="34"/>
      <c r="Q138" s="41"/>
      <c r="R138" s="36" t="str">
        <f aca="false">IF(OR(M138="",J138="",K138="",J138=K138),"",ROUND(IF(G138="Long",(M138-J138)/(J138-K138),(J138-M138)/(K138-J138)),2))</f>
        <v/>
      </c>
      <c r="S138" s="39" t="str">
        <f aca="false">IF(B138="","",IF(AND(I138="Y",OR(P138="None",P138="")),"Yes","No"))</f>
        <v/>
      </c>
      <c r="T138" s="36" t="str">
        <f aca="false">IF(OR(O138="",J138="",K138="",J138=K138),"",ROUND(IF(G138="Long",(O138-J138)/(J138-K138),(J138-O138)/(K138-J138)),2))</f>
        <v/>
      </c>
      <c r="U138" s="36" t="str">
        <f aca="false">IF(OR(R138="",T138=""),"",IF(T138&gt;=2,2,IF(N138="Target",-1,R138)))</f>
        <v/>
      </c>
      <c r="V138" s="36" t="str">
        <f aca="false">IF(OR(R138="",T138=""),"",IF(T138&gt;=3,3,IF(N138="Target",-1,R138)))</f>
        <v/>
      </c>
      <c r="W138" s="42" t="str">
        <f aca="false">IF(R138="","",ROUND(R138*(Inputs!$F$9+SUM(W$6:W137))*Inputs!$F$10,2))</f>
        <v/>
      </c>
      <c r="X138" s="42" t="str">
        <f aca="false">IF(R138="","",Inputs!$F$9+SUM(W$7:W138))</f>
        <v/>
      </c>
      <c r="Y138" s="43" t="str">
        <f aca="false">IF(S138="Yes",R138,"")</f>
        <v/>
      </c>
      <c r="Z138" s="43" t="str">
        <f aca="false">IF(Y138="","",SUM(Y$7:Y138))</f>
        <v/>
      </c>
      <c r="AA138" s="43" t="str">
        <f aca="false">IF(Y138="","",MAX(0,MAX(Z$7:Z138)))</f>
        <v/>
      </c>
      <c r="AB138" s="43" t="str">
        <f aca="false">IF(Y138="","",Z138-AA138)</f>
        <v/>
      </c>
    </row>
    <row r="139" customFormat="false" ht="15" hidden="false" customHeight="false" outlineLevel="0" collapsed="false">
      <c r="B139" s="38"/>
      <c r="C139" s="39" t="str">
        <f aca="false">IF(B139="","",INT((B139-Inputs!$F$8)/7)+1)</f>
        <v/>
      </c>
      <c r="D139" s="39" t="str">
        <f aca="false">IF(B139="","",COUNTIF(B$7:B139,B139))</f>
        <v/>
      </c>
      <c r="E139" s="34"/>
      <c r="F139" s="34"/>
      <c r="G139" s="34"/>
      <c r="H139" s="34"/>
      <c r="I139" s="34"/>
      <c r="J139" s="35"/>
      <c r="K139" s="35"/>
      <c r="L139" s="40" t="str">
        <f aca="false">IF(OR(J139="",K139=""),"",IF(G139="Long",J139+Inputs!$F$15*(J139-K139),J139-Inputs!$F$15*(K139-J139)))</f>
        <v/>
      </c>
      <c r="M139" s="35"/>
      <c r="N139" s="34"/>
      <c r="O139" s="35"/>
      <c r="P139" s="34"/>
      <c r="Q139" s="41"/>
      <c r="R139" s="36" t="str">
        <f aca="false">IF(OR(M139="",J139="",K139="",J139=K139),"",ROUND(IF(G139="Long",(M139-J139)/(J139-K139),(J139-M139)/(K139-J139)),2))</f>
        <v/>
      </c>
      <c r="S139" s="39" t="str">
        <f aca="false">IF(B139="","",IF(AND(I139="Y",OR(P139="None",P139="")),"Yes","No"))</f>
        <v/>
      </c>
      <c r="T139" s="36" t="str">
        <f aca="false">IF(OR(O139="",J139="",K139="",J139=K139),"",ROUND(IF(G139="Long",(O139-J139)/(J139-K139),(J139-O139)/(K139-J139)),2))</f>
        <v/>
      </c>
      <c r="U139" s="36" t="str">
        <f aca="false">IF(OR(R139="",T139=""),"",IF(T139&gt;=2,2,IF(N139="Target",-1,R139)))</f>
        <v/>
      </c>
      <c r="V139" s="36" t="str">
        <f aca="false">IF(OR(R139="",T139=""),"",IF(T139&gt;=3,3,IF(N139="Target",-1,R139)))</f>
        <v/>
      </c>
      <c r="W139" s="42" t="str">
        <f aca="false">IF(R139="","",ROUND(R139*(Inputs!$F$9+SUM(W$6:W138))*Inputs!$F$10,2))</f>
        <v/>
      </c>
      <c r="X139" s="42" t="str">
        <f aca="false">IF(R139="","",Inputs!$F$9+SUM(W$7:W139))</f>
        <v/>
      </c>
      <c r="Y139" s="43" t="str">
        <f aca="false">IF(S139="Yes",R139,"")</f>
        <v/>
      </c>
      <c r="Z139" s="43" t="str">
        <f aca="false">IF(Y139="","",SUM(Y$7:Y139))</f>
        <v/>
      </c>
      <c r="AA139" s="43" t="str">
        <f aca="false">IF(Y139="","",MAX(0,MAX(Z$7:Z139)))</f>
        <v/>
      </c>
      <c r="AB139" s="43" t="str">
        <f aca="false">IF(Y139="","",Z139-AA139)</f>
        <v/>
      </c>
    </row>
    <row r="140" customFormat="false" ht="15" hidden="false" customHeight="false" outlineLevel="0" collapsed="false">
      <c r="B140" s="38"/>
      <c r="C140" s="39" t="str">
        <f aca="false">IF(B140="","",INT((B140-Inputs!$F$8)/7)+1)</f>
        <v/>
      </c>
      <c r="D140" s="39" t="str">
        <f aca="false">IF(B140="","",COUNTIF(B$7:B140,B140))</f>
        <v/>
      </c>
      <c r="E140" s="34"/>
      <c r="F140" s="34"/>
      <c r="G140" s="34"/>
      <c r="H140" s="34"/>
      <c r="I140" s="34"/>
      <c r="J140" s="35"/>
      <c r="K140" s="35"/>
      <c r="L140" s="40" t="str">
        <f aca="false">IF(OR(J140="",K140=""),"",IF(G140="Long",J140+Inputs!$F$15*(J140-K140),J140-Inputs!$F$15*(K140-J140)))</f>
        <v/>
      </c>
      <c r="M140" s="35"/>
      <c r="N140" s="34"/>
      <c r="O140" s="35"/>
      <c r="P140" s="34"/>
      <c r="Q140" s="41"/>
      <c r="R140" s="36" t="str">
        <f aca="false">IF(OR(M140="",J140="",K140="",J140=K140),"",ROUND(IF(G140="Long",(M140-J140)/(J140-K140),(J140-M140)/(K140-J140)),2))</f>
        <v/>
      </c>
      <c r="S140" s="39" t="str">
        <f aca="false">IF(B140="","",IF(AND(I140="Y",OR(P140="None",P140="")),"Yes","No"))</f>
        <v/>
      </c>
      <c r="T140" s="36" t="str">
        <f aca="false">IF(OR(O140="",J140="",K140="",J140=K140),"",ROUND(IF(G140="Long",(O140-J140)/(J140-K140),(J140-O140)/(K140-J140)),2))</f>
        <v/>
      </c>
      <c r="U140" s="36" t="str">
        <f aca="false">IF(OR(R140="",T140=""),"",IF(T140&gt;=2,2,IF(N140="Target",-1,R140)))</f>
        <v/>
      </c>
      <c r="V140" s="36" t="str">
        <f aca="false">IF(OR(R140="",T140=""),"",IF(T140&gt;=3,3,IF(N140="Target",-1,R140)))</f>
        <v/>
      </c>
      <c r="W140" s="42" t="str">
        <f aca="false">IF(R140="","",ROUND(R140*(Inputs!$F$9+SUM(W$6:W139))*Inputs!$F$10,2))</f>
        <v/>
      </c>
      <c r="X140" s="42" t="str">
        <f aca="false">IF(R140="","",Inputs!$F$9+SUM(W$7:W140))</f>
        <v/>
      </c>
      <c r="Y140" s="43" t="str">
        <f aca="false">IF(S140="Yes",R140,"")</f>
        <v/>
      </c>
      <c r="Z140" s="43" t="str">
        <f aca="false">IF(Y140="","",SUM(Y$7:Y140))</f>
        <v/>
      </c>
      <c r="AA140" s="43" t="str">
        <f aca="false">IF(Y140="","",MAX(0,MAX(Z$7:Z140)))</f>
        <v/>
      </c>
      <c r="AB140" s="43" t="str">
        <f aca="false">IF(Y140="","",Z140-AA140)</f>
        <v/>
      </c>
    </row>
    <row r="141" customFormat="false" ht="15" hidden="false" customHeight="false" outlineLevel="0" collapsed="false">
      <c r="B141" s="38"/>
      <c r="C141" s="39" t="str">
        <f aca="false">IF(B141="","",INT((B141-Inputs!$F$8)/7)+1)</f>
        <v/>
      </c>
      <c r="D141" s="39" t="str">
        <f aca="false">IF(B141="","",COUNTIF(B$7:B141,B141))</f>
        <v/>
      </c>
      <c r="E141" s="34"/>
      <c r="F141" s="34"/>
      <c r="G141" s="34"/>
      <c r="H141" s="34"/>
      <c r="I141" s="34"/>
      <c r="J141" s="35"/>
      <c r="K141" s="35"/>
      <c r="L141" s="40" t="str">
        <f aca="false">IF(OR(J141="",K141=""),"",IF(G141="Long",J141+Inputs!$F$15*(J141-K141),J141-Inputs!$F$15*(K141-J141)))</f>
        <v/>
      </c>
      <c r="M141" s="35"/>
      <c r="N141" s="34"/>
      <c r="O141" s="35"/>
      <c r="P141" s="34"/>
      <c r="Q141" s="41"/>
      <c r="R141" s="36" t="str">
        <f aca="false">IF(OR(M141="",J141="",K141="",J141=K141),"",ROUND(IF(G141="Long",(M141-J141)/(J141-K141),(J141-M141)/(K141-J141)),2))</f>
        <v/>
      </c>
      <c r="S141" s="39" t="str">
        <f aca="false">IF(B141="","",IF(AND(I141="Y",OR(P141="None",P141="")),"Yes","No"))</f>
        <v/>
      </c>
      <c r="T141" s="36" t="str">
        <f aca="false">IF(OR(O141="",J141="",K141="",J141=K141),"",ROUND(IF(G141="Long",(O141-J141)/(J141-K141),(J141-O141)/(K141-J141)),2))</f>
        <v/>
      </c>
      <c r="U141" s="36" t="str">
        <f aca="false">IF(OR(R141="",T141=""),"",IF(T141&gt;=2,2,IF(N141="Target",-1,R141)))</f>
        <v/>
      </c>
      <c r="V141" s="36" t="str">
        <f aca="false">IF(OR(R141="",T141=""),"",IF(T141&gt;=3,3,IF(N141="Target",-1,R141)))</f>
        <v/>
      </c>
      <c r="W141" s="42" t="str">
        <f aca="false">IF(R141="","",ROUND(R141*(Inputs!$F$9+SUM(W$6:W140))*Inputs!$F$10,2))</f>
        <v/>
      </c>
      <c r="X141" s="42" t="str">
        <f aca="false">IF(R141="","",Inputs!$F$9+SUM(W$7:W141))</f>
        <v/>
      </c>
      <c r="Y141" s="43" t="str">
        <f aca="false">IF(S141="Yes",R141,"")</f>
        <v/>
      </c>
      <c r="Z141" s="43" t="str">
        <f aca="false">IF(Y141="","",SUM(Y$7:Y141))</f>
        <v/>
      </c>
      <c r="AA141" s="43" t="str">
        <f aca="false">IF(Y141="","",MAX(0,MAX(Z$7:Z141)))</f>
        <v/>
      </c>
      <c r="AB141" s="43" t="str">
        <f aca="false">IF(Y141="","",Z141-AA141)</f>
        <v/>
      </c>
    </row>
    <row r="142" customFormat="false" ht="15" hidden="false" customHeight="false" outlineLevel="0" collapsed="false">
      <c r="B142" s="38"/>
      <c r="C142" s="39" t="str">
        <f aca="false">IF(B142="","",INT((B142-Inputs!$F$8)/7)+1)</f>
        <v/>
      </c>
      <c r="D142" s="39" t="str">
        <f aca="false">IF(B142="","",COUNTIF(B$7:B142,B142))</f>
        <v/>
      </c>
      <c r="E142" s="34"/>
      <c r="F142" s="34"/>
      <c r="G142" s="34"/>
      <c r="H142" s="34"/>
      <c r="I142" s="34"/>
      <c r="J142" s="35"/>
      <c r="K142" s="35"/>
      <c r="L142" s="40" t="str">
        <f aca="false">IF(OR(J142="",K142=""),"",IF(G142="Long",J142+Inputs!$F$15*(J142-K142),J142-Inputs!$F$15*(K142-J142)))</f>
        <v/>
      </c>
      <c r="M142" s="35"/>
      <c r="N142" s="34"/>
      <c r="O142" s="35"/>
      <c r="P142" s="34"/>
      <c r="Q142" s="41"/>
      <c r="R142" s="36" t="str">
        <f aca="false">IF(OR(M142="",J142="",K142="",J142=K142),"",ROUND(IF(G142="Long",(M142-J142)/(J142-K142),(J142-M142)/(K142-J142)),2))</f>
        <v/>
      </c>
      <c r="S142" s="39" t="str">
        <f aca="false">IF(B142="","",IF(AND(I142="Y",OR(P142="None",P142="")),"Yes","No"))</f>
        <v/>
      </c>
      <c r="T142" s="36" t="str">
        <f aca="false">IF(OR(O142="",J142="",K142="",J142=K142),"",ROUND(IF(G142="Long",(O142-J142)/(J142-K142),(J142-O142)/(K142-J142)),2))</f>
        <v/>
      </c>
      <c r="U142" s="36" t="str">
        <f aca="false">IF(OR(R142="",T142=""),"",IF(T142&gt;=2,2,IF(N142="Target",-1,R142)))</f>
        <v/>
      </c>
      <c r="V142" s="36" t="str">
        <f aca="false">IF(OR(R142="",T142=""),"",IF(T142&gt;=3,3,IF(N142="Target",-1,R142)))</f>
        <v/>
      </c>
      <c r="W142" s="42" t="str">
        <f aca="false">IF(R142="","",ROUND(R142*(Inputs!$F$9+SUM(W$6:W141))*Inputs!$F$10,2))</f>
        <v/>
      </c>
      <c r="X142" s="42" t="str">
        <f aca="false">IF(R142="","",Inputs!$F$9+SUM(W$7:W142))</f>
        <v/>
      </c>
      <c r="Y142" s="43" t="str">
        <f aca="false">IF(S142="Yes",R142,"")</f>
        <v/>
      </c>
      <c r="Z142" s="43" t="str">
        <f aca="false">IF(Y142="","",SUM(Y$7:Y142))</f>
        <v/>
      </c>
      <c r="AA142" s="43" t="str">
        <f aca="false">IF(Y142="","",MAX(0,MAX(Z$7:Z142)))</f>
        <v/>
      </c>
      <c r="AB142" s="43" t="str">
        <f aca="false">IF(Y142="","",Z142-AA142)</f>
        <v/>
      </c>
    </row>
    <row r="143" customFormat="false" ht="15" hidden="false" customHeight="false" outlineLevel="0" collapsed="false">
      <c r="B143" s="38"/>
      <c r="C143" s="39" t="str">
        <f aca="false">IF(B143="","",INT((B143-Inputs!$F$8)/7)+1)</f>
        <v/>
      </c>
      <c r="D143" s="39" t="str">
        <f aca="false">IF(B143="","",COUNTIF(B$7:B143,B143))</f>
        <v/>
      </c>
      <c r="E143" s="34"/>
      <c r="F143" s="34"/>
      <c r="G143" s="34"/>
      <c r="H143" s="34"/>
      <c r="I143" s="34"/>
      <c r="J143" s="35"/>
      <c r="K143" s="35"/>
      <c r="L143" s="40" t="str">
        <f aca="false">IF(OR(J143="",K143=""),"",IF(G143="Long",J143+Inputs!$F$15*(J143-K143),J143-Inputs!$F$15*(K143-J143)))</f>
        <v/>
      </c>
      <c r="M143" s="35"/>
      <c r="N143" s="34"/>
      <c r="O143" s="35"/>
      <c r="P143" s="34"/>
      <c r="Q143" s="41"/>
      <c r="R143" s="36" t="str">
        <f aca="false">IF(OR(M143="",J143="",K143="",J143=K143),"",ROUND(IF(G143="Long",(M143-J143)/(J143-K143),(J143-M143)/(K143-J143)),2))</f>
        <v/>
      </c>
      <c r="S143" s="39" t="str">
        <f aca="false">IF(B143="","",IF(AND(I143="Y",OR(P143="None",P143="")),"Yes","No"))</f>
        <v/>
      </c>
      <c r="T143" s="36" t="str">
        <f aca="false">IF(OR(O143="",J143="",K143="",J143=K143),"",ROUND(IF(G143="Long",(O143-J143)/(J143-K143),(J143-O143)/(K143-J143)),2))</f>
        <v/>
      </c>
      <c r="U143" s="36" t="str">
        <f aca="false">IF(OR(R143="",T143=""),"",IF(T143&gt;=2,2,IF(N143="Target",-1,R143)))</f>
        <v/>
      </c>
      <c r="V143" s="36" t="str">
        <f aca="false">IF(OR(R143="",T143=""),"",IF(T143&gt;=3,3,IF(N143="Target",-1,R143)))</f>
        <v/>
      </c>
      <c r="W143" s="42" t="str">
        <f aca="false">IF(R143="","",ROUND(R143*(Inputs!$F$9+SUM(W$6:W142))*Inputs!$F$10,2))</f>
        <v/>
      </c>
      <c r="X143" s="42" t="str">
        <f aca="false">IF(R143="","",Inputs!$F$9+SUM(W$7:W143))</f>
        <v/>
      </c>
      <c r="Y143" s="43" t="str">
        <f aca="false">IF(S143="Yes",R143,"")</f>
        <v/>
      </c>
      <c r="Z143" s="43" t="str">
        <f aca="false">IF(Y143="","",SUM(Y$7:Y143))</f>
        <v/>
      </c>
      <c r="AA143" s="43" t="str">
        <f aca="false">IF(Y143="","",MAX(0,MAX(Z$7:Z143)))</f>
        <v/>
      </c>
      <c r="AB143" s="43" t="str">
        <f aca="false">IF(Y143="","",Z143-AA143)</f>
        <v/>
      </c>
    </row>
    <row r="144" customFormat="false" ht="15" hidden="false" customHeight="false" outlineLevel="0" collapsed="false">
      <c r="B144" s="38"/>
      <c r="C144" s="39" t="str">
        <f aca="false">IF(B144="","",INT((B144-Inputs!$F$8)/7)+1)</f>
        <v/>
      </c>
      <c r="D144" s="39" t="str">
        <f aca="false">IF(B144="","",COUNTIF(B$7:B144,B144))</f>
        <v/>
      </c>
      <c r="E144" s="34"/>
      <c r="F144" s="34"/>
      <c r="G144" s="34"/>
      <c r="H144" s="34"/>
      <c r="I144" s="34"/>
      <c r="J144" s="35"/>
      <c r="K144" s="35"/>
      <c r="L144" s="40" t="str">
        <f aca="false">IF(OR(J144="",K144=""),"",IF(G144="Long",J144+Inputs!$F$15*(J144-K144),J144-Inputs!$F$15*(K144-J144)))</f>
        <v/>
      </c>
      <c r="M144" s="35"/>
      <c r="N144" s="34"/>
      <c r="O144" s="35"/>
      <c r="P144" s="34"/>
      <c r="Q144" s="41"/>
      <c r="R144" s="36" t="str">
        <f aca="false">IF(OR(M144="",J144="",K144="",J144=K144),"",ROUND(IF(G144="Long",(M144-J144)/(J144-K144),(J144-M144)/(K144-J144)),2))</f>
        <v/>
      </c>
      <c r="S144" s="39" t="str">
        <f aca="false">IF(B144="","",IF(AND(I144="Y",OR(P144="None",P144="")),"Yes","No"))</f>
        <v/>
      </c>
      <c r="T144" s="36" t="str">
        <f aca="false">IF(OR(O144="",J144="",K144="",J144=K144),"",ROUND(IF(G144="Long",(O144-J144)/(J144-K144),(J144-O144)/(K144-J144)),2))</f>
        <v/>
      </c>
      <c r="U144" s="36" t="str">
        <f aca="false">IF(OR(R144="",T144=""),"",IF(T144&gt;=2,2,IF(N144="Target",-1,R144)))</f>
        <v/>
      </c>
      <c r="V144" s="36" t="str">
        <f aca="false">IF(OR(R144="",T144=""),"",IF(T144&gt;=3,3,IF(N144="Target",-1,R144)))</f>
        <v/>
      </c>
      <c r="W144" s="42" t="str">
        <f aca="false">IF(R144="","",ROUND(R144*(Inputs!$F$9+SUM(W$6:W143))*Inputs!$F$10,2))</f>
        <v/>
      </c>
      <c r="X144" s="42" t="str">
        <f aca="false">IF(R144="","",Inputs!$F$9+SUM(W$7:W144))</f>
        <v/>
      </c>
      <c r="Y144" s="43" t="str">
        <f aca="false">IF(S144="Yes",R144,"")</f>
        <v/>
      </c>
      <c r="Z144" s="43" t="str">
        <f aca="false">IF(Y144="","",SUM(Y$7:Y144))</f>
        <v/>
      </c>
      <c r="AA144" s="43" t="str">
        <f aca="false">IF(Y144="","",MAX(0,MAX(Z$7:Z144)))</f>
        <v/>
      </c>
      <c r="AB144" s="43" t="str">
        <f aca="false">IF(Y144="","",Z144-AA144)</f>
        <v/>
      </c>
    </row>
    <row r="145" customFormat="false" ht="15" hidden="false" customHeight="false" outlineLevel="0" collapsed="false">
      <c r="B145" s="38"/>
      <c r="C145" s="39" t="str">
        <f aca="false">IF(B145="","",INT((B145-Inputs!$F$8)/7)+1)</f>
        <v/>
      </c>
      <c r="D145" s="39" t="str">
        <f aca="false">IF(B145="","",COUNTIF(B$7:B145,B145))</f>
        <v/>
      </c>
      <c r="E145" s="34"/>
      <c r="F145" s="34"/>
      <c r="G145" s="34"/>
      <c r="H145" s="34"/>
      <c r="I145" s="34"/>
      <c r="J145" s="35"/>
      <c r="K145" s="35"/>
      <c r="L145" s="40" t="str">
        <f aca="false">IF(OR(J145="",K145=""),"",IF(G145="Long",J145+Inputs!$F$15*(J145-K145),J145-Inputs!$F$15*(K145-J145)))</f>
        <v/>
      </c>
      <c r="M145" s="35"/>
      <c r="N145" s="34"/>
      <c r="O145" s="35"/>
      <c r="P145" s="34"/>
      <c r="Q145" s="41"/>
      <c r="R145" s="36" t="str">
        <f aca="false">IF(OR(M145="",J145="",K145="",J145=K145),"",ROUND(IF(G145="Long",(M145-J145)/(J145-K145),(J145-M145)/(K145-J145)),2))</f>
        <v/>
      </c>
      <c r="S145" s="39" t="str">
        <f aca="false">IF(B145="","",IF(AND(I145="Y",OR(P145="None",P145="")),"Yes","No"))</f>
        <v/>
      </c>
      <c r="T145" s="36" t="str">
        <f aca="false">IF(OR(O145="",J145="",K145="",J145=K145),"",ROUND(IF(G145="Long",(O145-J145)/(J145-K145),(J145-O145)/(K145-J145)),2))</f>
        <v/>
      </c>
      <c r="U145" s="36" t="str">
        <f aca="false">IF(OR(R145="",T145=""),"",IF(T145&gt;=2,2,IF(N145="Target",-1,R145)))</f>
        <v/>
      </c>
      <c r="V145" s="36" t="str">
        <f aca="false">IF(OR(R145="",T145=""),"",IF(T145&gt;=3,3,IF(N145="Target",-1,R145)))</f>
        <v/>
      </c>
      <c r="W145" s="42" t="str">
        <f aca="false">IF(R145="","",ROUND(R145*(Inputs!$F$9+SUM(W$6:W144))*Inputs!$F$10,2))</f>
        <v/>
      </c>
      <c r="X145" s="42" t="str">
        <f aca="false">IF(R145="","",Inputs!$F$9+SUM(W$7:W145))</f>
        <v/>
      </c>
      <c r="Y145" s="43" t="str">
        <f aca="false">IF(S145="Yes",R145,"")</f>
        <v/>
      </c>
      <c r="Z145" s="43" t="str">
        <f aca="false">IF(Y145="","",SUM(Y$7:Y145))</f>
        <v/>
      </c>
      <c r="AA145" s="43" t="str">
        <f aca="false">IF(Y145="","",MAX(0,MAX(Z$7:Z145)))</f>
        <v/>
      </c>
      <c r="AB145" s="43" t="str">
        <f aca="false">IF(Y145="","",Z145-AA145)</f>
        <v/>
      </c>
    </row>
    <row r="146" customFormat="false" ht="15" hidden="false" customHeight="false" outlineLevel="0" collapsed="false">
      <c r="B146" s="38"/>
      <c r="C146" s="39" t="str">
        <f aca="false">IF(B146="","",INT((B146-Inputs!$F$8)/7)+1)</f>
        <v/>
      </c>
      <c r="D146" s="39" t="str">
        <f aca="false">IF(B146="","",COUNTIF(B$7:B146,B146))</f>
        <v/>
      </c>
      <c r="E146" s="34"/>
      <c r="F146" s="34"/>
      <c r="G146" s="34"/>
      <c r="H146" s="34"/>
      <c r="I146" s="34"/>
      <c r="J146" s="35"/>
      <c r="K146" s="35"/>
      <c r="L146" s="40" t="str">
        <f aca="false">IF(OR(J146="",K146=""),"",IF(G146="Long",J146+Inputs!$F$15*(J146-K146),J146-Inputs!$F$15*(K146-J146)))</f>
        <v/>
      </c>
      <c r="M146" s="35"/>
      <c r="N146" s="34"/>
      <c r="O146" s="35"/>
      <c r="P146" s="34"/>
      <c r="Q146" s="41"/>
      <c r="R146" s="36" t="str">
        <f aca="false">IF(OR(M146="",J146="",K146="",J146=K146),"",ROUND(IF(G146="Long",(M146-J146)/(J146-K146),(J146-M146)/(K146-J146)),2))</f>
        <v/>
      </c>
      <c r="S146" s="39" t="str">
        <f aca="false">IF(B146="","",IF(AND(I146="Y",OR(P146="None",P146="")),"Yes","No"))</f>
        <v/>
      </c>
      <c r="T146" s="36" t="str">
        <f aca="false">IF(OR(O146="",J146="",K146="",J146=K146),"",ROUND(IF(G146="Long",(O146-J146)/(J146-K146),(J146-O146)/(K146-J146)),2))</f>
        <v/>
      </c>
      <c r="U146" s="36" t="str">
        <f aca="false">IF(OR(R146="",T146=""),"",IF(T146&gt;=2,2,IF(N146="Target",-1,R146)))</f>
        <v/>
      </c>
      <c r="V146" s="36" t="str">
        <f aca="false">IF(OR(R146="",T146=""),"",IF(T146&gt;=3,3,IF(N146="Target",-1,R146)))</f>
        <v/>
      </c>
      <c r="W146" s="42" t="str">
        <f aca="false">IF(R146="","",ROUND(R146*(Inputs!$F$9+SUM(W$6:W145))*Inputs!$F$10,2))</f>
        <v/>
      </c>
      <c r="X146" s="42" t="str">
        <f aca="false">IF(R146="","",Inputs!$F$9+SUM(W$7:W146))</f>
        <v/>
      </c>
      <c r="Y146" s="43" t="str">
        <f aca="false">IF(S146="Yes",R146,"")</f>
        <v/>
      </c>
      <c r="Z146" s="43" t="str">
        <f aca="false">IF(Y146="","",SUM(Y$7:Y146))</f>
        <v/>
      </c>
      <c r="AA146" s="43" t="str">
        <f aca="false">IF(Y146="","",MAX(0,MAX(Z$7:Z146)))</f>
        <v/>
      </c>
      <c r="AB146" s="43" t="str">
        <f aca="false">IF(Y146="","",Z146-AA146)</f>
        <v/>
      </c>
    </row>
    <row r="147" customFormat="false" ht="15" hidden="false" customHeight="false" outlineLevel="0" collapsed="false">
      <c r="B147" s="38"/>
      <c r="C147" s="39" t="str">
        <f aca="false">IF(B147="","",INT((B147-Inputs!$F$8)/7)+1)</f>
        <v/>
      </c>
      <c r="D147" s="39" t="str">
        <f aca="false">IF(B147="","",COUNTIF(B$7:B147,B147))</f>
        <v/>
      </c>
      <c r="E147" s="34"/>
      <c r="F147" s="34"/>
      <c r="G147" s="34"/>
      <c r="H147" s="34"/>
      <c r="I147" s="34"/>
      <c r="J147" s="35"/>
      <c r="K147" s="35"/>
      <c r="L147" s="40" t="str">
        <f aca="false">IF(OR(J147="",K147=""),"",IF(G147="Long",J147+Inputs!$F$15*(J147-K147),J147-Inputs!$F$15*(K147-J147)))</f>
        <v/>
      </c>
      <c r="M147" s="35"/>
      <c r="N147" s="34"/>
      <c r="O147" s="35"/>
      <c r="P147" s="34"/>
      <c r="Q147" s="41"/>
      <c r="R147" s="36" t="str">
        <f aca="false">IF(OR(M147="",J147="",K147="",J147=K147),"",ROUND(IF(G147="Long",(M147-J147)/(J147-K147),(J147-M147)/(K147-J147)),2))</f>
        <v/>
      </c>
      <c r="S147" s="39" t="str">
        <f aca="false">IF(B147="","",IF(AND(I147="Y",OR(P147="None",P147="")),"Yes","No"))</f>
        <v/>
      </c>
      <c r="T147" s="36" t="str">
        <f aca="false">IF(OR(O147="",J147="",K147="",J147=K147),"",ROUND(IF(G147="Long",(O147-J147)/(J147-K147),(J147-O147)/(K147-J147)),2))</f>
        <v/>
      </c>
      <c r="U147" s="36" t="str">
        <f aca="false">IF(OR(R147="",T147=""),"",IF(T147&gt;=2,2,IF(N147="Target",-1,R147)))</f>
        <v/>
      </c>
      <c r="V147" s="36" t="str">
        <f aca="false">IF(OR(R147="",T147=""),"",IF(T147&gt;=3,3,IF(N147="Target",-1,R147)))</f>
        <v/>
      </c>
      <c r="W147" s="42" t="str">
        <f aca="false">IF(R147="","",ROUND(R147*(Inputs!$F$9+SUM(W$6:W146))*Inputs!$F$10,2))</f>
        <v/>
      </c>
      <c r="X147" s="42" t="str">
        <f aca="false">IF(R147="","",Inputs!$F$9+SUM(W$7:W147))</f>
        <v/>
      </c>
      <c r="Y147" s="43" t="str">
        <f aca="false">IF(S147="Yes",R147,"")</f>
        <v/>
      </c>
      <c r="Z147" s="43" t="str">
        <f aca="false">IF(Y147="","",SUM(Y$7:Y147))</f>
        <v/>
      </c>
      <c r="AA147" s="43" t="str">
        <f aca="false">IF(Y147="","",MAX(0,MAX(Z$7:Z147)))</f>
        <v/>
      </c>
      <c r="AB147" s="43" t="str">
        <f aca="false">IF(Y147="","",Z147-AA147)</f>
        <v/>
      </c>
    </row>
    <row r="148" customFormat="false" ht="15" hidden="false" customHeight="false" outlineLevel="0" collapsed="false">
      <c r="B148" s="38"/>
      <c r="C148" s="39" t="str">
        <f aca="false">IF(B148="","",INT((B148-Inputs!$F$8)/7)+1)</f>
        <v/>
      </c>
      <c r="D148" s="39" t="str">
        <f aca="false">IF(B148="","",COUNTIF(B$7:B148,B148))</f>
        <v/>
      </c>
      <c r="E148" s="34"/>
      <c r="F148" s="34"/>
      <c r="G148" s="34"/>
      <c r="H148" s="34"/>
      <c r="I148" s="34"/>
      <c r="J148" s="35"/>
      <c r="K148" s="35"/>
      <c r="L148" s="40" t="str">
        <f aca="false">IF(OR(J148="",K148=""),"",IF(G148="Long",J148+Inputs!$F$15*(J148-K148),J148-Inputs!$F$15*(K148-J148)))</f>
        <v/>
      </c>
      <c r="M148" s="35"/>
      <c r="N148" s="34"/>
      <c r="O148" s="35"/>
      <c r="P148" s="34"/>
      <c r="Q148" s="41"/>
      <c r="R148" s="36" t="str">
        <f aca="false">IF(OR(M148="",J148="",K148="",J148=K148),"",ROUND(IF(G148="Long",(M148-J148)/(J148-K148),(J148-M148)/(K148-J148)),2))</f>
        <v/>
      </c>
      <c r="S148" s="39" t="str">
        <f aca="false">IF(B148="","",IF(AND(I148="Y",OR(P148="None",P148="")),"Yes","No"))</f>
        <v/>
      </c>
      <c r="T148" s="36" t="str">
        <f aca="false">IF(OR(O148="",J148="",K148="",J148=K148),"",ROUND(IF(G148="Long",(O148-J148)/(J148-K148),(J148-O148)/(K148-J148)),2))</f>
        <v/>
      </c>
      <c r="U148" s="36" t="str">
        <f aca="false">IF(OR(R148="",T148=""),"",IF(T148&gt;=2,2,IF(N148="Target",-1,R148)))</f>
        <v/>
      </c>
      <c r="V148" s="36" t="str">
        <f aca="false">IF(OR(R148="",T148=""),"",IF(T148&gt;=3,3,IF(N148="Target",-1,R148)))</f>
        <v/>
      </c>
      <c r="W148" s="42" t="str">
        <f aca="false">IF(R148="","",ROUND(R148*(Inputs!$F$9+SUM(W$6:W147))*Inputs!$F$10,2))</f>
        <v/>
      </c>
      <c r="X148" s="42" t="str">
        <f aca="false">IF(R148="","",Inputs!$F$9+SUM(W$7:W148))</f>
        <v/>
      </c>
      <c r="Y148" s="43" t="str">
        <f aca="false">IF(S148="Yes",R148,"")</f>
        <v/>
      </c>
      <c r="Z148" s="43" t="str">
        <f aca="false">IF(Y148="","",SUM(Y$7:Y148))</f>
        <v/>
      </c>
      <c r="AA148" s="43" t="str">
        <f aca="false">IF(Y148="","",MAX(0,MAX(Z$7:Z148)))</f>
        <v/>
      </c>
      <c r="AB148" s="43" t="str">
        <f aca="false">IF(Y148="","",Z148-AA148)</f>
        <v/>
      </c>
    </row>
    <row r="149" customFormat="false" ht="15" hidden="false" customHeight="false" outlineLevel="0" collapsed="false">
      <c r="B149" s="38"/>
      <c r="C149" s="39" t="str">
        <f aca="false">IF(B149="","",INT((B149-Inputs!$F$8)/7)+1)</f>
        <v/>
      </c>
      <c r="D149" s="39" t="str">
        <f aca="false">IF(B149="","",COUNTIF(B$7:B149,B149))</f>
        <v/>
      </c>
      <c r="E149" s="34"/>
      <c r="F149" s="34"/>
      <c r="G149" s="34"/>
      <c r="H149" s="34"/>
      <c r="I149" s="34"/>
      <c r="J149" s="35"/>
      <c r="K149" s="35"/>
      <c r="L149" s="40" t="str">
        <f aca="false">IF(OR(J149="",K149=""),"",IF(G149="Long",J149+Inputs!$F$15*(J149-K149),J149-Inputs!$F$15*(K149-J149)))</f>
        <v/>
      </c>
      <c r="M149" s="35"/>
      <c r="N149" s="34"/>
      <c r="O149" s="35"/>
      <c r="P149" s="34"/>
      <c r="Q149" s="41"/>
      <c r="R149" s="36" t="str">
        <f aca="false">IF(OR(M149="",J149="",K149="",J149=K149),"",ROUND(IF(G149="Long",(M149-J149)/(J149-K149),(J149-M149)/(K149-J149)),2))</f>
        <v/>
      </c>
      <c r="S149" s="39" t="str">
        <f aca="false">IF(B149="","",IF(AND(I149="Y",OR(P149="None",P149="")),"Yes","No"))</f>
        <v/>
      </c>
      <c r="T149" s="36" t="str">
        <f aca="false">IF(OR(O149="",J149="",K149="",J149=K149),"",ROUND(IF(G149="Long",(O149-J149)/(J149-K149),(J149-O149)/(K149-J149)),2))</f>
        <v/>
      </c>
      <c r="U149" s="36" t="str">
        <f aca="false">IF(OR(R149="",T149=""),"",IF(T149&gt;=2,2,IF(N149="Target",-1,R149)))</f>
        <v/>
      </c>
      <c r="V149" s="36" t="str">
        <f aca="false">IF(OR(R149="",T149=""),"",IF(T149&gt;=3,3,IF(N149="Target",-1,R149)))</f>
        <v/>
      </c>
      <c r="W149" s="42" t="str">
        <f aca="false">IF(R149="","",ROUND(R149*(Inputs!$F$9+SUM(W$6:W148))*Inputs!$F$10,2))</f>
        <v/>
      </c>
      <c r="X149" s="42" t="str">
        <f aca="false">IF(R149="","",Inputs!$F$9+SUM(W$7:W149))</f>
        <v/>
      </c>
      <c r="Y149" s="43" t="str">
        <f aca="false">IF(S149="Yes",R149,"")</f>
        <v/>
      </c>
      <c r="Z149" s="43" t="str">
        <f aca="false">IF(Y149="","",SUM(Y$7:Y149))</f>
        <v/>
      </c>
      <c r="AA149" s="43" t="str">
        <f aca="false">IF(Y149="","",MAX(0,MAX(Z$7:Z149)))</f>
        <v/>
      </c>
      <c r="AB149" s="43" t="str">
        <f aca="false">IF(Y149="","",Z149-AA149)</f>
        <v/>
      </c>
    </row>
    <row r="150" customFormat="false" ht="15" hidden="false" customHeight="false" outlineLevel="0" collapsed="false">
      <c r="B150" s="38"/>
      <c r="C150" s="39" t="str">
        <f aca="false">IF(B150="","",INT((B150-Inputs!$F$8)/7)+1)</f>
        <v/>
      </c>
      <c r="D150" s="39" t="str">
        <f aca="false">IF(B150="","",COUNTIF(B$7:B150,B150))</f>
        <v/>
      </c>
      <c r="E150" s="34"/>
      <c r="F150" s="34"/>
      <c r="G150" s="34"/>
      <c r="H150" s="34"/>
      <c r="I150" s="34"/>
      <c r="J150" s="35"/>
      <c r="K150" s="35"/>
      <c r="L150" s="40" t="str">
        <f aca="false">IF(OR(J150="",K150=""),"",IF(G150="Long",J150+Inputs!$F$15*(J150-K150),J150-Inputs!$F$15*(K150-J150)))</f>
        <v/>
      </c>
      <c r="M150" s="35"/>
      <c r="N150" s="34"/>
      <c r="O150" s="35"/>
      <c r="P150" s="34"/>
      <c r="Q150" s="41"/>
      <c r="R150" s="36" t="str">
        <f aca="false">IF(OR(M150="",J150="",K150="",J150=K150),"",ROUND(IF(G150="Long",(M150-J150)/(J150-K150),(J150-M150)/(K150-J150)),2))</f>
        <v/>
      </c>
      <c r="S150" s="39" t="str">
        <f aca="false">IF(B150="","",IF(AND(I150="Y",OR(P150="None",P150="")),"Yes","No"))</f>
        <v/>
      </c>
      <c r="T150" s="36" t="str">
        <f aca="false">IF(OR(O150="",J150="",K150="",J150=K150),"",ROUND(IF(G150="Long",(O150-J150)/(J150-K150),(J150-O150)/(K150-J150)),2))</f>
        <v/>
      </c>
      <c r="U150" s="36" t="str">
        <f aca="false">IF(OR(R150="",T150=""),"",IF(T150&gt;=2,2,IF(N150="Target",-1,R150)))</f>
        <v/>
      </c>
      <c r="V150" s="36" t="str">
        <f aca="false">IF(OR(R150="",T150=""),"",IF(T150&gt;=3,3,IF(N150="Target",-1,R150)))</f>
        <v/>
      </c>
      <c r="W150" s="42" t="str">
        <f aca="false">IF(R150="","",ROUND(R150*(Inputs!$F$9+SUM(W$6:W149))*Inputs!$F$10,2))</f>
        <v/>
      </c>
      <c r="X150" s="42" t="str">
        <f aca="false">IF(R150="","",Inputs!$F$9+SUM(W$7:W150))</f>
        <v/>
      </c>
      <c r="Y150" s="43" t="str">
        <f aca="false">IF(S150="Yes",R150,"")</f>
        <v/>
      </c>
      <c r="Z150" s="43" t="str">
        <f aca="false">IF(Y150="","",SUM(Y$7:Y150))</f>
        <v/>
      </c>
      <c r="AA150" s="43" t="str">
        <f aca="false">IF(Y150="","",MAX(0,MAX(Z$7:Z150)))</f>
        <v/>
      </c>
      <c r="AB150" s="43" t="str">
        <f aca="false">IF(Y150="","",Z150-AA150)</f>
        <v/>
      </c>
    </row>
    <row r="151" customFormat="false" ht="15" hidden="false" customHeight="false" outlineLevel="0" collapsed="false">
      <c r="B151" s="38"/>
      <c r="C151" s="39" t="str">
        <f aca="false">IF(B151="","",INT((B151-Inputs!$F$8)/7)+1)</f>
        <v/>
      </c>
      <c r="D151" s="39" t="str">
        <f aca="false">IF(B151="","",COUNTIF(B$7:B151,B151))</f>
        <v/>
      </c>
      <c r="E151" s="34"/>
      <c r="F151" s="34"/>
      <c r="G151" s="34"/>
      <c r="H151" s="34"/>
      <c r="I151" s="34"/>
      <c r="J151" s="35"/>
      <c r="K151" s="35"/>
      <c r="L151" s="40" t="str">
        <f aca="false">IF(OR(J151="",K151=""),"",IF(G151="Long",J151+Inputs!$F$15*(J151-K151),J151-Inputs!$F$15*(K151-J151)))</f>
        <v/>
      </c>
      <c r="M151" s="35"/>
      <c r="N151" s="34"/>
      <c r="O151" s="35"/>
      <c r="P151" s="34"/>
      <c r="Q151" s="41"/>
      <c r="R151" s="36" t="str">
        <f aca="false">IF(OR(M151="",J151="",K151="",J151=K151),"",ROUND(IF(G151="Long",(M151-J151)/(J151-K151),(J151-M151)/(K151-J151)),2))</f>
        <v/>
      </c>
      <c r="S151" s="39" t="str">
        <f aca="false">IF(B151="","",IF(AND(I151="Y",OR(P151="None",P151="")),"Yes","No"))</f>
        <v/>
      </c>
      <c r="T151" s="36" t="str">
        <f aca="false">IF(OR(O151="",J151="",K151="",J151=K151),"",ROUND(IF(G151="Long",(O151-J151)/(J151-K151),(J151-O151)/(K151-J151)),2))</f>
        <v/>
      </c>
      <c r="U151" s="36" t="str">
        <f aca="false">IF(OR(R151="",T151=""),"",IF(T151&gt;=2,2,IF(N151="Target",-1,R151)))</f>
        <v/>
      </c>
      <c r="V151" s="36" t="str">
        <f aca="false">IF(OR(R151="",T151=""),"",IF(T151&gt;=3,3,IF(N151="Target",-1,R151)))</f>
        <v/>
      </c>
      <c r="W151" s="42" t="str">
        <f aca="false">IF(R151="","",ROUND(R151*(Inputs!$F$9+SUM(W$6:W150))*Inputs!$F$10,2))</f>
        <v/>
      </c>
      <c r="X151" s="42" t="str">
        <f aca="false">IF(R151="","",Inputs!$F$9+SUM(W$7:W151))</f>
        <v/>
      </c>
      <c r="Y151" s="43" t="str">
        <f aca="false">IF(S151="Yes",R151,"")</f>
        <v/>
      </c>
      <c r="Z151" s="43" t="str">
        <f aca="false">IF(Y151="","",SUM(Y$7:Y151))</f>
        <v/>
      </c>
      <c r="AA151" s="43" t="str">
        <f aca="false">IF(Y151="","",MAX(0,MAX(Z$7:Z151)))</f>
        <v/>
      </c>
      <c r="AB151" s="43" t="str">
        <f aca="false">IF(Y151="","",Z151-AA151)</f>
        <v/>
      </c>
    </row>
    <row r="152" customFormat="false" ht="15" hidden="false" customHeight="false" outlineLevel="0" collapsed="false">
      <c r="B152" s="38"/>
      <c r="C152" s="39" t="str">
        <f aca="false">IF(B152="","",INT((B152-Inputs!$F$8)/7)+1)</f>
        <v/>
      </c>
      <c r="D152" s="39" t="str">
        <f aca="false">IF(B152="","",COUNTIF(B$7:B152,B152))</f>
        <v/>
      </c>
      <c r="E152" s="34"/>
      <c r="F152" s="34"/>
      <c r="G152" s="34"/>
      <c r="H152" s="34"/>
      <c r="I152" s="34"/>
      <c r="J152" s="35"/>
      <c r="K152" s="35"/>
      <c r="L152" s="40" t="str">
        <f aca="false">IF(OR(J152="",K152=""),"",IF(G152="Long",J152+Inputs!$F$15*(J152-K152),J152-Inputs!$F$15*(K152-J152)))</f>
        <v/>
      </c>
      <c r="M152" s="35"/>
      <c r="N152" s="34"/>
      <c r="O152" s="35"/>
      <c r="P152" s="34"/>
      <c r="Q152" s="41"/>
      <c r="R152" s="36" t="str">
        <f aca="false">IF(OR(M152="",J152="",K152="",J152=K152),"",ROUND(IF(G152="Long",(M152-J152)/(J152-K152),(J152-M152)/(K152-J152)),2))</f>
        <v/>
      </c>
      <c r="S152" s="39" t="str">
        <f aca="false">IF(B152="","",IF(AND(I152="Y",OR(P152="None",P152="")),"Yes","No"))</f>
        <v/>
      </c>
      <c r="T152" s="36" t="str">
        <f aca="false">IF(OR(O152="",J152="",K152="",J152=K152),"",ROUND(IF(G152="Long",(O152-J152)/(J152-K152),(J152-O152)/(K152-J152)),2))</f>
        <v/>
      </c>
      <c r="U152" s="36" t="str">
        <f aca="false">IF(OR(R152="",T152=""),"",IF(T152&gt;=2,2,IF(N152="Target",-1,R152)))</f>
        <v/>
      </c>
      <c r="V152" s="36" t="str">
        <f aca="false">IF(OR(R152="",T152=""),"",IF(T152&gt;=3,3,IF(N152="Target",-1,R152)))</f>
        <v/>
      </c>
      <c r="W152" s="42" t="str">
        <f aca="false">IF(R152="","",ROUND(R152*(Inputs!$F$9+SUM(W$6:W151))*Inputs!$F$10,2))</f>
        <v/>
      </c>
      <c r="X152" s="42" t="str">
        <f aca="false">IF(R152="","",Inputs!$F$9+SUM(W$7:W152))</f>
        <v/>
      </c>
      <c r="Y152" s="43" t="str">
        <f aca="false">IF(S152="Yes",R152,"")</f>
        <v/>
      </c>
      <c r="Z152" s="43" t="str">
        <f aca="false">IF(Y152="","",SUM(Y$7:Y152))</f>
        <v/>
      </c>
      <c r="AA152" s="43" t="str">
        <f aca="false">IF(Y152="","",MAX(0,MAX(Z$7:Z152)))</f>
        <v/>
      </c>
      <c r="AB152" s="43" t="str">
        <f aca="false">IF(Y152="","",Z152-AA152)</f>
        <v/>
      </c>
    </row>
    <row r="153" customFormat="false" ht="15" hidden="false" customHeight="false" outlineLevel="0" collapsed="false">
      <c r="B153" s="38"/>
      <c r="C153" s="39" t="str">
        <f aca="false">IF(B153="","",INT((B153-Inputs!$F$8)/7)+1)</f>
        <v/>
      </c>
      <c r="D153" s="39" t="str">
        <f aca="false">IF(B153="","",COUNTIF(B$7:B153,B153))</f>
        <v/>
      </c>
      <c r="E153" s="34"/>
      <c r="F153" s="34"/>
      <c r="G153" s="34"/>
      <c r="H153" s="34"/>
      <c r="I153" s="34"/>
      <c r="J153" s="35"/>
      <c r="K153" s="35"/>
      <c r="L153" s="40" t="str">
        <f aca="false">IF(OR(J153="",K153=""),"",IF(G153="Long",J153+Inputs!$F$15*(J153-K153),J153-Inputs!$F$15*(K153-J153)))</f>
        <v/>
      </c>
      <c r="M153" s="35"/>
      <c r="N153" s="34"/>
      <c r="O153" s="35"/>
      <c r="P153" s="34"/>
      <c r="Q153" s="41"/>
      <c r="R153" s="36" t="str">
        <f aca="false">IF(OR(M153="",J153="",K153="",J153=K153),"",ROUND(IF(G153="Long",(M153-J153)/(J153-K153),(J153-M153)/(K153-J153)),2))</f>
        <v/>
      </c>
      <c r="S153" s="39" t="str">
        <f aca="false">IF(B153="","",IF(AND(I153="Y",OR(P153="None",P153="")),"Yes","No"))</f>
        <v/>
      </c>
      <c r="T153" s="36" t="str">
        <f aca="false">IF(OR(O153="",J153="",K153="",J153=K153),"",ROUND(IF(G153="Long",(O153-J153)/(J153-K153),(J153-O153)/(K153-J153)),2))</f>
        <v/>
      </c>
      <c r="U153" s="36" t="str">
        <f aca="false">IF(OR(R153="",T153=""),"",IF(T153&gt;=2,2,IF(N153="Target",-1,R153)))</f>
        <v/>
      </c>
      <c r="V153" s="36" t="str">
        <f aca="false">IF(OR(R153="",T153=""),"",IF(T153&gt;=3,3,IF(N153="Target",-1,R153)))</f>
        <v/>
      </c>
      <c r="W153" s="42" t="str">
        <f aca="false">IF(R153="","",ROUND(R153*(Inputs!$F$9+SUM(W$6:W152))*Inputs!$F$10,2))</f>
        <v/>
      </c>
      <c r="X153" s="42" t="str">
        <f aca="false">IF(R153="","",Inputs!$F$9+SUM(W$7:W153))</f>
        <v/>
      </c>
      <c r="Y153" s="43" t="str">
        <f aca="false">IF(S153="Yes",R153,"")</f>
        <v/>
      </c>
      <c r="Z153" s="43" t="str">
        <f aca="false">IF(Y153="","",SUM(Y$7:Y153))</f>
        <v/>
      </c>
      <c r="AA153" s="43" t="str">
        <f aca="false">IF(Y153="","",MAX(0,MAX(Z$7:Z153)))</f>
        <v/>
      </c>
      <c r="AB153" s="43" t="str">
        <f aca="false">IF(Y153="","",Z153-AA153)</f>
        <v/>
      </c>
    </row>
    <row r="154" customFormat="false" ht="15" hidden="false" customHeight="false" outlineLevel="0" collapsed="false">
      <c r="B154" s="38"/>
      <c r="C154" s="39" t="str">
        <f aca="false">IF(B154="","",INT((B154-Inputs!$F$8)/7)+1)</f>
        <v/>
      </c>
      <c r="D154" s="39" t="str">
        <f aca="false">IF(B154="","",COUNTIF(B$7:B154,B154))</f>
        <v/>
      </c>
      <c r="E154" s="34"/>
      <c r="F154" s="34"/>
      <c r="G154" s="34"/>
      <c r="H154" s="34"/>
      <c r="I154" s="34"/>
      <c r="J154" s="35"/>
      <c r="K154" s="35"/>
      <c r="L154" s="40" t="str">
        <f aca="false">IF(OR(J154="",K154=""),"",IF(G154="Long",J154+Inputs!$F$15*(J154-K154),J154-Inputs!$F$15*(K154-J154)))</f>
        <v/>
      </c>
      <c r="M154" s="35"/>
      <c r="N154" s="34"/>
      <c r="O154" s="35"/>
      <c r="P154" s="34"/>
      <c r="Q154" s="41"/>
      <c r="R154" s="36" t="str">
        <f aca="false">IF(OR(M154="",J154="",K154="",J154=K154),"",ROUND(IF(G154="Long",(M154-J154)/(J154-K154),(J154-M154)/(K154-J154)),2))</f>
        <v/>
      </c>
      <c r="S154" s="39" t="str">
        <f aca="false">IF(B154="","",IF(AND(I154="Y",OR(P154="None",P154="")),"Yes","No"))</f>
        <v/>
      </c>
      <c r="T154" s="36" t="str">
        <f aca="false">IF(OR(O154="",J154="",K154="",J154=K154),"",ROUND(IF(G154="Long",(O154-J154)/(J154-K154),(J154-O154)/(K154-J154)),2))</f>
        <v/>
      </c>
      <c r="U154" s="36" t="str">
        <f aca="false">IF(OR(R154="",T154=""),"",IF(T154&gt;=2,2,IF(N154="Target",-1,R154)))</f>
        <v/>
      </c>
      <c r="V154" s="36" t="str">
        <f aca="false">IF(OR(R154="",T154=""),"",IF(T154&gt;=3,3,IF(N154="Target",-1,R154)))</f>
        <v/>
      </c>
      <c r="W154" s="42" t="str">
        <f aca="false">IF(R154="","",ROUND(R154*(Inputs!$F$9+SUM(W$6:W153))*Inputs!$F$10,2))</f>
        <v/>
      </c>
      <c r="X154" s="42" t="str">
        <f aca="false">IF(R154="","",Inputs!$F$9+SUM(W$7:W154))</f>
        <v/>
      </c>
      <c r="Y154" s="43" t="str">
        <f aca="false">IF(S154="Yes",R154,"")</f>
        <v/>
      </c>
      <c r="Z154" s="43" t="str">
        <f aca="false">IF(Y154="","",SUM(Y$7:Y154))</f>
        <v/>
      </c>
      <c r="AA154" s="43" t="str">
        <f aca="false">IF(Y154="","",MAX(0,MAX(Z$7:Z154)))</f>
        <v/>
      </c>
      <c r="AB154" s="43" t="str">
        <f aca="false">IF(Y154="","",Z154-AA154)</f>
        <v/>
      </c>
    </row>
    <row r="155" customFormat="false" ht="15" hidden="false" customHeight="false" outlineLevel="0" collapsed="false">
      <c r="B155" s="38"/>
      <c r="C155" s="39" t="str">
        <f aca="false">IF(B155="","",INT((B155-Inputs!$F$8)/7)+1)</f>
        <v/>
      </c>
      <c r="D155" s="39" t="str">
        <f aca="false">IF(B155="","",COUNTIF(B$7:B155,B155))</f>
        <v/>
      </c>
      <c r="E155" s="34"/>
      <c r="F155" s="34"/>
      <c r="G155" s="34"/>
      <c r="H155" s="34"/>
      <c r="I155" s="34"/>
      <c r="J155" s="35"/>
      <c r="K155" s="35"/>
      <c r="L155" s="40" t="str">
        <f aca="false">IF(OR(J155="",K155=""),"",IF(G155="Long",J155+Inputs!$F$15*(J155-K155),J155-Inputs!$F$15*(K155-J155)))</f>
        <v/>
      </c>
      <c r="M155" s="35"/>
      <c r="N155" s="34"/>
      <c r="O155" s="35"/>
      <c r="P155" s="34"/>
      <c r="Q155" s="41"/>
      <c r="R155" s="36" t="str">
        <f aca="false">IF(OR(M155="",J155="",K155="",J155=K155),"",ROUND(IF(G155="Long",(M155-J155)/(J155-K155),(J155-M155)/(K155-J155)),2))</f>
        <v/>
      </c>
      <c r="S155" s="39" t="str">
        <f aca="false">IF(B155="","",IF(AND(I155="Y",OR(P155="None",P155="")),"Yes","No"))</f>
        <v/>
      </c>
      <c r="T155" s="36" t="str">
        <f aca="false">IF(OR(O155="",J155="",K155="",J155=K155),"",ROUND(IF(G155="Long",(O155-J155)/(J155-K155),(J155-O155)/(K155-J155)),2))</f>
        <v/>
      </c>
      <c r="U155" s="36" t="str">
        <f aca="false">IF(OR(R155="",T155=""),"",IF(T155&gt;=2,2,IF(N155="Target",-1,R155)))</f>
        <v/>
      </c>
      <c r="V155" s="36" t="str">
        <f aca="false">IF(OR(R155="",T155=""),"",IF(T155&gt;=3,3,IF(N155="Target",-1,R155)))</f>
        <v/>
      </c>
      <c r="W155" s="42" t="str">
        <f aca="false">IF(R155="","",ROUND(R155*(Inputs!$F$9+SUM(W$6:W154))*Inputs!$F$10,2))</f>
        <v/>
      </c>
      <c r="X155" s="42" t="str">
        <f aca="false">IF(R155="","",Inputs!$F$9+SUM(W$7:W155))</f>
        <v/>
      </c>
      <c r="Y155" s="43" t="str">
        <f aca="false">IF(S155="Yes",R155,"")</f>
        <v/>
      </c>
      <c r="Z155" s="43" t="str">
        <f aca="false">IF(Y155="","",SUM(Y$7:Y155))</f>
        <v/>
      </c>
      <c r="AA155" s="43" t="str">
        <f aca="false">IF(Y155="","",MAX(0,MAX(Z$7:Z155)))</f>
        <v/>
      </c>
      <c r="AB155" s="43" t="str">
        <f aca="false">IF(Y155="","",Z155-AA155)</f>
        <v/>
      </c>
    </row>
    <row r="156" customFormat="false" ht="15" hidden="false" customHeight="false" outlineLevel="0" collapsed="false">
      <c r="B156" s="38"/>
      <c r="C156" s="39" t="str">
        <f aca="false">IF(B156="","",INT((B156-Inputs!$F$8)/7)+1)</f>
        <v/>
      </c>
      <c r="D156" s="39" t="str">
        <f aca="false">IF(B156="","",COUNTIF(B$7:B156,B156))</f>
        <v/>
      </c>
      <c r="E156" s="34"/>
      <c r="F156" s="34"/>
      <c r="G156" s="34"/>
      <c r="H156" s="34"/>
      <c r="I156" s="34"/>
      <c r="J156" s="35"/>
      <c r="K156" s="35"/>
      <c r="L156" s="40" t="str">
        <f aca="false">IF(OR(J156="",K156=""),"",IF(G156="Long",J156+Inputs!$F$15*(J156-K156),J156-Inputs!$F$15*(K156-J156)))</f>
        <v/>
      </c>
      <c r="M156" s="35"/>
      <c r="N156" s="34"/>
      <c r="O156" s="35"/>
      <c r="P156" s="34"/>
      <c r="Q156" s="41"/>
      <c r="R156" s="36" t="str">
        <f aca="false">IF(OR(M156="",J156="",K156="",J156=K156),"",ROUND(IF(G156="Long",(M156-J156)/(J156-K156),(J156-M156)/(K156-J156)),2))</f>
        <v/>
      </c>
      <c r="S156" s="39" t="str">
        <f aca="false">IF(B156="","",IF(AND(I156="Y",OR(P156="None",P156="")),"Yes","No"))</f>
        <v/>
      </c>
      <c r="T156" s="36" t="str">
        <f aca="false">IF(OR(O156="",J156="",K156="",J156=K156),"",ROUND(IF(G156="Long",(O156-J156)/(J156-K156),(J156-O156)/(K156-J156)),2))</f>
        <v/>
      </c>
      <c r="U156" s="36" t="str">
        <f aca="false">IF(OR(R156="",T156=""),"",IF(T156&gt;=2,2,IF(N156="Target",-1,R156)))</f>
        <v/>
      </c>
      <c r="V156" s="36" t="str">
        <f aca="false">IF(OR(R156="",T156=""),"",IF(T156&gt;=3,3,IF(N156="Target",-1,R156)))</f>
        <v/>
      </c>
      <c r="W156" s="42" t="str">
        <f aca="false">IF(R156="","",ROUND(R156*(Inputs!$F$9+SUM(W$6:W155))*Inputs!$F$10,2))</f>
        <v/>
      </c>
      <c r="X156" s="42" t="str">
        <f aca="false">IF(R156="","",Inputs!$F$9+SUM(W$7:W156))</f>
        <v/>
      </c>
      <c r="Y156" s="43" t="str">
        <f aca="false">IF(S156="Yes",R156,"")</f>
        <v/>
      </c>
      <c r="Z156" s="43" t="str">
        <f aca="false">IF(Y156="","",SUM(Y$7:Y156))</f>
        <v/>
      </c>
      <c r="AA156" s="43" t="str">
        <f aca="false">IF(Y156="","",MAX(0,MAX(Z$7:Z156)))</f>
        <v/>
      </c>
      <c r="AB156" s="43" t="str">
        <f aca="false">IF(Y156="","",Z156-AA156)</f>
        <v/>
      </c>
    </row>
    <row r="157" customFormat="false" ht="15" hidden="false" customHeight="false" outlineLevel="0" collapsed="false">
      <c r="B157" s="38"/>
      <c r="C157" s="39" t="str">
        <f aca="false">IF(B157="","",INT((B157-Inputs!$F$8)/7)+1)</f>
        <v/>
      </c>
      <c r="D157" s="39" t="str">
        <f aca="false">IF(B157="","",COUNTIF(B$7:B157,B157))</f>
        <v/>
      </c>
      <c r="E157" s="34"/>
      <c r="F157" s="34"/>
      <c r="G157" s="34"/>
      <c r="H157" s="34"/>
      <c r="I157" s="34"/>
      <c r="J157" s="35"/>
      <c r="K157" s="35"/>
      <c r="L157" s="40" t="str">
        <f aca="false">IF(OR(J157="",K157=""),"",IF(G157="Long",J157+Inputs!$F$15*(J157-K157),J157-Inputs!$F$15*(K157-J157)))</f>
        <v/>
      </c>
      <c r="M157" s="35"/>
      <c r="N157" s="34"/>
      <c r="O157" s="35"/>
      <c r="P157" s="34"/>
      <c r="Q157" s="41"/>
      <c r="R157" s="36" t="str">
        <f aca="false">IF(OR(M157="",J157="",K157="",J157=K157),"",ROUND(IF(G157="Long",(M157-J157)/(J157-K157),(J157-M157)/(K157-J157)),2))</f>
        <v/>
      </c>
      <c r="S157" s="39" t="str">
        <f aca="false">IF(B157="","",IF(AND(I157="Y",OR(P157="None",P157="")),"Yes","No"))</f>
        <v/>
      </c>
      <c r="T157" s="36" t="str">
        <f aca="false">IF(OR(O157="",J157="",K157="",J157=K157),"",ROUND(IF(G157="Long",(O157-J157)/(J157-K157),(J157-O157)/(K157-J157)),2))</f>
        <v/>
      </c>
      <c r="U157" s="36" t="str">
        <f aca="false">IF(OR(R157="",T157=""),"",IF(T157&gt;=2,2,IF(N157="Target",-1,R157)))</f>
        <v/>
      </c>
      <c r="V157" s="36" t="str">
        <f aca="false">IF(OR(R157="",T157=""),"",IF(T157&gt;=3,3,IF(N157="Target",-1,R157)))</f>
        <v/>
      </c>
      <c r="W157" s="42" t="str">
        <f aca="false">IF(R157="","",ROUND(R157*(Inputs!$F$9+SUM(W$6:W156))*Inputs!$F$10,2))</f>
        <v/>
      </c>
      <c r="X157" s="42" t="str">
        <f aca="false">IF(R157="","",Inputs!$F$9+SUM(W$7:W157))</f>
        <v/>
      </c>
      <c r="Y157" s="43" t="str">
        <f aca="false">IF(S157="Yes",R157,"")</f>
        <v/>
      </c>
      <c r="Z157" s="43" t="str">
        <f aca="false">IF(Y157="","",SUM(Y$7:Y157))</f>
        <v/>
      </c>
      <c r="AA157" s="43" t="str">
        <f aca="false">IF(Y157="","",MAX(0,MAX(Z$7:Z157)))</f>
        <v/>
      </c>
      <c r="AB157" s="43" t="str">
        <f aca="false">IF(Y157="","",Z157-AA157)</f>
        <v/>
      </c>
    </row>
    <row r="158" customFormat="false" ht="15" hidden="false" customHeight="false" outlineLevel="0" collapsed="false">
      <c r="B158" s="38"/>
      <c r="C158" s="39" t="str">
        <f aca="false">IF(B158="","",INT((B158-Inputs!$F$8)/7)+1)</f>
        <v/>
      </c>
      <c r="D158" s="39" t="str">
        <f aca="false">IF(B158="","",COUNTIF(B$7:B158,B158))</f>
        <v/>
      </c>
      <c r="E158" s="34"/>
      <c r="F158" s="34"/>
      <c r="G158" s="34"/>
      <c r="H158" s="34"/>
      <c r="I158" s="34"/>
      <c r="J158" s="35"/>
      <c r="K158" s="35"/>
      <c r="L158" s="40" t="str">
        <f aca="false">IF(OR(J158="",K158=""),"",IF(G158="Long",J158+Inputs!$F$15*(J158-K158),J158-Inputs!$F$15*(K158-J158)))</f>
        <v/>
      </c>
      <c r="M158" s="35"/>
      <c r="N158" s="34"/>
      <c r="O158" s="35"/>
      <c r="P158" s="34"/>
      <c r="Q158" s="41"/>
      <c r="R158" s="36" t="str">
        <f aca="false">IF(OR(M158="",J158="",K158="",J158=K158),"",ROUND(IF(G158="Long",(M158-J158)/(J158-K158),(J158-M158)/(K158-J158)),2))</f>
        <v/>
      </c>
      <c r="S158" s="39" t="str">
        <f aca="false">IF(B158="","",IF(AND(I158="Y",OR(P158="None",P158="")),"Yes","No"))</f>
        <v/>
      </c>
      <c r="T158" s="36" t="str">
        <f aca="false">IF(OR(O158="",J158="",K158="",J158=K158),"",ROUND(IF(G158="Long",(O158-J158)/(J158-K158),(J158-O158)/(K158-J158)),2))</f>
        <v/>
      </c>
      <c r="U158" s="36" t="str">
        <f aca="false">IF(OR(R158="",T158=""),"",IF(T158&gt;=2,2,IF(N158="Target",-1,R158)))</f>
        <v/>
      </c>
      <c r="V158" s="36" t="str">
        <f aca="false">IF(OR(R158="",T158=""),"",IF(T158&gt;=3,3,IF(N158="Target",-1,R158)))</f>
        <v/>
      </c>
      <c r="W158" s="42" t="str">
        <f aca="false">IF(R158="","",ROUND(R158*(Inputs!$F$9+SUM(W$6:W157))*Inputs!$F$10,2))</f>
        <v/>
      </c>
      <c r="X158" s="42" t="str">
        <f aca="false">IF(R158="","",Inputs!$F$9+SUM(W$7:W158))</f>
        <v/>
      </c>
      <c r="Y158" s="43" t="str">
        <f aca="false">IF(S158="Yes",R158,"")</f>
        <v/>
      </c>
      <c r="Z158" s="43" t="str">
        <f aca="false">IF(Y158="","",SUM(Y$7:Y158))</f>
        <v/>
      </c>
      <c r="AA158" s="43" t="str">
        <f aca="false">IF(Y158="","",MAX(0,MAX(Z$7:Z158)))</f>
        <v/>
      </c>
      <c r="AB158" s="43" t="str">
        <f aca="false">IF(Y158="","",Z158-AA158)</f>
        <v/>
      </c>
    </row>
    <row r="159" customFormat="false" ht="15" hidden="false" customHeight="false" outlineLevel="0" collapsed="false">
      <c r="B159" s="38"/>
      <c r="C159" s="39" t="str">
        <f aca="false">IF(B159="","",INT((B159-Inputs!$F$8)/7)+1)</f>
        <v/>
      </c>
      <c r="D159" s="39" t="str">
        <f aca="false">IF(B159="","",COUNTIF(B$7:B159,B159))</f>
        <v/>
      </c>
      <c r="E159" s="34"/>
      <c r="F159" s="34"/>
      <c r="G159" s="34"/>
      <c r="H159" s="34"/>
      <c r="I159" s="34"/>
      <c r="J159" s="35"/>
      <c r="K159" s="35"/>
      <c r="L159" s="40" t="str">
        <f aca="false">IF(OR(J159="",K159=""),"",IF(G159="Long",J159+Inputs!$F$15*(J159-K159),J159-Inputs!$F$15*(K159-J159)))</f>
        <v/>
      </c>
      <c r="M159" s="35"/>
      <c r="N159" s="34"/>
      <c r="O159" s="35"/>
      <c r="P159" s="34"/>
      <c r="Q159" s="41"/>
      <c r="R159" s="36" t="str">
        <f aca="false">IF(OR(M159="",J159="",K159="",J159=K159),"",ROUND(IF(G159="Long",(M159-J159)/(J159-K159),(J159-M159)/(K159-J159)),2))</f>
        <v/>
      </c>
      <c r="S159" s="39" t="str">
        <f aca="false">IF(B159="","",IF(AND(I159="Y",OR(P159="None",P159="")),"Yes","No"))</f>
        <v/>
      </c>
      <c r="T159" s="36" t="str">
        <f aca="false">IF(OR(O159="",J159="",K159="",J159=K159),"",ROUND(IF(G159="Long",(O159-J159)/(J159-K159),(J159-O159)/(K159-J159)),2))</f>
        <v/>
      </c>
      <c r="U159" s="36" t="str">
        <f aca="false">IF(OR(R159="",T159=""),"",IF(T159&gt;=2,2,IF(N159="Target",-1,R159)))</f>
        <v/>
      </c>
      <c r="V159" s="36" t="str">
        <f aca="false">IF(OR(R159="",T159=""),"",IF(T159&gt;=3,3,IF(N159="Target",-1,R159)))</f>
        <v/>
      </c>
      <c r="W159" s="42" t="str">
        <f aca="false">IF(R159="","",ROUND(R159*(Inputs!$F$9+SUM(W$6:W158))*Inputs!$F$10,2))</f>
        <v/>
      </c>
      <c r="X159" s="42" t="str">
        <f aca="false">IF(R159="","",Inputs!$F$9+SUM(W$7:W159))</f>
        <v/>
      </c>
      <c r="Y159" s="43" t="str">
        <f aca="false">IF(S159="Yes",R159,"")</f>
        <v/>
      </c>
      <c r="Z159" s="43" t="str">
        <f aca="false">IF(Y159="","",SUM(Y$7:Y159))</f>
        <v/>
      </c>
      <c r="AA159" s="43" t="str">
        <f aca="false">IF(Y159="","",MAX(0,MAX(Z$7:Z159)))</f>
        <v/>
      </c>
      <c r="AB159" s="43" t="str">
        <f aca="false">IF(Y159="","",Z159-AA159)</f>
        <v/>
      </c>
    </row>
    <row r="160" customFormat="false" ht="15" hidden="false" customHeight="false" outlineLevel="0" collapsed="false">
      <c r="B160" s="38"/>
      <c r="C160" s="39" t="str">
        <f aca="false">IF(B160="","",INT((B160-Inputs!$F$8)/7)+1)</f>
        <v/>
      </c>
      <c r="D160" s="39" t="str">
        <f aca="false">IF(B160="","",COUNTIF(B$7:B160,B160))</f>
        <v/>
      </c>
      <c r="E160" s="34"/>
      <c r="F160" s="34"/>
      <c r="G160" s="34"/>
      <c r="H160" s="34"/>
      <c r="I160" s="34"/>
      <c r="J160" s="35"/>
      <c r="K160" s="35"/>
      <c r="L160" s="40" t="str">
        <f aca="false">IF(OR(J160="",K160=""),"",IF(G160="Long",J160+Inputs!$F$15*(J160-K160),J160-Inputs!$F$15*(K160-J160)))</f>
        <v/>
      </c>
      <c r="M160" s="35"/>
      <c r="N160" s="34"/>
      <c r="O160" s="35"/>
      <c r="P160" s="34"/>
      <c r="Q160" s="41"/>
      <c r="R160" s="36" t="str">
        <f aca="false">IF(OR(M160="",J160="",K160="",J160=K160),"",ROUND(IF(G160="Long",(M160-J160)/(J160-K160),(J160-M160)/(K160-J160)),2))</f>
        <v/>
      </c>
      <c r="S160" s="39" t="str">
        <f aca="false">IF(B160="","",IF(AND(I160="Y",OR(P160="None",P160="")),"Yes","No"))</f>
        <v/>
      </c>
      <c r="T160" s="36" t="str">
        <f aca="false">IF(OR(O160="",J160="",K160="",J160=K160),"",ROUND(IF(G160="Long",(O160-J160)/(J160-K160),(J160-O160)/(K160-J160)),2))</f>
        <v/>
      </c>
      <c r="U160" s="36" t="str">
        <f aca="false">IF(OR(R160="",T160=""),"",IF(T160&gt;=2,2,IF(N160="Target",-1,R160)))</f>
        <v/>
      </c>
      <c r="V160" s="36" t="str">
        <f aca="false">IF(OR(R160="",T160=""),"",IF(T160&gt;=3,3,IF(N160="Target",-1,R160)))</f>
        <v/>
      </c>
      <c r="W160" s="42" t="str">
        <f aca="false">IF(R160="","",ROUND(R160*(Inputs!$F$9+SUM(W$6:W159))*Inputs!$F$10,2))</f>
        <v/>
      </c>
      <c r="X160" s="42" t="str">
        <f aca="false">IF(R160="","",Inputs!$F$9+SUM(W$7:W160))</f>
        <v/>
      </c>
      <c r="Y160" s="43" t="str">
        <f aca="false">IF(S160="Yes",R160,"")</f>
        <v/>
      </c>
      <c r="Z160" s="43" t="str">
        <f aca="false">IF(Y160="","",SUM(Y$7:Y160))</f>
        <v/>
      </c>
      <c r="AA160" s="43" t="str">
        <f aca="false">IF(Y160="","",MAX(0,MAX(Z$7:Z160)))</f>
        <v/>
      </c>
      <c r="AB160" s="43" t="str">
        <f aca="false">IF(Y160="","",Z160-AA160)</f>
        <v/>
      </c>
    </row>
    <row r="161" customFormat="false" ht="15" hidden="false" customHeight="false" outlineLevel="0" collapsed="false">
      <c r="B161" s="38"/>
      <c r="C161" s="39" t="str">
        <f aca="false">IF(B161="","",INT((B161-Inputs!$F$8)/7)+1)</f>
        <v/>
      </c>
      <c r="D161" s="39" t="str">
        <f aca="false">IF(B161="","",COUNTIF(B$7:B161,B161))</f>
        <v/>
      </c>
      <c r="E161" s="34"/>
      <c r="F161" s="34"/>
      <c r="G161" s="34"/>
      <c r="H161" s="34"/>
      <c r="I161" s="34"/>
      <c r="J161" s="35"/>
      <c r="K161" s="35"/>
      <c r="L161" s="40" t="str">
        <f aca="false">IF(OR(J161="",K161=""),"",IF(G161="Long",J161+Inputs!$F$15*(J161-K161),J161-Inputs!$F$15*(K161-J161)))</f>
        <v/>
      </c>
      <c r="M161" s="35"/>
      <c r="N161" s="34"/>
      <c r="O161" s="35"/>
      <c r="P161" s="34"/>
      <c r="Q161" s="41"/>
      <c r="R161" s="36" t="str">
        <f aca="false">IF(OR(M161="",J161="",K161="",J161=K161),"",ROUND(IF(G161="Long",(M161-J161)/(J161-K161),(J161-M161)/(K161-J161)),2))</f>
        <v/>
      </c>
      <c r="S161" s="39" t="str">
        <f aca="false">IF(B161="","",IF(AND(I161="Y",OR(P161="None",P161="")),"Yes","No"))</f>
        <v/>
      </c>
      <c r="T161" s="36" t="str">
        <f aca="false">IF(OR(O161="",J161="",K161="",J161=K161),"",ROUND(IF(G161="Long",(O161-J161)/(J161-K161),(J161-O161)/(K161-J161)),2))</f>
        <v/>
      </c>
      <c r="U161" s="36" t="str">
        <f aca="false">IF(OR(R161="",T161=""),"",IF(T161&gt;=2,2,IF(N161="Target",-1,R161)))</f>
        <v/>
      </c>
      <c r="V161" s="36" t="str">
        <f aca="false">IF(OR(R161="",T161=""),"",IF(T161&gt;=3,3,IF(N161="Target",-1,R161)))</f>
        <v/>
      </c>
      <c r="W161" s="42" t="str">
        <f aca="false">IF(R161="","",ROUND(R161*(Inputs!$F$9+SUM(W$6:W160))*Inputs!$F$10,2))</f>
        <v/>
      </c>
      <c r="X161" s="42" t="str">
        <f aca="false">IF(R161="","",Inputs!$F$9+SUM(W$7:W161))</f>
        <v/>
      </c>
      <c r="Y161" s="43" t="str">
        <f aca="false">IF(S161="Yes",R161,"")</f>
        <v/>
      </c>
      <c r="Z161" s="43" t="str">
        <f aca="false">IF(Y161="","",SUM(Y$7:Y161))</f>
        <v/>
      </c>
      <c r="AA161" s="43" t="str">
        <f aca="false">IF(Y161="","",MAX(0,MAX(Z$7:Z161)))</f>
        <v/>
      </c>
      <c r="AB161" s="43" t="str">
        <f aca="false">IF(Y161="","",Z161-AA161)</f>
        <v/>
      </c>
    </row>
    <row r="162" customFormat="false" ht="15" hidden="false" customHeight="false" outlineLevel="0" collapsed="false">
      <c r="B162" s="38"/>
      <c r="C162" s="39" t="str">
        <f aca="false">IF(B162="","",INT((B162-Inputs!$F$8)/7)+1)</f>
        <v/>
      </c>
      <c r="D162" s="39" t="str">
        <f aca="false">IF(B162="","",COUNTIF(B$7:B162,B162))</f>
        <v/>
      </c>
      <c r="E162" s="34"/>
      <c r="F162" s="34"/>
      <c r="G162" s="34"/>
      <c r="H162" s="34"/>
      <c r="I162" s="34"/>
      <c r="J162" s="35"/>
      <c r="K162" s="35"/>
      <c r="L162" s="40" t="str">
        <f aca="false">IF(OR(J162="",K162=""),"",IF(G162="Long",J162+Inputs!$F$15*(J162-K162),J162-Inputs!$F$15*(K162-J162)))</f>
        <v/>
      </c>
      <c r="M162" s="35"/>
      <c r="N162" s="34"/>
      <c r="O162" s="35"/>
      <c r="P162" s="34"/>
      <c r="Q162" s="41"/>
      <c r="R162" s="36" t="str">
        <f aca="false">IF(OR(M162="",J162="",K162="",J162=K162),"",ROUND(IF(G162="Long",(M162-J162)/(J162-K162),(J162-M162)/(K162-J162)),2))</f>
        <v/>
      </c>
      <c r="S162" s="39" t="str">
        <f aca="false">IF(B162="","",IF(AND(I162="Y",OR(P162="None",P162="")),"Yes","No"))</f>
        <v/>
      </c>
      <c r="T162" s="36" t="str">
        <f aca="false">IF(OR(O162="",J162="",K162="",J162=K162),"",ROUND(IF(G162="Long",(O162-J162)/(J162-K162),(J162-O162)/(K162-J162)),2))</f>
        <v/>
      </c>
      <c r="U162" s="36" t="str">
        <f aca="false">IF(OR(R162="",T162=""),"",IF(T162&gt;=2,2,IF(N162="Target",-1,R162)))</f>
        <v/>
      </c>
      <c r="V162" s="36" t="str">
        <f aca="false">IF(OR(R162="",T162=""),"",IF(T162&gt;=3,3,IF(N162="Target",-1,R162)))</f>
        <v/>
      </c>
      <c r="W162" s="42" t="str">
        <f aca="false">IF(R162="","",ROUND(R162*(Inputs!$F$9+SUM(W$6:W161))*Inputs!$F$10,2))</f>
        <v/>
      </c>
      <c r="X162" s="42" t="str">
        <f aca="false">IF(R162="","",Inputs!$F$9+SUM(W$7:W162))</f>
        <v/>
      </c>
      <c r="Y162" s="43" t="str">
        <f aca="false">IF(S162="Yes",R162,"")</f>
        <v/>
      </c>
      <c r="Z162" s="43" t="str">
        <f aca="false">IF(Y162="","",SUM(Y$7:Y162))</f>
        <v/>
      </c>
      <c r="AA162" s="43" t="str">
        <f aca="false">IF(Y162="","",MAX(0,MAX(Z$7:Z162)))</f>
        <v/>
      </c>
      <c r="AB162" s="43" t="str">
        <f aca="false">IF(Y162="","",Z162-AA162)</f>
        <v/>
      </c>
    </row>
    <row r="163" customFormat="false" ht="15" hidden="false" customHeight="false" outlineLevel="0" collapsed="false">
      <c r="B163" s="38"/>
      <c r="C163" s="39" t="str">
        <f aca="false">IF(B163="","",INT((B163-Inputs!$F$8)/7)+1)</f>
        <v/>
      </c>
      <c r="D163" s="39" t="str">
        <f aca="false">IF(B163="","",COUNTIF(B$7:B163,B163))</f>
        <v/>
      </c>
      <c r="E163" s="34"/>
      <c r="F163" s="34"/>
      <c r="G163" s="34"/>
      <c r="H163" s="34"/>
      <c r="I163" s="34"/>
      <c r="J163" s="35"/>
      <c r="K163" s="35"/>
      <c r="L163" s="40" t="str">
        <f aca="false">IF(OR(J163="",K163=""),"",IF(G163="Long",J163+Inputs!$F$15*(J163-K163),J163-Inputs!$F$15*(K163-J163)))</f>
        <v/>
      </c>
      <c r="M163" s="35"/>
      <c r="N163" s="34"/>
      <c r="O163" s="35"/>
      <c r="P163" s="34"/>
      <c r="Q163" s="41"/>
      <c r="R163" s="36" t="str">
        <f aca="false">IF(OR(M163="",J163="",K163="",J163=K163),"",ROUND(IF(G163="Long",(M163-J163)/(J163-K163),(J163-M163)/(K163-J163)),2))</f>
        <v/>
      </c>
      <c r="S163" s="39" t="str">
        <f aca="false">IF(B163="","",IF(AND(I163="Y",OR(P163="None",P163="")),"Yes","No"))</f>
        <v/>
      </c>
      <c r="T163" s="36" t="str">
        <f aca="false">IF(OR(O163="",J163="",K163="",J163=K163),"",ROUND(IF(G163="Long",(O163-J163)/(J163-K163),(J163-O163)/(K163-J163)),2))</f>
        <v/>
      </c>
      <c r="U163" s="36" t="str">
        <f aca="false">IF(OR(R163="",T163=""),"",IF(T163&gt;=2,2,IF(N163="Target",-1,R163)))</f>
        <v/>
      </c>
      <c r="V163" s="36" t="str">
        <f aca="false">IF(OR(R163="",T163=""),"",IF(T163&gt;=3,3,IF(N163="Target",-1,R163)))</f>
        <v/>
      </c>
      <c r="W163" s="42" t="str">
        <f aca="false">IF(R163="","",ROUND(R163*(Inputs!$F$9+SUM(W$6:W162))*Inputs!$F$10,2))</f>
        <v/>
      </c>
      <c r="X163" s="42" t="str">
        <f aca="false">IF(R163="","",Inputs!$F$9+SUM(W$7:W163))</f>
        <v/>
      </c>
      <c r="Y163" s="43" t="str">
        <f aca="false">IF(S163="Yes",R163,"")</f>
        <v/>
      </c>
      <c r="Z163" s="43" t="str">
        <f aca="false">IF(Y163="","",SUM(Y$7:Y163))</f>
        <v/>
      </c>
      <c r="AA163" s="43" t="str">
        <f aca="false">IF(Y163="","",MAX(0,MAX(Z$7:Z163)))</f>
        <v/>
      </c>
      <c r="AB163" s="43" t="str">
        <f aca="false">IF(Y163="","",Z163-AA163)</f>
        <v/>
      </c>
    </row>
    <row r="164" customFormat="false" ht="15" hidden="false" customHeight="false" outlineLevel="0" collapsed="false">
      <c r="B164" s="38"/>
      <c r="C164" s="39" t="str">
        <f aca="false">IF(B164="","",INT((B164-Inputs!$F$8)/7)+1)</f>
        <v/>
      </c>
      <c r="D164" s="39" t="str">
        <f aca="false">IF(B164="","",COUNTIF(B$7:B164,B164))</f>
        <v/>
      </c>
      <c r="E164" s="34"/>
      <c r="F164" s="34"/>
      <c r="G164" s="34"/>
      <c r="H164" s="34"/>
      <c r="I164" s="34"/>
      <c r="J164" s="35"/>
      <c r="K164" s="35"/>
      <c r="L164" s="40" t="str">
        <f aca="false">IF(OR(J164="",K164=""),"",IF(G164="Long",J164+Inputs!$F$15*(J164-K164),J164-Inputs!$F$15*(K164-J164)))</f>
        <v/>
      </c>
      <c r="M164" s="35"/>
      <c r="N164" s="34"/>
      <c r="O164" s="35"/>
      <c r="P164" s="34"/>
      <c r="Q164" s="41"/>
      <c r="R164" s="36" t="str">
        <f aca="false">IF(OR(M164="",J164="",K164="",J164=K164),"",ROUND(IF(G164="Long",(M164-J164)/(J164-K164),(J164-M164)/(K164-J164)),2))</f>
        <v/>
      </c>
      <c r="S164" s="39" t="str">
        <f aca="false">IF(B164="","",IF(AND(I164="Y",OR(P164="None",P164="")),"Yes","No"))</f>
        <v/>
      </c>
      <c r="T164" s="36" t="str">
        <f aca="false">IF(OR(O164="",J164="",K164="",J164=K164),"",ROUND(IF(G164="Long",(O164-J164)/(J164-K164),(J164-O164)/(K164-J164)),2))</f>
        <v/>
      </c>
      <c r="U164" s="36" t="str">
        <f aca="false">IF(OR(R164="",T164=""),"",IF(T164&gt;=2,2,IF(N164="Target",-1,R164)))</f>
        <v/>
      </c>
      <c r="V164" s="36" t="str">
        <f aca="false">IF(OR(R164="",T164=""),"",IF(T164&gt;=3,3,IF(N164="Target",-1,R164)))</f>
        <v/>
      </c>
      <c r="W164" s="42" t="str">
        <f aca="false">IF(R164="","",ROUND(R164*(Inputs!$F$9+SUM(W$6:W163))*Inputs!$F$10,2))</f>
        <v/>
      </c>
      <c r="X164" s="42" t="str">
        <f aca="false">IF(R164="","",Inputs!$F$9+SUM(W$7:W164))</f>
        <v/>
      </c>
      <c r="Y164" s="43" t="str">
        <f aca="false">IF(S164="Yes",R164,"")</f>
        <v/>
      </c>
      <c r="Z164" s="43" t="str">
        <f aca="false">IF(Y164="","",SUM(Y$7:Y164))</f>
        <v/>
      </c>
      <c r="AA164" s="43" t="str">
        <f aca="false">IF(Y164="","",MAX(0,MAX(Z$7:Z164)))</f>
        <v/>
      </c>
      <c r="AB164" s="43" t="str">
        <f aca="false">IF(Y164="","",Z164-AA164)</f>
        <v/>
      </c>
    </row>
    <row r="165" customFormat="false" ht="15" hidden="false" customHeight="false" outlineLevel="0" collapsed="false">
      <c r="B165" s="38"/>
      <c r="C165" s="39" t="str">
        <f aca="false">IF(B165="","",INT((B165-Inputs!$F$8)/7)+1)</f>
        <v/>
      </c>
      <c r="D165" s="39" t="str">
        <f aca="false">IF(B165="","",COUNTIF(B$7:B165,B165))</f>
        <v/>
      </c>
      <c r="E165" s="34"/>
      <c r="F165" s="34"/>
      <c r="G165" s="34"/>
      <c r="H165" s="34"/>
      <c r="I165" s="34"/>
      <c r="J165" s="35"/>
      <c r="K165" s="35"/>
      <c r="L165" s="40" t="str">
        <f aca="false">IF(OR(J165="",K165=""),"",IF(G165="Long",J165+Inputs!$F$15*(J165-K165),J165-Inputs!$F$15*(K165-J165)))</f>
        <v/>
      </c>
      <c r="M165" s="35"/>
      <c r="N165" s="34"/>
      <c r="O165" s="35"/>
      <c r="P165" s="34"/>
      <c r="Q165" s="41"/>
      <c r="R165" s="36" t="str">
        <f aca="false">IF(OR(M165="",J165="",K165="",J165=K165),"",ROUND(IF(G165="Long",(M165-J165)/(J165-K165),(J165-M165)/(K165-J165)),2))</f>
        <v/>
      </c>
      <c r="S165" s="39" t="str">
        <f aca="false">IF(B165="","",IF(AND(I165="Y",OR(P165="None",P165="")),"Yes","No"))</f>
        <v/>
      </c>
      <c r="T165" s="36" t="str">
        <f aca="false">IF(OR(O165="",J165="",K165="",J165=K165),"",ROUND(IF(G165="Long",(O165-J165)/(J165-K165),(J165-O165)/(K165-J165)),2))</f>
        <v/>
      </c>
      <c r="U165" s="36" t="str">
        <f aca="false">IF(OR(R165="",T165=""),"",IF(T165&gt;=2,2,IF(N165="Target",-1,R165)))</f>
        <v/>
      </c>
      <c r="V165" s="36" t="str">
        <f aca="false">IF(OR(R165="",T165=""),"",IF(T165&gt;=3,3,IF(N165="Target",-1,R165)))</f>
        <v/>
      </c>
      <c r="W165" s="42" t="str">
        <f aca="false">IF(R165="","",ROUND(R165*(Inputs!$F$9+SUM(W$6:W164))*Inputs!$F$10,2))</f>
        <v/>
      </c>
      <c r="X165" s="42" t="str">
        <f aca="false">IF(R165="","",Inputs!$F$9+SUM(W$7:W165))</f>
        <v/>
      </c>
      <c r="Y165" s="43" t="str">
        <f aca="false">IF(S165="Yes",R165,"")</f>
        <v/>
      </c>
      <c r="Z165" s="43" t="str">
        <f aca="false">IF(Y165="","",SUM(Y$7:Y165))</f>
        <v/>
      </c>
      <c r="AA165" s="43" t="str">
        <f aca="false">IF(Y165="","",MAX(0,MAX(Z$7:Z165)))</f>
        <v/>
      </c>
      <c r="AB165" s="43" t="str">
        <f aca="false">IF(Y165="","",Z165-AA165)</f>
        <v/>
      </c>
    </row>
    <row r="166" customFormat="false" ht="15" hidden="false" customHeight="false" outlineLevel="0" collapsed="false">
      <c r="B166" s="38"/>
      <c r="C166" s="39" t="str">
        <f aca="false">IF(B166="","",INT((B166-Inputs!$F$8)/7)+1)</f>
        <v/>
      </c>
      <c r="D166" s="39" t="str">
        <f aca="false">IF(B166="","",COUNTIF(B$7:B166,B166))</f>
        <v/>
      </c>
      <c r="E166" s="34"/>
      <c r="F166" s="34"/>
      <c r="G166" s="34"/>
      <c r="H166" s="34"/>
      <c r="I166" s="34"/>
      <c r="J166" s="35"/>
      <c r="K166" s="35"/>
      <c r="L166" s="40" t="str">
        <f aca="false">IF(OR(J166="",K166=""),"",IF(G166="Long",J166+Inputs!$F$15*(J166-K166),J166-Inputs!$F$15*(K166-J166)))</f>
        <v/>
      </c>
      <c r="M166" s="35"/>
      <c r="N166" s="34"/>
      <c r="O166" s="35"/>
      <c r="P166" s="34"/>
      <c r="Q166" s="41"/>
      <c r="R166" s="36" t="str">
        <f aca="false">IF(OR(M166="",J166="",K166="",J166=K166),"",ROUND(IF(G166="Long",(M166-J166)/(J166-K166),(J166-M166)/(K166-J166)),2))</f>
        <v/>
      </c>
      <c r="S166" s="39" t="str">
        <f aca="false">IF(B166="","",IF(AND(I166="Y",OR(P166="None",P166="")),"Yes","No"))</f>
        <v/>
      </c>
      <c r="T166" s="36" t="str">
        <f aca="false">IF(OR(O166="",J166="",K166="",J166=K166),"",ROUND(IF(G166="Long",(O166-J166)/(J166-K166),(J166-O166)/(K166-J166)),2))</f>
        <v/>
      </c>
      <c r="U166" s="36" t="str">
        <f aca="false">IF(OR(R166="",T166=""),"",IF(T166&gt;=2,2,IF(N166="Target",-1,R166)))</f>
        <v/>
      </c>
      <c r="V166" s="36" t="str">
        <f aca="false">IF(OR(R166="",T166=""),"",IF(T166&gt;=3,3,IF(N166="Target",-1,R166)))</f>
        <v/>
      </c>
      <c r="W166" s="42" t="str">
        <f aca="false">IF(R166="","",ROUND(R166*(Inputs!$F$9+SUM(W$6:W165))*Inputs!$F$10,2))</f>
        <v/>
      </c>
      <c r="X166" s="42" t="str">
        <f aca="false">IF(R166="","",Inputs!$F$9+SUM(W$7:W166))</f>
        <v/>
      </c>
      <c r="Y166" s="43" t="str">
        <f aca="false">IF(S166="Yes",R166,"")</f>
        <v/>
      </c>
      <c r="Z166" s="43" t="str">
        <f aca="false">IF(Y166="","",SUM(Y$7:Y166))</f>
        <v/>
      </c>
      <c r="AA166" s="43" t="str">
        <f aca="false">IF(Y166="","",MAX(0,MAX(Z$7:Z166)))</f>
        <v/>
      </c>
      <c r="AB166" s="43" t="str">
        <f aca="false">IF(Y166="","",Z166-AA166)</f>
        <v/>
      </c>
    </row>
    <row r="167" customFormat="false" ht="15" hidden="false" customHeight="false" outlineLevel="0" collapsed="false">
      <c r="B167" s="38"/>
      <c r="C167" s="39" t="str">
        <f aca="false">IF(B167="","",INT((B167-Inputs!$F$8)/7)+1)</f>
        <v/>
      </c>
      <c r="D167" s="39" t="str">
        <f aca="false">IF(B167="","",COUNTIF(B$7:B167,B167))</f>
        <v/>
      </c>
      <c r="E167" s="34"/>
      <c r="F167" s="34"/>
      <c r="G167" s="34"/>
      <c r="H167" s="34"/>
      <c r="I167" s="34"/>
      <c r="J167" s="35"/>
      <c r="K167" s="35"/>
      <c r="L167" s="40" t="str">
        <f aca="false">IF(OR(J167="",K167=""),"",IF(G167="Long",J167+Inputs!$F$15*(J167-K167),J167-Inputs!$F$15*(K167-J167)))</f>
        <v/>
      </c>
      <c r="M167" s="35"/>
      <c r="N167" s="34"/>
      <c r="O167" s="35"/>
      <c r="P167" s="34"/>
      <c r="Q167" s="41"/>
      <c r="R167" s="36" t="str">
        <f aca="false">IF(OR(M167="",J167="",K167="",J167=K167),"",ROUND(IF(G167="Long",(M167-J167)/(J167-K167),(J167-M167)/(K167-J167)),2))</f>
        <v/>
      </c>
      <c r="S167" s="39" t="str">
        <f aca="false">IF(B167="","",IF(AND(I167="Y",OR(P167="None",P167="")),"Yes","No"))</f>
        <v/>
      </c>
      <c r="T167" s="36" t="str">
        <f aca="false">IF(OR(O167="",J167="",K167="",J167=K167),"",ROUND(IF(G167="Long",(O167-J167)/(J167-K167),(J167-O167)/(K167-J167)),2))</f>
        <v/>
      </c>
      <c r="U167" s="36" t="str">
        <f aca="false">IF(OR(R167="",T167=""),"",IF(T167&gt;=2,2,IF(N167="Target",-1,R167)))</f>
        <v/>
      </c>
      <c r="V167" s="36" t="str">
        <f aca="false">IF(OR(R167="",T167=""),"",IF(T167&gt;=3,3,IF(N167="Target",-1,R167)))</f>
        <v/>
      </c>
      <c r="W167" s="42" t="str">
        <f aca="false">IF(R167="","",ROUND(R167*(Inputs!$F$9+SUM(W$6:W166))*Inputs!$F$10,2))</f>
        <v/>
      </c>
      <c r="X167" s="42" t="str">
        <f aca="false">IF(R167="","",Inputs!$F$9+SUM(W$7:W167))</f>
        <v/>
      </c>
      <c r="Y167" s="43" t="str">
        <f aca="false">IF(S167="Yes",R167,"")</f>
        <v/>
      </c>
      <c r="Z167" s="43" t="str">
        <f aca="false">IF(Y167="","",SUM(Y$7:Y167))</f>
        <v/>
      </c>
      <c r="AA167" s="43" t="str">
        <f aca="false">IF(Y167="","",MAX(0,MAX(Z$7:Z167)))</f>
        <v/>
      </c>
      <c r="AB167" s="43" t="str">
        <f aca="false">IF(Y167="","",Z167-AA167)</f>
        <v/>
      </c>
    </row>
    <row r="168" customFormat="false" ht="15" hidden="false" customHeight="false" outlineLevel="0" collapsed="false">
      <c r="B168" s="38"/>
      <c r="C168" s="39" t="str">
        <f aca="false">IF(B168="","",INT((B168-Inputs!$F$8)/7)+1)</f>
        <v/>
      </c>
      <c r="D168" s="39" t="str">
        <f aca="false">IF(B168="","",COUNTIF(B$7:B168,B168))</f>
        <v/>
      </c>
      <c r="E168" s="34"/>
      <c r="F168" s="34"/>
      <c r="G168" s="34"/>
      <c r="H168" s="34"/>
      <c r="I168" s="34"/>
      <c r="J168" s="35"/>
      <c r="K168" s="35"/>
      <c r="L168" s="40" t="str">
        <f aca="false">IF(OR(J168="",K168=""),"",IF(G168="Long",J168+Inputs!$F$15*(J168-K168),J168-Inputs!$F$15*(K168-J168)))</f>
        <v/>
      </c>
      <c r="M168" s="35"/>
      <c r="N168" s="34"/>
      <c r="O168" s="35"/>
      <c r="P168" s="34"/>
      <c r="Q168" s="41"/>
      <c r="R168" s="36" t="str">
        <f aca="false">IF(OR(M168="",J168="",K168="",J168=K168),"",ROUND(IF(G168="Long",(M168-J168)/(J168-K168),(J168-M168)/(K168-J168)),2))</f>
        <v/>
      </c>
      <c r="S168" s="39" t="str">
        <f aca="false">IF(B168="","",IF(AND(I168="Y",OR(P168="None",P168="")),"Yes","No"))</f>
        <v/>
      </c>
      <c r="T168" s="36" t="str">
        <f aca="false">IF(OR(O168="",J168="",K168="",J168=K168),"",ROUND(IF(G168="Long",(O168-J168)/(J168-K168),(J168-O168)/(K168-J168)),2))</f>
        <v/>
      </c>
      <c r="U168" s="36" t="str">
        <f aca="false">IF(OR(R168="",T168=""),"",IF(T168&gt;=2,2,IF(N168="Target",-1,R168)))</f>
        <v/>
      </c>
      <c r="V168" s="36" t="str">
        <f aca="false">IF(OR(R168="",T168=""),"",IF(T168&gt;=3,3,IF(N168="Target",-1,R168)))</f>
        <v/>
      </c>
      <c r="W168" s="42" t="str">
        <f aca="false">IF(R168="","",ROUND(R168*(Inputs!$F$9+SUM(W$6:W167))*Inputs!$F$10,2))</f>
        <v/>
      </c>
      <c r="X168" s="42" t="str">
        <f aca="false">IF(R168="","",Inputs!$F$9+SUM(W$7:W168))</f>
        <v/>
      </c>
      <c r="Y168" s="43" t="str">
        <f aca="false">IF(S168="Yes",R168,"")</f>
        <v/>
      </c>
      <c r="Z168" s="43" t="str">
        <f aca="false">IF(Y168="","",SUM(Y$7:Y168))</f>
        <v/>
      </c>
      <c r="AA168" s="43" t="str">
        <f aca="false">IF(Y168="","",MAX(0,MAX(Z$7:Z168)))</f>
        <v/>
      </c>
      <c r="AB168" s="43" t="str">
        <f aca="false">IF(Y168="","",Z168-AA168)</f>
        <v/>
      </c>
    </row>
    <row r="169" customFormat="false" ht="15" hidden="false" customHeight="false" outlineLevel="0" collapsed="false">
      <c r="B169" s="38"/>
      <c r="C169" s="39" t="str">
        <f aca="false">IF(B169="","",INT((B169-Inputs!$F$8)/7)+1)</f>
        <v/>
      </c>
      <c r="D169" s="39" t="str">
        <f aca="false">IF(B169="","",COUNTIF(B$7:B169,B169))</f>
        <v/>
      </c>
      <c r="E169" s="34"/>
      <c r="F169" s="34"/>
      <c r="G169" s="34"/>
      <c r="H169" s="34"/>
      <c r="I169" s="34"/>
      <c r="J169" s="35"/>
      <c r="K169" s="35"/>
      <c r="L169" s="40" t="str">
        <f aca="false">IF(OR(J169="",K169=""),"",IF(G169="Long",J169+Inputs!$F$15*(J169-K169),J169-Inputs!$F$15*(K169-J169)))</f>
        <v/>
      </c>
      <c r="M169" s="35"/>
      <c r="N169" s="34"/>
      <c r="O169" s="35"/>
      <c r="P169" s="34"/>
      <c r="Q169" s="41"/>
      <c r="R169" s="36" t="str">
        <f aca="false">IF(OR(M169="",J169="",K169="",J169=K169),"",ROUND(IF(G169="Long",(M169-J169)/(J169-K169),(J169-M169)/(K169-J169)),2))</f>
        <v/>
      </c>
      <c r="S169" s="39" t="str">
        <f aca="false">IF(B169="","",IF(AND(I169="Y",OR(P169="None",P169="")),"Yes","No"))</f>
        <v/>
      </c>
      <c r="T169" s="36" t="str">
        <f aca="false">IF(OR(O169="",J169="",K169="",J169=K169),"",ROUND(IF(G169="Long",(O169-J169)/(J169-K169),(J169-O169)/(K169-J169)),2))</f>
        <v/>
      </c>
      <c r="U169" s="36" t="str">
        <f aca="false">IF(OR(R169="",T169=""),"",IF(T169&gt;=2,2,IF(N169="Target",-1,R169)))</f>
        <v/>
      </c>
      <c r="V169" s="36" t="str">
        <f aca="false">IF(OR(R169="",T169=""),"",IF(T169&gt;=3,3,IF(N169="Target",-1,R169)))</f>
        <v/>
      </c>
      <c r="W169" s="42" t="str">
        <f aca="false">IF(R169="","",ROUND(R169*(Inputs!$F$9+SUM(W$6:W168))*Inputs!$F$10,2))</f>
        <v/>
      </c>
      <c r="X169" s="42" t="str">
        <f aca="false">IF(R169="","",Inputs!$F$9+SUM(W$7:W169))</f>
        <v/>
      </c>
      <c r="Y169" s="43" t="str">
        <f aca="false">IF(S169="Yes",R169,"")</f>
        <v/>
      </c>
      <c r="Z169" s="43" t="str">
        <f aca="false">IF(Y169="","",SUM(Y$7:Y169))</f>
        <v/>
      </c>
      <c r="AA169" s="43" t="str">
        <f aca="false">IF(Y169="","",MAX(0,MAX(Z$7:Z169)))</f>
        <v/>
      </c>
      <c r="AB169" s="43" t="str">
        <f aca="false">IF(Y169="","",Z169-AA169)</f>
        <v/>
      </c>
    </row>
    <row r="170" customFormat="false" ht="15" hidden="false" customHeight="false" outlineLevel="0" collapsed="false">
      <c r="B170" s="38"/>
      <c r="C170" s="39" t="str">
        <f aca="false">IF(B170="","",INT((B170-Inputs!$F$8)/7)+1)</f>
        <v/>
      </c>
      <c r="D170" s="39" t="str">
        <f aca="false">IF(B170="","",COUNTIF(B$7:B170,B170))</f>
        <v/>
      </c>
      <c r="E170" s="34"/>
      <c r="F170" s="34"/>
      <c r="G170" s="34"/>
      <c r="H170" s="34"/>
      <c r="I170" s="34"/>
      <c r="J170" s="35"/>
      <c r="K170" s="35"/>
      <c r="L170" s="40" t="str">
        <f aca="false">IF(OR(J170="",K170=""),"",IF(G170="Long",J170+Inputs!$F$15*(J170-K170),J170-Inputs!$F$15*(K170-J170)))</f>
        <v/>
      </c>
      <c r="M170" s="35"/>
      <c r="N170" s="34"/>
      <c r="O170" s="35"/>
      <c r="P170" s="34"/>
      <c r="Q170" s="41"/>
      <c r="R170" s="36" t="str">
        <f aca="false">IF(OR(M170="",J170="",K170="",J170=K170),"",ROUND(IF(G170="Long",(M170-J170)/(J170-K170),(J170-M170)/(K170-J170)),2))</f>
        <v/>
      </c>
      <c r="S170" s="39" t="str">
        <f aca="false">IF(B170="","",IF(AND(I170="Y",OR(P170="None",P170="")),"Yes","No"))</f>
        <v/>
      </c>
      <c r="T170" s="36" t="str">
        <f aca="false">IF(OR(O170="",J170="",K170="",J170=K170),"",ROUND(IF(G170="Long",(O170-J170)/(J170-K170),(J170-O170)/(K170-J170)),2))</f>
        <v/>
      </c>
      <c r="U170" s="36" t="str">
        <f aca="false">IF(OR(R170="",T170=""),"",IF(T170&gt;=2,2,IF(N170="Target",-1,R170)))</f>
        <v/>
      </c>
      <c r="V170" s="36" t="str">
        <f aca="false">IF(OR(R170="",T170=""),"",IF(T170&gt;=3,3,IF(N170="Target",-1,R170)))</f>
        <v/>
      </c>
      <c r="W170" s="42" t="str">
        <f aca="false">IF(R170="","",ROUND(R170*(Inputs!$F$9+SUM(W$6:W169))*Inputs!$F$10,2))</f>
        <v/>
      </c>
      <c r="X170" s="42" t="str">
        <f aca="false">IF(R170="","",Inputs!$F$9+SUM(W$7:W170))</f>
        <v/>
      </c>
      <c r="Y170" s="43" t="str">
        <f aca="false">IF(S170="Yes",R170,"")</f>
        <v/>
      </c>
      <c r="Z170" s="43" t="str">
        <f aca="false">IF(Y170="","",SUM(Y$7:Y170))</f>
        <v/>
      </c>
      <c r="AA170" s="43" t="str">
        <f aca="false">IF(Y170="","",MAX(0,MAX(Z$7:Z170)))</f>
        <v/>
      </c>
      <c r="AB170" s="43" t="str">
        <f aca="false">IF(Y170="","",Z170-AA170)</f>
        <v/>
      </c>
    </row>
    <row r="171" customFormat="false" ht="15" hidden="false" customHeight="false" outlineLevel="0" collapsed="false">
      <c r="B171" s="38"/>
      <c r="C171" s="39" t="str">
        <f aca="false">IF(B171="","",INT((B171-Inputs!$F$8)/7)+1)</f>
        <v/>
      </c>
      <c r="D171" s="39" t="str">
        <f aca="false">IF(B171="","",COUNTIF(B$7:B171,B171))</f>
        <v/>
      </c>
      <c r="E171" s="34"/>
      <c r="F171" s="34"/>
      <c r="G171" s="34"/>
      <c r="H171" s="34"/>
      <c r="I171" s="34"/>
      <c r="J171" s="35"/>
      <c r="K171" s="35"/>
      <c r="L171" s="40" t="str">
        <f aca="false">IF(OR(J171="",K171=""),"",IF(G171="Long",J171+Inputs!$F$15*(J171-K171),J171-Inputs!$F$15*(K171-J171)))</f>
        <v/>
      </c>
      <c r="M171" s="35"/>
      <c r="N171" s="34"/>
      <c r="O171" s="35"/>
      <c r="P171" s="34"/>
      <c r="Q171" s="41"/>
      <c r="R171" s="36" t="str">
        <f aca="false">IF(OR(M171="",J171="",K171="",J171=K171),"",ROUND(IF(G171="Long",(M171-J171)/(J171-K171),(J171-M171)/(K171-J171)),2))</f>
        <v/>
      </c>
      <c r="S171" s="39" t="str">
        <f aca="false">IF(B171="","",IF(AND(I171="Y",OR(P171="None",P171="")),"Yes","No"))</f>
        <v/>
      </c>
      <c r="T171" s="36" t="str">
        <f aca="false">IF(OR(O171="",J171="",K171="",J171=K171),"",ROUND(IF(G171="Long",(O171-J171)/(J171-K171),(J171-O171)/(K171-J171)),2))</f>
        <v/>
      </c>
      <c r="U171" s="36" t="str">
        <f aca="false">IF(OR(R171="",T171=""),"",IF(T171&gt;=2,2,IF(N171="Target",-1,R171)))</f>
        <v/>
      </c>
      <c r="V171" s="36" t="str">
        <f aca="false">IF(OR(R171="",T171=""),"",IF(T171&gt;=3,3,IF(N171="Target",-1,R171)))</f>
        <v/>
      </c>
      <c r="W171" s="42" t="str">
        <f aca="false">IF(R171="","",ROUND(R171*(Inputs!$F$9+SUM(W$6:W170))*Inputs!$F$10,2))</f>
        <v/>
      </c>
      <c r="X171" s="42" t="str">
        <f aca="false">IF(R171="","",Inputs!$F$9+SUM(W$7:W171))</f>
        <v/>
      </c>
      <c r="Y171" s="43" t="str">
        <f aca="false">IF(S171="Yes",R171,"")</f>
        <v/>
      </c>
      <c r="Z171" s="43" t="str">
        <f aca="false">IF(Y171="","",SUM(Y$7:Y171))</f>
        <v/>
      </c>
      <c r="AA171" s="43" t="str">
        <f aca="false">IF(Y171="","",MAX(0,MAX(Z$7:Z171)))</f>
        <v/>
      </c>
      <c r="AB171" s="43" t="str">
        <f aca="false">IF(Y171="","",Z171-AA171)</f>
        <v/>
      </c>
    </row>
    <row r="172" customFormat="false" ht="15" hidden="false" customHeight="false" outlineLevel="0" collapsed="false">
      <c r="B172" s="38"/>
      <c r="C172" s="39" t="str">
        <f aca="false">IF(B172="","",INT((B172-Inputs!$F$8)/7)+1)</f>
        <v/>
      </c>
      <c r="D172" s="39" t="str">
        <f aca="false">IF(B172="","",COUNTIF(B$7:B172,B172))</f>
        <v/>
      </c>
      <c r="E172" s="34"/>
      <c r="F172" s="34"/>
      <c r="G172" s="34"/>
      <c r="H172" s="34"/>
      <c r="I172" s="34"/>
      <c r="J172" s="35"/>
      <c r="K172" s="35"/>
      <c r="L172" s="40" t="str">
        <f aca="false">IF(OR(J172="",K172=""),"",IF(G172="Long",J172+Inputs!$F$15*(J172-K172),J172-Inputs!$F$15*(K172-J172)))</f>
        <v/>
      </c>
      <c r="M172" s="35"/>
      <c r="N172" s="34"/>
      <c r="O172" s="35"/>
      <c r="P172" s="34"/>
      <c r="Q172" s="41"/>
      <c r="R172" s="36" t="str">
        <f aca="false">IF(OR(M172="",J172="",K172="",J172=K172),"",ROUND(IF(G172="Long",(M172-J172)/(J172-K172),(J172-M172)/(K172-J172)),2))</f>
        <v/>
      </c>
      <c r="S172" s="39" t="str">
        <f aca="false">IF(B172="","",IF(AND(I172="Y",OR(P172="None",P172="")),"Yes","No"))</f>
        <v/>
      </c>
      <c r="T172" s="36" t="str">
        <f aca="false">IF(OR(O172="",J172="",K172="",J172=K172),"",ROUND(IF(G172="Long",(O172-J172)/(J172-K172),(J172-O172)/(K172-J172)),2))</f>
        <v/>
      </c>
      <c r="U172" s="36" t="str">
        <f aca="false">IF(OR(R172="",T172=""),"",IF(T172&gt;=2,2,IF(N172="Target",-1,R172)))</f>
        <v/>
      </c>
      <c r="V172" s="36" t="str">
        <f aca="false">IF(OR(R172="",T172=""),"",IF(T172&gt;=3,3,IF(N172="Target",-1,R172)))</f>
        <v/>
      </c>
      <c r="W172" s="42" t="str">
        <f aca="false">IF(R172="","",ROUND(R172*(Inputs!$F$9+SUM(W$6:W171))*Inputs!$F$10,2))</f>
        <v/>
      </c>
      <c r="X172" s="42" t="str">
        <f aca="false">IF(R172="","",Inputs!$F$9+SUM(W$7:W172))</f>
        <v/>
      </c>
      <c r="Y172" s="43" t="str">
        <f aca="false">IF(S172="Yes",R172,"")</f>
        <v/>
      </c>
      <c r="Z172" s="43" t="str">
        <f aca="false">IF(Y172="","",SUM(Y$7:Y172))</f>
        <v/>
      </c>
      <c r="AA172" s="43" t="str">
        <f aca="false">IF(Y172="","",MAX(0,MAX(Z$7:Z172)))</f>
        <v/>
      </c>
      <c r="AB172" s="43" t="str">
        <f aca="false">IF(Y172="","",Z172-AA172)</f>
        <v/>
      </c>
    </row>
    <row r="173" customFormat="false" ht="15" hidden="false" customHeight="false" outlineLevel="0" collapsed="false">
      <c r="B173" s="38"/>
      <c r="C173" s="39" t="str">
        <f aca="false">IF(B173="","",INT((B173-Inputs!$F$8)/7)+1)</f>
        <v/>
      </c>
      <c r="D173" s="39" t="str">
        <f aca="false">IF(B173="","",COUNTIF(B$7:B173,B173))</f>
        <v/>
      </c>
      <c r="E173" s="34"/>
      <c r="F173" s="34"/>
      <c r="G173" s="34"/>
      <c r="H173" s="34"/>
      <c r="I173" s="34"/>
      <c r="J173" s="35"/>
      <c r="K173" s="35"/>
      <c r="L173" s="40" t="str">
        <f aca="false">IF(OR(J173="",K173=""),"",IF(G173="Long",J173+Inputs!$F$15*(J173-K173),J173-Inputs!$F$15*(K173-J173)))</f>
        <v/>
      </c>
      <c r="M173" s="35"/>
      <c r="N173" s="34"/>
      <c r="O173" s="35"/>
      <c r="P173" s="34"/>
      <c r="Q173" s="41"/>
      <c r="R173" s="36" t="str">
        <f aca="false">IF(OR(M173="",J173="",K173="",J173=K173),"",ROUND(IF(G173="Long",(M173-J173)/(J173-K173),(J173-M173)/(K173-J173)),2))</f>
        <v/>
      </c>
      <c r="S173" s="39" t="str">
        <f aca="false">IF(B173="","",IF(AND(I173="Y",OR(P173="None",P173="")),"Yes","No"))</f>
        <v/>
      </c>
      <c r="T173" s="36" t="str">
        <f aca="false">IF(OR(O173="",J173="",K173="",J173=K173),"",ROUND(IF(G173="Long",(O173-J173)/(J173-K173),(J173-O173)/(K173-J173)),2))</f>
        <v/>
      </c>
      <c r="U173" s="36" t="str">
        <f aca="false">IF(OR(R173="",T173=""),"",IF(T173&gt;=2,2,IF(N173="Target",-1,R173)))</f>
        <v/>
      </c>
      <c r="V173" s="36" t="str">
        <f aca="false">IF(OR(R173="",T173=""),"",IF(T173&gt;=3,3,IF(N173="Target",-1,R173)))</f>
        <v/>
      </c>
      <c r="W173" s="42" t="str">
        <f aca="false">IF(R173="","",ROUND(R173*(Inputs!$F$9+SUM(W$6:W172))*Inputs!$F$10,2))</f>
        <v/>
      </c>
      <c r="X173" s="42" t="str">
        <f aca="false">IF(R173="","",Inputs!$F$9+SUM(W$7:W173))</f>
        <v/>
      </c>
      <c r="Y173" s="43" t="str">
        <f aca="false">IF(S173="Yes",R173,"")</f>
        <v/>
      </c>
      <c r="Z173" s="43" t="str">
        <f aca="false">IF(Y173="","",SUM(Y$7:Y173))</f>
        <v/>
      </c>
      <c r="AA173" s="43" t="str">
        <f aca="false">IF(Y173="","",MAX(0,MAX(Z$7:Z173)))</f>
        <v/>
      </c>
      <c r="AB173" s="43" t="str">
        <f aca="false">IF(Y173="","",Z173-AA173)</f>
        <v/>
      </c>
    </row>
    <row r="174" customFormat="false" ht="15" hidden="false" customHeight="false" outlineLevel="0" collapsed="false">
      <c r="B174" s="38"/>
      <c r="C174" s="39" t="str">
        <f aca="false">IF(B174="","",INT((B174-Inputs!$F$8)/7)+1)</f>
        <v/>
      </c>
      <c r="D174" s="39" t="str">
        <f aca="false">IF(B174="","",COUNTIF(B$7:B174,B174))</f>
        <v/>
      </c>
      <c r="E174" s="34"/>
      <c r="F174" s="34"/>
      <c r="G174" s="34"/>
      <c r="H174" s="34"/>
      <c r="I174" s="34"/>
      <c r="J174" s="35"/>
      <c r="K174" s="35"/>
      <c r="L174" s="40" t="str">
        <f aca="false">IF(OR(J174="",K174=""),"",IF(G174="Long",J174+Inputs!$F$15*(J174-K174),J174-Inputs!$F$15*(K174-J174)))</f>
        <v/>
      </c>
      <c r="M174" s="35"/>
      <c r="N174" s="34"/>
      <c r="O174" s="35"/>
      <c r="P174" s="34"/>
      <c r="Q174" s="41"/>
      <c r="R174" s="36" t="str">
        <f aca="false">IF(OR(M174="",J174="",K174="",J174=K174),"",ROUND(IF(G174="Long",(M174-J174)/(J174-K174),(J174-M174)/(K174-J174)),2))</f>
        <v/>
      </c>
      <c r="S174" s="39" t="str">
        <f aca="false">IF(B174="","",IF(AND(I174="Y",OR(P174="None",P174="")),"Yes","No"))</f>
        <v/>
      </c>
      <c r="T174" s="36" t="str">
        <f aca="false">IF(OR(O174="",J174="",K174="",J174=K174),"",ROUND(IF(G174="Long",(O174-J174)/(J174-K174),(J174-O174)/(K174-J174)),2))</f>
        <v/>
      </c>
      <c r="U174" s="36" t="str">
        <f aca="false">IF(OR(R174="",T174=""),"",IF(T174&gt;=2,2,IF(N174="Target",-1,R174)))</f>
        <v/>
      </c>
      <c r="V174" s="36" t="str">
        <f aca="false">IF(OR(R174="",T174=""),"",IF(T174&gt;=3,3,IF(N174="Target",-1,R174)))</f>
        <v/>
      </c>
      <c r="W174" s="42" t="str">
        <f aca="false">IF(R174="","",ROUND(R174*(Inputs!$F$9+SUM(W$6:W173))*Inputs!$F$10,2))</f>
        <v/>
      </c>
      <c r="X174" s="42" t="str">
        <f aca="false">IF(R174="","",Inputs!$F$9+SUM(W$7:W174))</f>
        <v/>
      </c>
      <c r="Y174" s="43" t="str">
        <f aca="false">IF(S174="Yes",R174,"")</f>
        <v/>
      </c>
      <c r="Z174" s="43" t="str">
        <f aca="false">IF(Y174="","",SUM(Y$7:Y174))</f>
        <v/>
      </c>
      <c r="AA174" s="43" t="str">
        <f aca="false">IF(Y174="","",MAX(0,MAX(Z$7:Z174)))</f>
        <v/>
      </c>
      <c r="AB174" s="43" t="str">
        <f aca="false">IF(Y174="","",Z174-AA174)</f>
        <v/>
      </c>
    </row>
    <row r="175" customFormat="false" ht="15" hidden="false" customHeight="false" outlineLevel="0" collapsed="false">
      <c r="B175" s="38"/>
      <c r="C175" s="39" t="str">
        <f aca="false">IF(B175="","",INT((B175-Inputs!$F$8)/7)+1)</f>
        <v/>
      </c>
      <c r="D175" s="39" t="str">
        <f aca="false">IF(B175="","",COUNTIF(B$7:B175,B175))</f>
        <v/>
      </c>
      <c r="E175" s="34"/>
      <c r="F175" s="34"/>
      <c r="G175" s="34"/>
      <c r="H175" s="34"/>
      <c r="I175" s="34"/>
      <c r="J175" s="35"/>
      <c r="K175" s="35"/>
      <c r="L175" s="40" t="str">
        <f aca="false">IF(OR(J175="",K175=""),"",IF(G175="Long",J175+Inputs!$F$15*(J175-K175),J175-Inputs!$F$15*(K175-J175)))</f>
        <v/>
      </c>
      <c r="M175" s="35"/>
      <c r="N175" s="34"/>
      <c r="O175" s="35"/>
      <c r="P175" s="34"/>
      <c r="Q175" s="41"/>
      <c r="R175" s="36" t="str">
        <f aca="false">IF(OR(M175="",J175="",K175="",J175=K175),"",ROUND(IF(G175="Long",(M175-J175)/(J175-K175),(J175-M175)/(K175-J175)),2))</f>
        <v/>
      </c>
      <c r="S175" s="39" t="str">
        <f aca="false">IF(B175="","",IF(AND(I175="Y",OR(P175="None",P175="")),"Yes","No"))</f>
        <v/>
      </c>
      <c r="T175" s="36" t="str">
        <f aca="false">IF(OR(O175="",J175="",K175="",J175=K175),"",ROUND(IF(G175="Long",(O175-J175)/(J175-K175),(J175-O175)/(K175-J175)),2))</f>
        <v/>
      </c>
      <c r="U175" s="36" t="str">
        <f aca="false">IF(OR(R175="",T175=""),"",IF(T175&gt;=2,2,IF(N175="Target",-1,R175)))</f>
        <v/>
      </c>
      <c r="V175" s="36" t="str">
        <f aca="false">IF(OR(R175="",T175=""),"",IF(T175&gt;=3,3,IF(N175="Target",-1,R175)))</f>
        <v/>
      </c>
      <c r="W175" s="42" t="str">
        <f aca="false">IF(R175="","",ROUND(R175*(Inputs!$F$9+SUM(W$6:W174))*Inputs!$F$10,2))</f>
        <v/>
      </c>
      <c r="X175" s="42" t="str">
        <f aca="false">IF(R175="","",Inputs!$F$9+SUM(W$7:W175))</f>
        <v/>
      </c>
      <c r="Y175" s="43" t="str">
        <f aca="false">IF(S175="Yes",R175,"")</f>
        <v/>
      </c>
      <c r="Z175" s="43" t="str">
        <f aca="false">IF(Y175="","",SUM(Y$7:Y175))</f>
        <v/>
      </c>
      <c r="AA175" s="43" t="str">
        <f aca="false">IF(Y175="","",MAX(0,MAX(Z$7:Z175)))</f>
        <v/>
      </c>
      <c r="AB175" s="43" t="str">
        <f aca="false">IF(Y175="","",Z175-AA175)</f>
        <v/>
      </c>
    </row>
    <row r="176" customFormat="false" ht="15" hidden="false" customHeight="false" outlineLevel="0" collapsed="false">
      <c r="B176" s="38"/>
      <c r="C176" s="39" t="str">
        <f aca="false">IF(B176="","",INT((B176-Inputs!$F$8)/7)+1)</f>
        <v/>
      </c>
      <c r="D176" s="39" t="str">
        <f aca="false">IF(B176="","",COUNTIF(B$7:B176,B176))</f>
        <v/>
      </c>
      <c r="E176" s="34"/>
      <c r="F176" s="34"/>
      <c r="G176" s="34"/>
      <c r="H176" s="34"/>
      <c r="I176" s="34"/>
      <c r="J176" s="35"/>
      <c r="K176" s="35"/>
      <c r="L176" s="40" t="str">
        <f aca="false">IF(OR(J176="",K176=""),"",IF(G176="Long",J176+Inputs!$F$15*(J176-K176),J176-Inputs!$F$15*(K176-J176)))</f>
        <v/>
      </c>
      <c r="M176" s="35"/>
      <c r="N176" s="34"/>
      <c r="O176" s="35"/>
      <c r="P176" s="34"/>
      <c r="Q176" s="41"/>
      <c r="R176" s="36" t="str">
        <f aca="false">IF(OR(M176="",J176="",K176="",J176=K176),"",ROUND(IF(G176="Long",(M176-J176)/(J176-K176),(J176-M176)/(K176-J176)),2))</f>
        <v/>
      </c>
      <c r="S176" s="39" t="str">
        <f aca="false">IF(B176="","",IF(AND(I176="Y",OR(P176="None",P176="")),"Yes","No"))</f>
        <v/>
      </c>
      <c r="T176" s="36" t="str">
        <f aca="false">IF(OR(O176="",J176="",K176="",J176=K176),"",ROUND(IF(G176="Long",(O176-J176)/(J176-K176),(J176-O176)/(K176-J176)),2))</f>
        <v/>
      </c>
      <c r="U176" s="36" t="str">
        <f aca="false">IF(OR(R176="",T176=""),"",IF(T176&gt;=2,2,IF(N176="Target",-1,R176)))</f>
        <v/>
      </c>
      <c r="V176" s="36" t="str">
        <f aca="false">IF(OR(R176="",T176=""),"",IF(T176&gt;=3,3,IF(N176="Target",-1,R176)))</f>
        <v/>
      </c>
      <c r="W176" s="42" t="str">
        <f aca="false">IF(R176="","",ROUND(R176*(Inputs!$F$9+SUM(W$6:W175))*Inputs!$F$10,2))</f>
        <v/>
      </c>
      <c r="X176" s="42" t="str">
        <f aca="false">IF(R176="","",Inputs!$F$9+SUM(W$7:W176))</f>
        <v/>
      </c>
      <c r="Y176" s="43" t="str">
        <f aca="false">IF(S176="Yes",R176,"")</f>
        <v/>
      </c>
      <c r="Z176" s="43" t="str">
        <f aca="false">IF(Y176="","",SUM(Y$7:Y176))</f>
        <v/>
      </c>
      <c r="AA176" s="43" t="str">
        <f aca="false">IF(Y176="","",MAX(0,MAX(Z$7:Z176)))</f>
        <v/>
      </c>
      <c r="AB176" s="43" t="str">
        <f aca="false">IF(Y176="","",Z176-AA176)</f>
        <v/>
      </c>
    </row>
    <row r="177" customFormat="false" ht="15" hidden="false" customHeight="false" outlineLevel="0" collapsed="false">
      <c r="B177" s="38"/>
      <c r="C177" s="39" t="str">
        <f aca="false">IF(B177="","",INT((B177-Inputs!$F$8)/7)+1)</f>
        <v/>
      </c>
      <c r="D177" s="39" t="str">
        <f aca="false">IF(B177="","",COUNTIF(B$7:B177,B177))</f>
        <v/>
      </c>
      <c r="E177" s="34"/>
      <c r="F177" s="34"/>
      <c r="G177" s="34"/>
      <c r="H177" s="34"/>
      <c r="I177" s="34"/>
      <c r="J177" s="35"/>
      <c r="K177" s="35"/>
      <c r="L177" s="40" t="str">
        <f aca="false">IF(OR(J177="",K177=""),"",IF(G177="Long",J177+Inputs!$F$15*(J177-K177),J177-Inputs!$F$15*(K177-J177)))</f>
        <v/>
      </c>
      <c r="M177" s="35"/>
      <c r="N177" s="34"/>
      <c r="O177" s="35"/>
      <c r="P177" s="34"/>
      <c r="Q177" s="41"/>
      <c r="R177" s="36" t="str">
        <f aca="false">IF(OR(M177="",J177="",K177="",J177=K177),"",ROUND(IF(G177="Long",(M177-J177)/(J177-K177),(J177-M177)/(K177-J177)),2))</f>
        <v/>
      </c>
      <c r="S177" s="39" t="str">
        <f aca="false">IF(B177="","",IF(AND(I177="Y",OR(P177="None",P177="")),"Yes","No"))</f>
        <v/>
      </c>
      <c r="T177" s="36" t="str">
        <f aca="false">IF(OR(O177="",J177="",K177="",J177=K177),"",ROUND(IF(G177="Long",(O177-J177)/(J177-K177),(J177-O177)/(K177-J177)),2))</f>
        <v/>
      </c>
      <c r="U177" s="36" t="str">
        <f aca="false">IF(OR(R177="",T177=""),"",IF(T177&gt;=2,2,IF(N177="Target",-1,R177)))</f>
        <v/>
      </c>
      <c r="V177" s="36" t="str">
        <f aca="false">IF(OR(R177="",T177=""),"",IF(T177&gt;=3,3,IF(N177="Target",-1,R177)))</f>
        <v/>
      </c>
      <c r="W177" s="42" t="str">
        <f aca="false">IF(R177="","",ROUND(R177*(Inputs!$F$9+SUM(W$6:W176))*Inputs!$F$10,2))</f>
        <v/>
      </c>
      <c r="X177" s="42" t="str">
        <f aca="false">IF(R177="","",Inputs!$F$9+SUM(W$7:W177))</f>
        <v/>
      </c>
      <c r="Y177" s="43" t="str">
        <f aca="false">IF(S177="Yes",R177,"")</f>
        <v/>
      </c>
      <c r="Z177" s="43" t="str">
        <f aca="false">IF(Y177="","",SUM(Y$7:Y177))</f>
        <v/>
      </c>
      <c r="AA177" s="43" t="str">
        <f aca="false">IF(Y177="","",MAX(0,MAX(Z$7:Z177)))</f>
        <v/>
      </c>
      <c r="AB177" s="43" t="str">
        <f aca="false">IF(Y177="","",Z177-AA177)</f>
        <v/>
      </c>
    </row>
    <row r="178" customFormat="false" ht="15" hidden="false" customHeight="false" outlineLevel="0" collapsed="false">
      <c r="B178" s="38"/>
      <c r="C178" s="39" t="str">
        <f aca="false">IF(B178="","",INT((B178-Inputs!$F$8)/7)+1)</f>
        <v/>
      </c>
      <c r="D178" s="39" t="str">
        <f aca="false">IF(B178="","",COUNTIF(B$7:B178,B178))</f>
        <v/>
      </c>
      <c r="E178" s="34"/>
      <c r="F178" s="34"/>
      <c r="G178" s="34"/>
      <c r="H178" s="34"/>
      <c r="I178" s="34"/>
      <c r="J178" s="35"/>
      <c r="K178" s="35"/>
      <c r="L178" s="40" t="str">
        <f aca="false">IF(OR(J178="",K178=""),"",IF(G178="Long",J178+Inputs!$F$15*(J178-K178),J178-Inputs!$F$15*(K178-J178)))</f>
        <v/>
      </c>
      <c r="M178" s="35"/>
      <c r="N178" s="34"/>
      <c r="O178" s="35"/>
      <c r="P178" s="34"/>
      <c r="Q178" s="41"/>
      <c r="R178" s="36" t="str">
        <f aca="false">IF(OR(M178="",J178="",K178="",J178=K178),"",ROUND(IF(G178="Long",(M178-J178)/(J178-K178),(J178-M178)/(K178-J178)),2))</f>
        <v/>
      </c>
      <c r="S178" s="39" t="str">
        <f aca="false">IF(B178="","",IF(AND(I178="Y",OR(P178="None",P178="")),"Yes","No"))</f>
        <v/>
      </c>
      <c r="T178" s="36" t="str">
        <f aca="false">IF(OR(O178="",J178="",K178="",J178=K178),"",ROUND(IF(G178="Long",(O178-J178)/(J178-K178),(J178-O178)/(K178-J178)),2))</f>
        <v/>
      </c>
      <c r="U178" s="36" t="str">
        <f aca="false">IF(OR(R178="",T178=""),"",IF(T178&gt;=2,2,IF(N178="Target",-1,R178)))</f>
        <v/>
      </c>
      <c r="V178" s="36" t="str">
        <f aca="false">IF(OR(R178="",T178=""),"",IF(T178&gt;=3,3,IF(N178="Target",-1,R178)))</f>
        <v/>
      </c>
      <c r="W178" s="42" t="str">
        <f aca="false">IF(R178="","",ROUND(R178*(Inputs!$F$9+SUM(W$6:W177))*Inputs!$F$10,2))</f>
        <v/>
      </c>
      <c r="X178" s="42" t="str">
        <f aca="false">IF(R178="","",Inputs!$F$9+SUM(W$7:W178))</f>
        <v/>
      </c>
      <c r="Y178" s="43" t="str">
        <f aca="false">IF(S178="Yes",R178,"")</f>
        <v/>
      </c>
      <c r="Z178" s="43" t="str">
        <f aca="false">IF(Y178="","",SUM(Y$7:Y178))</f>
        <v/>
      </c>
      <c r="AA178" s="43" t="str">
        <f aca="false">IF(Y178="","",MAX(0,MAX(Z$7:Z178)))</f>
        <v/>
      </c>
      <c r="AB178" s="43" t="str">
        <f aca="false">IF(Y178="","",Z178-AA178)</f>
        <v/>
      </c>
    </row>
    <row r="179" customFormat="false" ht="15" hidden="false" customHeight="false" outlineLevel="0" collapsed="false">
      <c r="B179" s="38"/>
      <c r="C179" s="39" t="str">
        <f aca="false">IF(B179="","",INT((B179-Inputs!$F$8)/7)+1)</f>
        <v/>
      </c>
      <c r="D179" s="39" t="str">
        <f aca="false">IF(B179="","",COUNTIF(B$7:B179,B179))</f>
        <v/>
      </c>
      <c r="E179" s="34"/>
      <c r="F179" s="34"/>
      <c r="G179" s="34"/>
      <c r="H179" s="34"/>
      <c r="I179" s="34"/>
      <c r="J179" s="35"/>
      <c r="K179" s="35"/>
      <c r="L179" s="40" t="str">
        <f aca="false">IF(OR(J179="",K179=""),"",IF(G179="Long",J179+Inputs!$F$15*(J179-K179),J179-Inputs!$F$15*(K179-J179)))</f>
        <v/>
      </c>
      <c r="M179" s="35"/>
      <c r="N179" s="34"/>
      <c r="O179" s="35"/>
      <c r="P179" s="34"/>
      <c r="Q179" s="41"/>
      <c r="R179" s="36" t="str">
        <f aca="false">IF(OR(M179="",J179="",K179="",J179=K179),"",ROUND(IF(G179="Long",(M179-J179)/(J179-K179),(J179-M179)/(K179-J179)),2))</f>
        <v/>
      </c>
      <c r="S179" s="39" t="str">
        <f aca="false">IF(B179="","",IF(AND(I179="Y",OR(P179="None",P179="")),"Yes","No"))</f>
        <v/>
      </c>
      <c r="T179" s="36" t="str">
        <f aca="false">IF(OR(O179="",J179="",K179="",J179=K179),"",ROUND(IF(G179="Long",(O179-J179)/(J179-K179),(J179-O179)/(K179-J179)),2))</f>
        <v/>
      </c>
      <c r="U179" s="36" t="str">
        <f aca="false">IF(OR(R179="",T179=""),"",IF(T179&gt;=2,2,IF(N179="Target",-1,R179)))</f>
        <v/>
      </c>
      <c r="V179" s="36" t="str">
        <f aca="false">IF(OR(R179="",T179=""),"",IF(T179&gt;=3,3,IF(N179="Target",-1,R179)))</f>
        <v/>
      </c>
      <c r="W179" s="42" t="str">
        <f aca="false">IF(R179="","",ROUND(R179*(Inputs!$F$9+SUM(W$6:W178))*Inputs!$F$10,2))</f>
        <v/>
      </c>
      <c r="X179" s="42" t="str">
        <f aca="false">IF(R179="","",Inputs!$F$9+SUM(W$7:W179))</f>
        <v/>
      </c>
      <c r="Y179" s="43" t="str">
        <f aca="false">IF(S179="Yes",R179,"")</f>
        <v/>
      </c>
      <c r="Z179" s="43" t="str">
        <f aca="false">IF(Y179="","",SUM(Y$7:Y179))</f>
        <v/>
      </c>
      <c r="AA179" s="43" t="str">
        <f aca="false">IF(Y179="","",MAX(0,MAX(Z$7:Z179)))</f>
        <v/>
      </c>
      <c r="AB179" s="43" t="str">
        <f aca="false">IF(Y179="","",Z179-AA179)</f>
        <v/>
      </c>
    </row>
    <row r="180" customFormat="false" ht="15" hidden="false" customHeight="false" outlineLevel="0" collapsed="false">
      <c r="B180" s="38"/>
      <c r="C180" s="39" t="str">
        <f aca="false">IF(B180="","",INT((B180-Inputs!$F$8)/7)+1)</f>
        <v/>
      </c>
      <c r="D180" s="39" t="str">
        <f aca="false">IF(B180="","",COUNTIF(B$7:B180,B180))</f>
        <v/>
      </c>
      <c r="E180" s="34"/>
      <c r="F180" s="34"/>
      <c r="G180" s="34"/>
      <c r="H180" s="34"/>
      <c r="I180" s="34"/>
      <c r="J180" s="35"/>
      <c r="K180" s="35"/>
      <c r="L180" s="40" t="str">
        <f aca="false">IF(OR(J180="",K180=""),"",IF(G180="Long",J180+Inputs!$F$15*(J180-K180),J180-Inputs!$F$15*(K180-J180)))</f>
        <v/>
      </c>
      <c r="M180" s="35"/>
      <c r="N180" s="34"/>
      <c r="O180" s="35"/>
      <c r="P180" s="34"/>
      <c r="Q180" s="41"/>
      <c r="R180" s="36" t="str">
        <f aca="false">IF(OR(M180="",J180="",K180="",J180=K180),"",ROUND(IF(G180="Long",(M180-J180)/(J180-K180),(J180-M180)/(K180-J180)),2))</f>
        <v/>
      </c>
      <c r="S180" s="39" t="str">
        <f aca="false">IF(B180="","",IF(AND(I180="Y",OR(P180="None",P180="")),"Yes","No"))</f>
        <v/>
      </c>
      <c r="T180" s="36" t="str">
        <f aca="false">IF(OR(O180="",J180="",K180="",J180=K180),"",ROUND(IF(G180="Long",(O180-J180)/(J180-K180),(J180-O180)/(K180-J180)),2))</f>
        <v/>
      </c>
      <c r="U180" s="36" t="str">
        <f aca="false">IF(OR(R180="",T180=""),"",IF(T180&gt;=2,2,IF(N180="Target",-1,R180)))</f>
        <v/>
      </c>
      <c r="V180" s="36" t="str">
        <f aca="false">IF(OR(R180="",T180=""),"",IF(T180&gt;=3,3,IF(N180="Target",-1,R180)))</f>
        <v/>
      </c>
      <c r="W180" s="42" t="str">
        <f aca="false">IF(R180="","",ROUND(R180*(Inputs!$F$9+SUM(W$6:W179))*Inputs!$F$10,2))</f>
        <v/>
      </c>
      <c r="X180" s="42" t="str">
        <f aca="false">IF(R180="","",Inputs!$F$9+SUM(W$7:W180))</f>
        <v/>
      </c>
      <c r="Y180" s="43" t="str">
        <f aca="false">IF(S180="Yes",R180,"")</f>
        <v/>
      </c>
      <c r="Z180" s="43" t="str">
        <f aca="false">IF(Y180="","",SUM(Y$7:Y180))</f>
        <v/>
      </c>
      <c r="AA180" s="43" t="str">
        <f aca="false">IF(Y180="","",MAX(0,MAX(Z$7:Z180)))</f>
        <v/>
      </c>
      <c r="AB180" s="43" t="str">
        <f aca="false">IF(Y180="","",Z180-AA180)</f>
        <v/>
      </c>
    </row>
    <row r="181" customFormat="false" ht="15" hidden="false" customHeight="false" outlineLevel="0" collapsed="false">
      <c r="B181" s="38"/>
      <c r="C181" s="39" t="str">
        <f aca="false">IF(B181="","",INT((B181-Inputs!$F$8)/7)+1)</f>
        <v/>
      </c>
      <c r="D181" s="39" t="str">
        <f aca="false">IF(B181="","",COUNTIF(B$7:B181,B181))</f>
        <v/>
      </c>
      <c r="E181" s="34"/>
      <c r="F181" s="34"/>
      <c r="G181" s="34"/>
      <c r="H181" s="34"/>
      <c r="I181" s="34"/>
      <c r="J181" s="35"/>
      <c r="K181" s="35"/>
      <c r="L181" s="40" t="str">
        <f aca="false">IF(OR(J181="",K181=""),"",IF(G181="Long",J181+Inputs!$F$15*(J181-K181),J181-Inputs!$F$15*(K181-J181)))</f>
        <v/>
      </c>
      <c r="M181" s="35"/>
      <c r="N181" s="34"/>
      <c r="O181" s="35"/>
      <c r="P181" s="34"/>
      <c r="Q181" s="41"/>
      <c r="R181" s="36" t="str">
        <f aca="false">IF(OR(M181="",J181="",K181="",J181=K181),"",ROUND(IF(G181="Long",(M181-J181)/(J181-K181),(J181-M181)/(K181-J181)),2))</f>
        <v/>
      </c>
      <c r="S181" s="39" t="str">
        <f aca="false">IF(B181="","",IF(AND(I181="Y",OR(P181="None",P181="")),"Yes","No"))</f>
        <v/>
      </c>
      <c r="T181" s="36" t="str">
        <f aca="false">IF(OR(O181="",J181="",K181="",J181=K181),"",ROUND(IF(G181="Long",(O181-J181)/(J181-K181),(J181-O181)/(K181-J181)),2))</f>
        <v/>
      </c>
      <c r="U181" s="36" t="str">
        <f aca="false">IF(OR(R181="",T181=""),"",IF(T181&gt;=2,2,IF(N181="Target",-1,R181)))</f>
        <v/>
      </c>
      <c r="V181" s="36" t="str">
        <f aca="false">IF(OR(R181="",T181=""),"",IF(T181&gt;=3,3,IF(N181="Target",-1,R181)))</f>
        <v/>
      </c>
      <c r="W181" s="42" t="str">
        <f aca="false">IF(R181="","",ROUND(R181*(Inputs!$F$9+SUM(W$6:W180))*Inputs!$F$10,2))</f>
        <v/>
      </c>
      <c r="X181" s="42" t="str">
        <f aca="false">IF(R181="","",Inputs!$F$9+SUM(W$7:W181))</f>
        <v/>
      </c>
      <c r="Y181" s="43" t="str">
        <f aca="false">IF(S181="Yes",R181,"")</f>
        <v/>
      </c>
      <c r="Z181" s="43" t="str">
        <f aca="false">IF(Y181="","",SUM(Y$7:Y181))</f>
        <v/>
      </c>
      <c r="AA181" s="43" t="str">
        <f aca="false">IF(Y181="","",MAX(0,MAX(Z$7:Z181)))</f>
        <v/>
      </c>
      <c r="AB181" s="43" t="str">
        <f aca="false">IF(Y181="","",Z181-AA181)</f>
        <v/>
      </c>
    </row>
    <row r="182" customFormat="false" ht="15" hidden="false" customHeight="false" outlineLevel="0" collapsed="false">
      <c r="B182" s="38"/>
      <c r="C182" s="39" t="str">
        <f aca="false">IF(B182="","",INT((B182-Inputs!$F$8)/7)+1)</f>
        <v/>
      </c>
      <c r="D182" s="39" t="str">
        <f aca="false">IF(B182="","",COUNTIF(B$7:B182,B182))</f>
        <v/>
      </c>
      <c r="E182" s="34"/>
      <c r="F182" s="34"/>
      <c r="G182" s="34"/>
      <c r="H182" s="34"/>
      <c r="I182" s="34"/>
      <c r="J182" s="35"/>
      <c r="K182" s="35"/>
      <c r="L182" s="40" t="str">
        <f aca="false">IF(OR(J182="",K182=""),"",IF(G182="Long",J182+Inputs!$F$15*(J182-K182),J182-Inputs!$F$15*(K182-J182)))</f>
        <v/>
      </c>
      <c r="M182" s="35"/>
      <c r="N182" s="34"/>
      <c r="O182" s="35"/>
      <c r="P182" s="34"/>
      <c r="Q182" s="41"/>
      <c r="R182" s="36" t="str">
        <f aca="false">IF(OR(M182="",J182="",K182="",J182=K182),"",ROUND(IF(G182="Long",(M182-J182)/(J182-K182),(J182-M182)/(K182-J182)),2))</f>
        <v/>
      </c>
      <c r="S182" s="39" t="str">
        <f aca="false">IF(B182="","",IF(AND(I182="Y",OR(P182="None",P182="")),"Yes","No"))</f>
        <v/>
      </c>
      <c r="T182" s="36" t="str">
        <f aca="false">IF(OR(O182="",J182="",K182="",J182=K182),"",ROUND(IF(G182="Long",(O182-J182)/(J182-K182),(J182-O182)/(K182-J182)),2))</f>
        <v/>
      </c>
      <c r="U182" s="36" t="str">
        <f aca="false">IF(OR(R182="",T182=""),"",IF(T182&gt;=2,2,IF(N182="Target",-1,R182)))</f>
        <v/>
      </c>
      <c r="V182" s="36" t="str">
        <f aca="false">IF(OR(R182="",T182=""),"",IF(T182&gt;=3,3,IF(N182="Target",-1,R182)))</f>
        <v/>
      </c>
      <c r="W182" s="42" t="str">
        <f aca="false">IF(R182="","",ROUND(R182*(Inputs!$F$9+SUM(W$6:W181))*Inputs!$F$10,2))</f>
        <v/>
      </c>
      <c r="X182" s="42" t="str">
        <f aca="false">IF(R182="","",Inputs!$F$9+SUM(W$7:W182))</f>
        <v/>
      </c>
      <c r="Y182" s="43" t="str">
        <f aca="false">IF(S182="Yes",R182,"")</f>
        <v/>
      </c>
      <c r="Z182" s="43" t="str">
        <f aca="false">IF(Y182="","",SUM(Y$7:Y182))</f>
        <v/>
      </c>
      <c r="AA182" s="43" t="str">
        <f aca="false">IF(Y182="","",MAX(0,MAX(Z$7:Z182)))</f>
        <v/>
      </c>
      <c r="AB182" s="43" t="str">
        <f aca="false">IF(Y182="","",Z182-AA182)</f>
        <v/>
      </c>
    </row>
    <row r="183" customFormat="false" ht="15" hidden="false" customHeight="false" outlineLevel="0" collapsed="false">
      <c r="B183" s="38"/>
      <c r="C183" s="39" t="str">
        <f aca="false">IF(B183="","",INT((B183-Inputs!$F$8)/7)+1)</f>
        <v/>
      </c>
      <c r="D183" s="39" t="str">
        <f aca="false">IF(B183="","",COUNTIF(B$7:B183,B183))</f>
        <v/>
      </c>
      <c r="E183" s="34"/>
      <c r="F183" s="34"/>
      <c r="G183" s="34"/>
      <c r="H183" s="34"/>
      <c r="I183" s="34"/>
      <c r="J183" s="35"/>
      <c r="K183" s="35"/>
      <c r="L183" s="40" t="str">
        <f aca="false">IF(OR(J183="",K183=""),"",IF(G183="Long",J183+Inputs!$F$15*(J183-K183),J183-Inputs!$F$15*(K183-J183)))</f>
        <v/>
      </c>
      <c r="M183" s="35"/>
      <c r="N183" s="34"/>
      <c r="O183" s="35"/>
      <c r="P183" s="34"/>
      <c r="Q183" s="41"/>
      <c r="R183" s="36" t="str">
        <f aca="false">IF(OR(M183="",J183="",K183="",J183=K183),"",ROUND(IF(G183="Long",(M183-J183)/(J183-K183),(J183-M183)/(K183-J183)),2))</f>
        <v/>
      </c>
      <c r="S183" s="39" t="str">
        <f aca="false">IF(B183="","",IF(AND(I183="Y",OR(P183="None",P183="")),"Yes","No"))</f>
        <v/>
      </c>
      <c r="T183" s="36" t="str">
        <f aca="false">IF(OR(O183="",J183="",K183="",J183=K183),"",ROUND(IF(G183="Long",(O183-J183)/(J183-K183),(J183-O183)/(K183-J183)),2))</f>
        <v/>
      </c>
      <c r="U183" s="36" t="str">
        <f aca="false">IF(OR(R183="",T183=""),"",IF(T183&gt;=2,2,IF(N183="Target",-1,R183)))</f>
        <v/>
      </c>
      <c r="V183" s="36" t="str">
        <f aca="false">IF(OR(R183="",T183=""),"",IF(T183&gt;=3,3,IF(N183="Target",-1,R183)))</f>
        <v/>
      </c>
      <c r="W183" s="42" t="str">
        <f aca="false">IF(R183="","",ROUND(R183*(Inputs!$F$9+SUM(W$6:W182))*Inputs!$F$10,2))</f>
        <v/>
      </c>
      <c r="X183" s="42" t="str">
        <f aca="false">IF(R183="","",Inputs!$F$9+SUM(W$7:W183))</f>
        <v/>
      </c>
      <c r="Y183" s="43" t="str">
        <f aca="false">IF(S183="Yes",R183,"")</f>
        <v/>
      </c>
      <c r="Z183" s="43" t="str">
        <f aca="false">IF(Y183="","",SUM(Y$7:Y183))</f>
        <v/>
      </c>
      <c r="AA183" s="43" t="str">
        <f aca="false">IF(Y183="","",MAX(0,MAX(Z$7:Z183)))</f>
        <v/>
      </c>
      <c r="AB183" s="43" t="str">
        <f aca="false">IF(Y183="","",Z183-AA183)</f>
        <v/>
      </c>
    </row>
    <row r="184" customFormat="false" ht="15" hidden="false" customHeight="false" outlineLevel="0" collapsed="false">
      <c r="B184" s="38"/>
      <c r="C184" s="39" t="str">
        <f aca="false">IF(B184="","",INT((B184-Inputs!$F$8)/7)+1)</f>
        <v/>
      </c>
      <c r="D184" s="39" t="str">
        <f aca="false">IF(B184="","",COUNTIF(B$7:B184,B184))</f>
        <v/>
      </c>
      <c r="E184" s="34"/>
      <c r="F184" s="34"/>
      <c r="G184" s="34"/>
      <c r="H184" s="34"/>
      <c r="I184" s="34"/>
      <c r="J184" s="35"/>
      <c r="K184" s="35"/>
      <c r="L184" s="40" t="str">
        <f aca="false">IF(OR(J184="",K184=""),"",IF(G184="Long",J184+Inputs!$F$15*(J184-K184),J184-Inputs!$F$15*(K184-J184)))</f>
        <v/>
      </c>
      <c r="M184" s="35"/>
      <c r="N184" s="34"/>
      <c r="O184" s="35"/>
      <c r="P184" s="34"/>
      <c r="Q184" s="41"/>
      <c r="R184" s="36" t="str">
        <f aca="false">IF(OR(M184="",J184="",K184="",J184=K184),"",ROUND(IF(G184="Long",(M184-J184)/(J184-K184),(J184-M184)/(K184-J184)),2))</f>
        <v/>
      </c>
      <c r="S184" s="39" t="str">
        <f aca="false">IF(B184="","",IF(AND(I184="Y",OR(P184="None",P184="")),"Yes","No"))</f>
        <v/>
      </c>
      <c r="T184" s="36" t="str">
        <f aca="false">IF(OR(O184="",J184="",K184="",J184=K184),"",ROUND(IF(G184="Long",(O184-J184)/(J184-K184),(J184-O184)/(K184-J184)),2))</f>
        <v/>
      </c>
      <c r="U184" s="36" t="str">
        <f aca="false">IF(OR(R184="",T184=""),"",IF(T184&gt;=2,2,IF(N184="Target",-1,R184)))</f>
        <v/>
      </c>
      <c r="V184" s="36" t="str">
        <f aca="false">IF(OR(R184="",T184=""),"",IF(T184&gt;=3,3,IF(N184="Target",-1,R184)))</f>
        <v/>
      </c>
      <c r="W184" s="42" t="str">
        <f aca="false">IF(R184="","",ROUND(R184*(Inputs!$F$9+SUM(W$6:W183))*Inputs!$F$10,2))</f>
        <v/>
      </c>
      <c r="X184" s="42" t="str">
        <f aca="false">IF(R184="","",Inputs!$F$9+SUM(W$7:W184))</f>
        <v/>
      </c>
      <c r="Y184" s="43" t="str">
        <f aca="false">IF(S184="Yes",R184,"")</f>
        <v/>
      </c>
      <c r="Z184" s="43" t="str">
        <f aca="false">IF(Y184="","",SUM(Y$7:Y184))</f>
        <v/>
      </c>
      <c r="AA184" s="43" t="str">
        <f aca="false">IF(Y184="","",MAX(0,MAX(Z$7:Z184)))</f>
        <v/>
      </c>
      <c r="AB184" s="43" t="str">
        <f aca="false">IF(Y184="","",Z184-AA184)</f>
        <v/>
      </c>
    </row>
    <row r="185" customFormat="false" ht="15" hidden="false" customHeight="false" outlineLevel="0" collapsed="false">
      <c r="B185" s="38"/>
      <c r="C185" s="39" t="str">
        <f aca="false">IF(B185="","",INT((B185-Inputs!$F$8)/7)+1)</f>
        <v/>
      </c>
      <c r="D185" s="39" t="str">
        <f aca="false">IF(B185="","",COUNTIF(B$7:B185,B185))</f>
        <v/>
      </c>
      <c r="E185" s="34"/>
      <c r="F185" s="34"/>
      <c r="G185" s="34"/>
      <c r="H185" s="34"/>
      <c r="I185" s="34"/>
      <c r="J185" s="35"/>
      <c r="K185" s="35"/>
      <c r="L185" s="40" t="str">
        <f aca="false">IF(OR(J185="",K185=""),"",IF(G185="Long",J185+Inputs!$F$15*(J185-K185),J185-Inputs!$F$15*(K185-J185)))</f>
        <v/>
      </c>
      <c r="M185" s="35"/>
      <c r="N185" s="34"/>
      <c r="O185" s="35"/>
      <c r="P185" s="34"/>
      <c r="Q185" s="41"/>
      <c r="R185" s="36" t="str">
        <f aca="false">IF(OR(M185="",J185="",K185="",J185=K185),"",ROUND(IF(G185="Long",(M185-J185)/(J185-K185),(J185-M185)/(K185-J185)),2))</f>
        <v/>
      </c>
      <c r="S185" s="39" t="str">
        <f aca="false">IF(B185="","",IF(AND(I185="Y",OR(P185="None",P185="")),"Yes","No"))</f>
        <v/>
      </c>
      <c r="T185" s="36" t="str">
        <f aca="false">IF(OR(O185="",J185="",K185="",J185=K185),"",ROUND(IF(G185="Long",(O185-J185)/(J185-K185),(J185-O185)/(K185-J185)),2))</f>
        <v/>
      </c>
      <c r="U185" s="36" t="str">
        <f aca="false">IF(OR(R185="",T185=""),"",IF(T185&gt;=2,2,IF(N185="Target",-1,R185)))</f>
        <v/>
      </c>
      <c r="V185" s="36" t="str">
        <f aca="false">IF(OR(R185="",T185=""),"",IF(T185&gt;=3,3,IF(N185="Target",-1,R185)))</f>
        <v/>
      </c>
      <c r="W185" s="42" t="str">
        <f aca="false">IF(R185="","",ROUND(R185*(Inputs!$F$9+SUM(W$6:W184))*Inputs!$F$10,2))</f>
        <v/>
      </c>
      <c r="X185" s="42" t="str">
        <f aca="false">IF(R185="","",Inputs!$F$9+SUM(W$7:W185))</f>
        <v/>
      </c>
      <c r="Y185" s="43" t="str">
        <f aca="false">IF(S185="Yes",R185,"")</f>
        <v/>
      </c>
      <c r="Z185" s="43" t="str">
        <f aca="false">IF(Y185="","",SUM(Y$7:Y185))</f>
        <v/>
      </c>
      <c r="AA185" s="43" t="str">
        <f aca="false">IF(Y185="","",MAX(0,MAX(Z$7:Z185)))</f>
        <v/>
      </c>
      <c r="AB185" s="43" t="str">
        <f aca="false">IF(Y185="","",Z185-AA185)</f>
        <v/>
      </c>
    </row>
    <row r="186" customFormat="false" ht="15" hidden="false" customHeight="false" outlineLevel="0" collapsed="false">
      <c r="B186" s="38"/>
      <c r="C186" s="39" t="str">
        <f aca="false">IF(B186="","",INT((B186-Inputs!$F$8)/7)+1)</f>
        <v/>
      </c>
      <c r="D186" s="39" t="str">
        <f aca="false">IF(B186="","",COUNTIF(B$7:B186,B186))</f>
        <v/>
      </c>
      <c r="E186" s="34"/>
      <c r="F186" s="34"/>
      <c r="G186" s="34"/>
      <c r="H186" s="34"/>
      <c r="I186" s="34"/>
      <c r="J186" s="35"/>
      <c r="K186" s="35"/>
      <c r="L186" s="40" t="str">
        <f aca="false">IF(OR(J186="",K186=""),"",IF(G186="Long",J186+Inputs!$F$15*(J186-K186),J186-Inputs!$F$15*(K186-J186)))</f>
        <v/>
      </c>
      <c r="M186" s="35"/>
      <c r="N186" s="34"/>
      <c r="O186" s="35"/>
      <c r="P186" s="34"/>
      <c r="Q186" s="41"/>
      <c r="R186" s="36" t="str">
        <f aca="false">IF(OR(M186="",J186="",K186="",J186=K186),"",ROUND(IF(G186="Long",(M186-J186)/(J186-K186),(J186-M186)/(K186-J186)),2))</f>
        <v/>
      </c>
      <c r="S186" s="39" t="str">
        <f aca="false">IF(B186="","",IF(AND(I186="Y",OR(P186="None",P186="")),"Yes","No"))</f>
        <v/>
      </c>
      <c r="T186" s="36" t="str">
        <f aca="false">IF(OR(O186="",J186="",K186="",J186=K186),"",ROUND(IF(G186="Long",(O186-J186)/(J186-K186),(J186-O186)/(K186-J186)),2))</f>
        <v/>
      </c>
      <c r="U186" s="36" t="str">
        <f aca="false">IF(OR(R186="",T186=""),"",IF(T186&gt;=2,2,IF(N186="Target",-1,R186)))</f>
        <v/>
      </c>
      <c r="V186" s="36" t="str">
        <f aca="false">IF(OR(R186="",T186=""),"",IF(T186&gt;=3,3,IF(N186="Target",-1,R186)))</f>
        <v/>
      </c>
      <c r="W186" s="42" t="str">
        <f aca="false">IF(R186="","",ROUND(R186*(Inputs!$F$9+SUM(W$6:W185))*Inputs!$F$10,2))</f>
        <v/>
      </c>
      <c r="X186" s="42" t="str">
        <f aca="false">IF(R186="","",Inputs!$F$9+SUM(W$7:W186))</f>
        <v/>
      </c>
      <c r="Y186" s="43" t="str">
        <f aca="false">IF(S186="Yes",R186,"")</f>
        <v/>
      </c>
      <c r="Z186" s="43" t="str">
        <f aca="false">IF(Y186="","",SUM(Y$7:Y186))</f>
        <v/>
      </c>
      <c r="AA186" s="43" t="str">
        <f aca="false">IF(Y186="","",MAX(0,MAX(Z$7:Z186)))</f>
        <v/>
      </c>
      <c r="AB186" s="43" t="str">
        <f aca="false">IF(Y186="","",Z186-AA186)</f>
        <v/>
      </c>
    </row>
    <row r="187" customFormat="false" ht="15" hidden="false" customHeight="false" outlineLevel="0" collapsed="false">
      <c r="B187" s="38"/>
      <c r="C187" s="39" t="str">
        <f aca="false">IF(B187="","",INT((B187-Inputs!$F$8)/7)+1)</f>
        <v/>
      </c>
      <c r="D187" s="39" t="str">
        <f aca="false">IF(B187="","",COUNTIF(B$7:B187,B187))</f>
        <v/>
      </c>
      <c r="E187" s="34"/>
      <c r="F187" s="34"/>
      <c r="G187" s="34"/>
      <c r="H187" s="34"/>
      <c r="I187" s="34"/>
      <c r="J187" s="35"/>
      <c r="K187" s="35"/>
      <c r="L187" s="40" t="str">
        <f aca="false">IF(OR(J187="",K187=""),"",IF(G187="Long",J187+Inputs!$F$15*(J187-K187),J187-Inputs!$F$15*(K187-J187)))</f>
        <v/>
      </c>
      <c r="M187" s="35"/>
      <c r="N187" s="34"/>
      <c r="O187" s="35"/>
      <c r="P187" s="34"/>
      <c r="Q187" s="41"/>
      <c r="R187" s="36" t="str">
        <f aca="false">IF(OR(M187="",J187="",K187="",J187=K187),"",ROUND(IF(G187="Long",(M187-J187)/(J187-K187),(J187-M187)/(K187-J187)),2))</f>
        <v/>
      </c>
      <c r="S187" s="39" t="str">
        <f aca="false">IF(B187="","",IF(AND(I187="Y",OR(P187="None",P187="")),"Yes","No"))</f>
        <v/>
      </c>
      <c r="T187" s="36" t="str">
        <f aca="false">IF(OR(O187="",J187="",K187="",J187=K187),"",ROUND(IF(G187="Long",(O187-J187)/(J187-K187),(J187-O187)/(K187-J187)),2))</f>
        <v/>
      </c>
      <c r="U187" s="36" t="str">
        <f aca="false">IF(OR(R187="",T187=""),"",IF(T187&gt;=2,2,IF(N187="Target",-1,R187)))</f>
        <v/>
      </c>
      <c r="V187" s="36" t="str">
        <f aca="false">IF(OR(R187="",T187=""),"",IF(T187&gt;=3,3,IF(N187="Target",-1,R187)))</f>
        <v/>
      </c>
      <c r="W187" s="42" t="str">
        <f aca="false">IF(R187="","",ROUND(R187*(Inputs!$F$9+SUM(W$6:W186))*Inputs!$F$10,2))</f>
        <v/>
      </c>
      <c r="X187" s="42" t="str">
        <f aca="false">IF(R187="","",Inputs!$F$9+SUM(W$7:W187))</f>
        <v/>
      </c>
      <c r="Y187" s="43" t="str">
        <f aca="false">IF(S187="Yes",R187,"")</f>
        <v/>
      </c>
      <c r="Z187" s="43" t="str">
        <f aca="false">IF(Y187="","",SUM(Y$7:Y187))</f>
        <v/>
      </c>
      <c r="AA187" s="43" t="str">
        <f aca="false">IF(Y187="","",MAX(0,MAX(Z$7:Z187)))</f>
        <v/>
      </c>
      <c r="AB187" s="43" t="str">
        <f aca="false">IF(Y187="","",Z187-AA187)</f>
        <v/>
      </c>
    </row>
    <row r="188" customFormat="false" ht="15" hidden="false" customHeight="false" outlineLevel="0" collapsed="false">
      <c r="B188" s="38"/>
      <c r="C188" s="39" t="str">
        <f aca="false">IF(B188="","",INT((B188-Inputs!$F$8)/7)+1)</f>
        <v/>
      </c>
      <c r="D188" s="39" t="str">
        <f aca="false">IF(B188="","",COUNTIF(B$7:B188,B188))</f>
        <v/>
      </c>
      <c r="E188" s="34"/>
      <c r="F188" s="34"/>
      <c r="G188" s="34"/>
      <c r="H188" s="34"/>
      <c r="I188" s="34"/>
      <c r="J188" s="35"/>
      <c r="K188" s="35"/>
      <c r="L188" s="40" t="str">
        <f aca="false">IF(OR(J188="",K188=""),"",IF(G188="Long",J188+Inputs!$F$15*(J188-K188),J188-Inputs!$F$15*(K188-J188)))</f>
        <v/>
      </c>
      <c r="M188" s="35"/>
      <c r="N188" s="34"/>
      <c r="O188" s="35"/>
      <c r="P188" s="34"/>
      <c r="Q188" s="41"/>
      <c r="R188" s="36" t="str">
        <f aca="false">IF(OR(M188="",J188="",K188="",J188=K188),"",ROUND(IF(G188="Long",(M188-J188)/(J188-K188),(J188-M188)/(K188-J188)),2))</f>
        <v/>
      </c>
      <c r="S188" s="39" t="str">
        <f aca="false">IF(B188="","",IF(AND(I188="Y",OR(P188="None",P188="")),"Yes","No"))</f>
        <v/>
      </c>
      <c r="T188" s="36" t="str">
        <f aca="false">IF(OR(O188="",J188="",K188="",J188=K188),"",ROUND(IF(G188="Long",(O188-J188)/(J188-K188),(J188-O188)/(K188-J188)),2))</f>
        <v/>
      </c>
      <c r="U188" s="36" t="str">
        <f aca="false">IF(OR(R188="",T188=""),"",IF(T188&gt;=2,2,IF(N188="Target",-1,R188)))</f>
        <v/>
      </c>
      <c r="V188" s="36" t="str">
        <f aca="false">IF(OR(R188="",T188=""),"",IF(T188&gt;=3,3,IF(N188="Target",-1,R188)))</f>
        <v/>
      </c>
      <c r="W188" s="42" t="str">
        <f aca="false">IF(R188="","",ROUND(R188*(Inputs!$F$9+SUM(W$6:W187))*Inputs!$F$10,2))</f>
        <v/>
      </c>
      <c r="X188" s="42" t="str">
        <f aca="false">IF(R188="","",Inputs!$F$9+SUM(W$7:W188))</f>
        <v/>
      </c>
      <c r="Y188" s="43" t="str">
        <f aca="false">IF(S188="Yes",R188,"")</f>
        <v/>
      </c>
      <c r="Z188" s="43" t="str">
        <f aca="false">IF(Y188="","",SUM(Y$7:Y188))</f>
        <v/>
      </c>
      <c r="AA188" s="43" t="str">
        <f aca="false">IF(Y188="","",MAX(0,MAX(Z$7:Z188)))</f>
        <v/>
      </c>
      <c r="AB188" s="43" t="str">
        <f aca="false">IF(Y188="","",Z188-AA188)</f>
        <v/>
      </c>
    </row>
    <row r="189" customFormat="false" ht="15" hidden="false" customHeight="false" outlineLevel="0" collapsed="false">
      <c r="B189" s="38"/>
      <c r="C189" s="39" t="str">
        <f aca="false">IF(B189="","",INT((B189-Inputs!$F$8)/7)+1)</f>
        <v/>
      </c>
      <c r="D189" s="39" t="str">
        <f aca="false">IF(B189="","",COUNTIF(B$7:B189,B189))</f>
        <v/>
      </c>
      <c r="E189" s="34"/>
      <c r="F189" s="34"/>
      <c r="G189" s="34"/>
      <c r="H189" s="34"/>
      <c r="I189" s="34"/>
      <c r="J189" s="35"/>
      <c r="K189" s="35"/>
      <c r="L189" s="40" t="str">
        <f aca="false">IF(OR(J189="",K189=""),"",IF(G189="Long",J189+Inputs!$F$15*(J189-K189),J189-Inputs!$F$15*(K189-J189)))</f>
        <v/>
      </c>
      <c r="M189" s="35"/>
      <c r="N189" s="34"/>
      <c r="O189" s="35"/>
      <c r="P189" s="34"/>
      <c r="Q189" s="41"/>
      <c r="R189" s="36" t="str">
        <f aca="false">IF(OR(M189="",J189="",K189="",J189=K189),"",ROUND(IF(G189="Long",(M189-J189)/(J189-K189),(J189-M189)/(K189-J189)),2))</f>
        <v/>
      </c>
      <c r="S189" s="39" t="str">
        <f aca="false">IF(B189="","",IF(AND(I189="Y",OR(P189="None",P189="")),"Yes","No"))</f>
        <v/>
      </c>
      <c r="T189" s="36" t="str">
        <f aca="false">IF(OR(O189="",J189="",K189="",J189=K189),"",ROUND(IF(G189="Long",(O189-J189)/(J189-K189),(J189-O189)/(K189-J189)),2))</f>
        <v/>
      </c>
      <c r="U189" s="36" t="str">
        <f aca="false">IF(OR(R189="",T189=""),"",IF(T189&gt;=2,2,IF(N189="Target",-1,R189)))</f>
        <v/>
      </c>
      <c r="V189" s="36" t="str">
        <f aca="false">IF(OR(R189="",T189=""),"",IF(T189&gt;=3,3,IF(N189="Target",-1,R189)))</f>
        <v/>
      </c>
      <c r="W189" s="42" t="str">
        <f aca="false">IF(R189="","",ROUND(R189*(Inputs!$F$9+SUM(W$6:W188))*Inputs!$F$10,2))</f>
        <v/>
      </c>
      <c r="X189" s="42" t="str">
        <f aca="false">IF(R189="","",Inputs!$F$9+SUM(W$7:W189))</f>
        <v/>
      </c>
      <c r="Y189" s="43" t="str">
        <f aca="false">IF(S189="Yes",R189,"")</f>
        <v/>
      </c>
      <c r="Z189" s="43" t="str">
        <f aca="false">IF(Y189="","",SUM(Y$7:Y189))</f>
        <v/>
      </c>
      <c r="AA189" s="43" t="str">
        <f aca="false">IF(Y189="","",MAX(0,MAX(Z$7:Z189)))</f>
        <v/>
      </c>
      <c r="AB189" s="43" t="str">
        <f aca="false">IF(Y189="","",Z189-AA189)</f>
        <v/>
      </c>
    </row>
    <row r="190" customFormat="false" ht="15" hidden="false" customHeight="false" outlineLevel="0" collapsed="false">
      <c r="B190" s="38"/>
      <c r="C190" s="39" t="str">
        <f aca="false">IF(B190="","",INT((B190-Inputs!$F$8)/7)+1)</f>
        <v/>
      </c>
      <c r="D190" s="39" t="str">
        <f aca="false">IF(B190="","",COUNTIF(B$7:B190,B190))</f>
        <v/>
      </c>
      <c r="E190" s="34"/>
      <c r="F190" s="34"/>
      <c r="G190" s="34"/>
      <c r="H190" s="34"/>
      <c r="I190" s="34"/>
      <c r="J190" s="35"/>
      <c r="K190" s="35"/>
      <c r="L190" s="40" t="str">
        <f aca="false">IF(OR(J190="",K190=""),"",IF(G190="Long",J190+Inputs!$F$15*(J190-K190),J190-Inputs!$F$15*(K190-J190)))</f>
        <v/>
      </c>
      <c r="M190" s="35"/>
      <c r="N190" s="34"/>
      <c r="O190" s="35"/>
      <c r="P190" s="34"/>
      <c r="Q190" s="41"/>
      <c r="R190" s="36" t="str">
        <f aca="false">IF(OR(M190="",J190="",K190="",J190=K190),"",ROUND(IF(G190="Long",(M190-J190)/(J190-K190),(J190-M190)/(K190-J190)),2))</f>
        <v/>
      </c>
      <c r="S190" s="39" t="str">
        <f aca="false">IF(B190="","",IF(AND(I190="Y",OR(P190="None",P190="")),"Yes","No"))</f>
        <v/>
      </c>
      <c r="T190" s="36" t="str">
        <f aca="false">IF(OR(O190="",J190="",K190="",J190=K190),"",ROUND(IF(G190="Long",(O190-J190)/(J190-K190),(J190-O190)/(K190-J190)),2))</f>
        <v/>
      </c>
      <c r="U190" s="36" t="str">
        <f aca="false">IF(OR(R190="",T190=""),"",IF(T190&gt;=2,2,IF(N190="Target",-1,R190)))</f>
        <v/>
      </c>
      <c r="V190" s="36" t="str">
        <f aca="false">IF(OR(R190="",T190=""),"",IF(T190&gt;=3,3,IF(N190="Target",-1,R190)))</f>
        <v/>
      </c>
      <c r="W190" s="42" t="str">
        <f aca="false">IF(R190="","",ROUND(R190*(Inputs!$F$9+SUM(W$6:W189))*Inputs!$F$10,2))</f>
        <v/>
      </c>
      <c r="X190" s="42" t="str">
        <f aca="false">IF(R190="","",Inputs!$F$9+SUM(W$7:W190))</f>
        <v/>
      </c>
      <c r="Y190" s="43" t="str">
        <f aca="false">IF(S190="Yes",R190,"")</f>
        <v/>
      </c>
      <c r="Z190" s="43" t="str">
        <f aca="false">IF(Y190="","",SUM(Y$7:Y190))</f>
        <v/>
      </c>
      <c r="AA190" s="43" t="str">
        <f aca="false">IF(Y190="","",MAX(0,MAX(Z$7:Z190)))</f>
        <v/>
      </c>
      <c r="AB190" s="43" t="str">
        <f aca="false">IF(Y190="","",Z190-AA190)</f>
        <v/>
      </c>
    </row>
    <row r="191" customFormat="false" ht="15" hidden="false" customHeight="false" outlineLevel="0" collapsed="false">
      <c r="B191" s="38"/>
      <c r="C191" s="39" t="str">
        <f aca="false">IF(B191="","",INT((B191-Inputs!$F$8)/7)+1)</f>
        <v/>
      </c>
      <c r="D191" s="39" t="str">
        <f aca="false">IF(B191="","",COUNTIF(B$7:B191,B191))</f>
        <v/>
      </c>
      <c r="E191" s="34"/>
      <c r="F191" s="34"/>
      <c r="G191" s="34"/>
      <c r="H191" s="34"/>
      <c r="I191" s="34"/>
      <c r="J191" s="35"/>
      <c r="K191" s="35"/>
      <c r="L191" s="40" t="str">
        <f aca="false">IF(OR(J191="",K191=""),"",IF(G191="Long",J191+Inputs!$F$15*(J191-K191),J191-Inputs!$F$15*(K191-J191)))</f>
        <v/>
      </c>
      <c r="M191" s="35"/>
      <c r="N191" s="34"/>
      <c r="O191" s="35"/>
      <c r="P191" s="34"/>
      <c r="Q191" s="41"/>
      <c r="R191" s="36" t="str">
        <f aca="false">IF(OR(M191="",J191="",K191="",J191=K191),"",ROUND(IF(G191="Long",(M191-J191)/(J191-K191),(J191-M191)/(K191-J191)),2))</f>
        <v/>
      </c>
      <c r="S191" s="39" t="str">
        <f aca="false">IF(B191="","",IF(AND(I191="Y",OR(P191="None",P191="")),"Yes","No"))</f>
        <v/>
      </c>
      <c r="T191" s="36" t="str">
        <f aca="false">IF(OR(O191="",J191="",K191="",J191=K191),"",ROUND(IF(G191="Long",(O191-J191)/(J191-K191),(J191-O191)/(K191-J191)),2))</f>
        <v/>
      </c>
      <c r="U191" s="36" t="str">
        <f aca="false">IF(OR(R191="",T191=""),"",IF(T191&gt;=2,2,IF(N191="Target",-1,R191)))</f>
        <v/>
      </c>
      <c r="V191" s="36" t="str">
        <f aca="false">IF(OR(R191="",T191=""),"",IF(T191&gt;=3,3,IF(N191="Target",-1,R191)))</f>
        <v/>
      </c>
      <c r="W191" s="42" t="str">
        <f aca="false">IF(R191="","",ROUND(R191*(Inputs!$F$9+SUM(W$6:W190))*Inputs!$F$10,2))</f>
        <v/>
      </c>
      <c r="X191" s="42" t="str">
        <f aca="false">IF(R191="","",Inputs!$F$9+SUM(W$7:W191))</f>
        <v/>
      </c>
      <c r="Y191" s="43" t="str">
        <f aca="false">IF(S191="Yes",R191,"")</f>
        <v/>
      </c>
      <c r="Z191" s="43" t="str">
        <f aca="false">IF(Y191="","",SUM(Y$7:Y191))</f>
        <v/>
      </c>
      <c r="AA191" s="43" t="str">
        <f aca="false">IF(Y191="","",MAX(0,MAX(Z$7:Z191)))</f>
        <v/>
      </c>
      <c r="AB191" s="43" t="str">
        <f aca="false">IF(Y191="","",Z191-AA191)</f>
        <v/>
      </c>
    </row>
    <row r="192" customFormat="false" ht="15" hidden="false" customHeight="false" outlineLevel="0" collapsed="false">
      <c r="B192" s="38"/>
      <c r="C192" s="39" t="str">
        <f aca="false">IF(B192="","",INT((B192-Inputs!$F$8)/7)+1)</f>
        <v/>
      </c>
      <c r="D192" s="39" t="str">
        <f aca="false">IF(B192="","",COUNTIF(B$7:B192,B192))</f>
        <v/>
      </c>
      <c r="E192" s="34"/>
      <c r="F192" s="34"/>
      <c r="G192" s="34"/>
      <c r="H192" s="34"/>
      <c r="I192" s="34"/>
      <c r="J192" s="35"/>
      <c r="K192" s="35"/>
      <c r="L192" s="40" t="str">
        <f aca="false">IF(OR(J192="",K192=""),"",IF(G192="Long",J192+Inputs!$F$15*(J192-K192),J192-Inputs!$F$15*(K192-J192)))</f>
        <v/>
      </c>
      <c r="M192" s="35"/>
      <c r="N192" s="34"/>
      <c r="O192" s="35"/>
      <c r="P192" s="34"/>
      <c r="Q192" s="41"/>
      <c r="R192" s="36" t="str">
        <f aca="false">IF(OR(M192="",J192="",K192="",J192=K192),"",ROUND(IF(G192="Long",(M192-J192)/(J192-K192),(J192-M192)/(K192-J192)),2))</f>
        <v/>
      </c>
      <c r="S192" s="39" t="str">
        <f aca="false">IF(B192="","",IF(AND(I192="Y",OR(P192="None",P192="")),"Yes","No"))</f>
        <v/>
      </c>
      <c r="T192" s="36" t="str">
        <f aca="false">IF(OR(O192="",J192="",K192="",J192=K192),"",ROUND(IF(G192="Long",(O192-J192)/(J192-K192),(J192-O192)/(K192-J192)),2))</f>
        <v/>
      </c>
      <c r="U192" s="36" t="str">
        <f aca="false">IF(OR(R192="",T192=""),"",IF(T192&gt;=2,2,IF(N192="Target",-1,R192)))</f>
        <v/>
      </c>
      <c r="V192" s="36" t="str">
        <f aca="false">IF(OR(R192="",T192=""),"",IF(T192&gt;=3,3,IF(N192="Target",-1,R192)))</f>
        <v/>
      </c>
      <c r="W192" s="42" t="str">
        <f aca="false">IF(R192="","",ROUND(R192*(Inputs!$F$9+SUM(W$6:W191))*Inputs!$F$10,2))</f>
        <v/>
      </c>
      <c r="X192" s="42" t="str">
        <f aca="false">IF(R192="","",Inputs!$F$9+SUM(W$7:W192))</f>
        <v/>
      </c>
      <c r="Y192" s="43" t="str">
        <f aca="false">IF(S192="Yes",R192,"")</f>
        <v/>
      </c>
      <c r="Z192" s="43" t="str">
        <f aca="false">IF(Y192="","",SUM(Y$7:Y192))</f>
        <v/>
      </c>
      <c r="AA192" s="43" t="str">
        <f aca="false">IF(Y192="","",MAX(0,MAX(Z$7:Z192)))</f>
        <v/>
      </c>
      <c r="AB192" s="43" t="str">
        <f aca="false">IF(Y192="","",Z192-AA192)</f>
        <v/>
      </c>
    </row>
    <row r="193" customFormat="false" ht="15" hidden="false" customHeight="false" outlineLevel="0" collapsed="false">
      <c r="B193" s="38"/>
      <c r="C193" s="39" t="str">
        <f aca="false">IF(B193="","",INT((B193-Inputs!$F$8)/7)+1)</f>
        <v/>
      </c>
      <c r="D193" s="39" t="str">
        <f aca="false">IF(B193="","",COUNTIF(B$7:B193,B193))</f>
        <v/>
      </c>
      <c r="E193" s="34"/>
      <c r="F193" s="34"/>
      <c r="G193" s="34"/>
      <c r="H193" s="34"/>
      <c r="I193" s="34"/>
      <c r="J193" s="35"/>
      <c r="K193" s="35"/>
      <c r="L193" s="40" t="str">
        <f aca="false">IF(OR(J193="",K193=""),"",IF(G193="Long",J193+Inputs!$F$15*(J193-K193),J193-Inputs!$F$15*(K193-J193)))</f>
        <v/>
      </c>
      <c r="M193" s="35"/>
      <c r="N193" s="34"/>
      <c r="O193" s="35"/>
      <c r="P193" s="34"/>
      <c r="Q193" s="41"/>
      <c r="R193" s="36" t="str">
        <f aca="false">IF(OR(M193="",J193="",K193="",J193=K193),"",ROUND(IF(G193="Long",(M193-J193)/(J193-K193),(J193-M193)/(K193-J193)),2))</f>
        <v/>
      </c>
      <c r="S193" s="39" t="str">
        <f aca="false">IF(B193="","",IF(AND(I193="Y",OR(P193="None",P193="")),"Yes","No"))</f>
        <v/>
      </c>
      <c r="T193" s="36" t="str">
        <f aca="false">IF(OR(O193="",J193="",K193="",J193=K193),"",ROUND(IF(G193="Long",(O193-J193)/(J193-K193),(J193-O193)/(K193-J193)),2))</f>
        <v/>
      </c>
      <c r="U193" s="36" t="str">
        <f aca="false">IF(OR(R193="",T193=""),"",IF(T193&gt;=2,2,IF(N193="Target",-1,R193)))</f>
        <v/>
      </c>
      <c r="V193" s="36" t="str">
        <f aca="false">IF(OR(R193="",T193=""),"",IF(T193&gt;=3,3,IF(N193="Target",-1,R193)))</f>
        <v/>
      </c>
      <c r="W193" s="42" t="str">
        <f aca="false">IF(R193="","",ROUND(R193*(Inputs!$F$9+SUM(W$6:W192))*Inputs!$F$10,2))</f>
        <v/>
      </c>
      <c r="X193" s="42" t="str">
        <f aca="false">IF(R193="","",Inputs!$F$9+SUM(W$7:W193))</f>
        <v/>
      </c>
      <c r="Y193" s="43" t="str">
        <f aca="false">IF(S193="Yes",R193,"")</f>
        <v/>
      </c>
      <c r="Z193" s="43" t="str">
        <f aca="false">IF(Y193="","",SUM(Y$7:Y193))</f>
        <v/>
      </c>
      <c r="AA193" s="43" t="str">
        <f aca="false">IF(Y193="","",MAX(0,MAX(Z$7:Z193)))</f>
        <v/>
      </c>
      <c r="AB193" s="43" t="str">
        <f aca="false">IF(Y193="","",Z193-AA193)</f>
        <v/>
      </c>
    </row>
    <row r="194" customFormat="false" ht="15" hidden="false" customHeight="false" outlineLevel="0" collapsed="false">
      <c r="B194" s="38"/>
      <c r="C194" s="39" t="str">
        <f aca="false">IF(B194="","",INT((B194-Inputs!$F$8)/7)+1)</f>
        <v/>
      </c>
      <c r="D194" s="39" t="str">
        <f aca="false">IF(B194="","",COUNTIF(B$7:B194,B194))</f>
        <v/>
      </c>
      <c r="E194" s="34"/>
      <c r="F194" s="34"/>
      <c r="G194" s="34"/>
      <c r="H194" s="34"/>
      <c r="I194" s="34"/>
      <c r="J194" s="35"/>
      <c r="K194" s="35"/>
      <c r="L194" s="40" t="str">
        <f aca="false">IF(OR(J194="",K194=""),"",IF(G194="Long",J194+Inputs!$F$15*(J194-K194),J194-Inputs!$F$15*(K194-J194)))</f>
        <v/>
      </c>
      <c r="M194" s="35"/>
      <c r="N194" s="34"/>
      <c r="O194" s="35"/>
      <c r="P194" s="34"/>
      <c r="Q194" s="41"/>
      <c r="R194" s="36" t="str">
        <f aca="false">IF(OR(M194="",J194="",K194="",J194=K194),"",ROUND(IF(G194="Long",(M194-J194)/(J194-K194),(J194-M194)/(K194-J194)),2))</f>
        <v/>
      </c>
      <c r="S194" s="39" t="str">
        <f aca="false">IF(B194="","",IF(AND(I194="Y",OR(P194="None",P194="")),"Yes","No"))</f>
        <v/>
      </c>
      <c r="T194" s="36" t="str">
        <f aca="false">IF(OR(O194="",J194="",K194="",J194=K194),"",ROUND(IF(G194="Long",(O194-J194)/(J194-K194),(J194-O194)/(K194-J194)),2))</f>
        <v/>
      </c>
      <c r="U194" s="36" t="str">
        <f aca="false">IF(OR(R194="",T194=""),"",IF(T194&gt;=2,2,IF(N194="Target",-1,R194)))</f>
        <v/>
      </c>
      <c r="V194" s="36" t="str">
        <f aca="false">IF(OR(R194="",T194=""),"",IF(T194&gt;=3,3,IF(N194="Target",-1,R194)))</f>
        <v/>
      </c>
      <c r="W194" s="42" t="str">
        <f aca="false">IF(R194="","",ROUND(R194*(Inputs!$F$9+SUM(W$6:W193))*Inputs!$F$10,2))</f>
        <v/>
      </c>
      <c r="X194" s="42" t="str">
        <f aca="false">IF(R194="","",Inputs!$F$9+SUM(W$7:W194))</f>
        <v/>
      </c>
      <c r="Y194" s="43" t="str">
        <f aca="false">IF(S194="Yes",R194,"")</f>
        <v/>
      </c>
      <c r="Z194" s="43" t="str">
        <f aca="false">IF(Y194="","",SUM(Y$7:Y194))</f>
        <v/>
      </c>
      <c r="AA194" s="43" t="str">
        <f aca="false">IF(Y194="","",MAX(0,MAX(Z$7:Z194)))</f>
        <v/>
      </c>
      <c r="AB194" s="43" t="str">
        <f aca="false">IF(Y194="","",Z194-AA194)</f>
        <v/>
      </c>
    </row>
    <row r="195" customFormat="false" ht="15" hidden="false" customHeight="false" outlineLevel="0" collapsed="false">
      <c r="B195" s="38"/>
      <c r="C195" s="39" t="str">
        <f aca="false">IF(B195="","",INT((B195-Inputs!$F$8)/7)+1)</f>
        <v/>
      </c>
      <c r="D195" s="39" t="str">
        <f aca="false">IF(B195="","",COUNTIF(B$7:B195,B195))</f>
        <v/>
      </c>
      <c r="E195" s="34"/>
      <c r="F195" s="34"/>
      <c r="G195" s="34"/>
      <c r="H195" s="34"/>
      <c r="I195" s="34"/>
      <c r="J195" s="35"/>
      <c r="K195" s="35"/>
      <c r="L195" s="40" t="str">
        <f aca="false">IF(OR(J195="",K195=""),"",IF(G195="Long",J195+Inputs!$F$15*(J195-K195),J195-Inputs!$F$15*(K195-J195)))</f>
        <v/>
      </c>
      <c r="M195" s="35"/>
      <c r="N195" s="34"/>
      <c r="O195" s="35"/>
      <c r="P195" s="34"/>
      <c r="Q195" s="41"/>
      <c r="R195" s="36" t="str">
        <f aca="false">IF(OR(M195="",J195="",K195="",J195=K195),"",ROUND(IF(G195="Long",(M195-J195)/(J195-K195),(J195-M195)/(K195-J195)),2))</f>
        <v/>
      </c>
      <c r="S195" s="39" t="str">
        <f aca="false">IF(B195="","",IF(AND(I195="Y",OR(P195="None",P195="")),"Yes","No"))</f>
        <v/>
      </c>
      <c r="T195" s="36" t="str">
        <f aca="false">IF(OR(O195="",J195="",K195="",J195=K195),"",ROUND(IF(G195="Long",(O195-J195)/(J195-K195),(J195-O195)/(K195-J195)),2))</f>
        <v/>
      </c>
      <c r="U195" s="36" t="str">
        <f aca="false">IF(OR(R195="",T195=""),"",IF(T195&gt;=2,2,IF(N195="Target",-1,R195)))</f>
        <v/>
      </c>
      <c r="V195" s="36" t="str">
        <f aca="false">IF(OR(R195="",T195=""),"",IF(T195&gt;=3,3,IF(N195="Target",-1,R195)))</f>
        <v/>
      </c>
      <c r="W195" s="42" t="str">
        <f aca="false">IF(R195="","",ROUND(R195*(Inputs!$F$9+SUM(W$6:W194))*Inputs!$F$10,2))</f>
        <v/>
      </c>
      <c r="X195" s="42" t="str">
        <f aca="false">IF(R195="","",Inputs!$F$9+SUM(W$7:W195))</f>
        <v/>
      </c>
      <c r="Y195" s="43" t="str">
        <f aca="false">IF(S195="Yes",R195,"")</f>
        <v/>
      </c>
      <c r="Z195" s="43" t="str">
        <f aca="false">IF(Y195="","",SUM(Y$7:Y195))</f>
        <v/>
      </c>
      <c r="AA195" s="43" t="str">
        <f aca="false">IF(Y195="","",MAX(0,MAX(Z$7:Z195)))</f>
        <v/>
      </c>
      <c r="AB195" s="43" t="str">
        <f aca="false">IF(Y195="","",Z195-AA195)</f>
        <v/>
      </c>
    </row>
    <row r="196" customFormat="false" ht="15" hidden="false" customHeight="false" outlineLevel="0" collapsed="false">
      <c r="B196" s="38"/>
      <c r="C196" s="39" t="str">
        <f aca="false">IF(B196="","",INT((B196-Inputs!$F$8)/7)+1)</f>
        <v/>
      </c>
      <c r="D196" s="39" t="str">
        <f aca="false">IF(B196="","",COUNTIF(B$7:B196,B196))</f>
        <v/>
      </c>
      <c r="E196" s="34"/>
      <c r="F196" s="34"/>
      <c r="G196" s="34"/>
      <c r="H196" s="34"/>
      <c r="I196" s="34"/>
      <c r="J196" s="35"/>
      <c r="K196" s="35"/>
      <c r="L196" s="40" t="str">
        <f aca="false">IF(OR(J196="",K196=""),"",IF(G196="Long",J196+Inputs!$F$15*(J196-K196),J196-Inputs!$F$15*(K196-J196)))</f>
        <v/>
      </c>
      <c r="M196" s="35"/>
      <c r="N196" s="34"/>
      <c r="O196" s="35"/>
      <c r="P196" s="34"/>
      <c r="Q196" s="41"/>
      <c r="R196" s="36" t="str">
        <f aca="false">IF(OR(M196="",J196="",K196="",J196=K196),"",ROUND(IF(G196="Long",(M196-J196)/(J196-K196),(J196-M196)/(K196-J196)),2))</f>
        <v/>
      </c>
      <c r="S196" s="39" t="str">
        <f aca="false">IF(B196="","",IF(AND(I196="Y",OR(P196="None",P196="")),"Yes","No"))</f>
        <v/>
      </c>
      <c r="T196" s="36" t="str">
        <f aca="false">IF(OR(O196="",J196="",K196="",J196=K196),"",ROUND(IF(G196="Long",(O196-J196)/(J196-K196),(J196-O196)/(K196-J196)),2))</f>
        <v/>
      </c>
      <c r="U196" s="36" t="str">
        <f aca="false">IF(OR(R196="",T196=""),"",IF(T196&gt;=2,2,IF(N196="Target",-1,R196)))</f>
        <v/>
      </c>
      <c r="V196" s="36" t="str">
        <f aca="false">IF(OR(R196="",T196=""),"",IF(T196&gt;=3,3,IF(N196="Target",-1,R196)))</f>
        <v/>
      </c>
      <c r="W196" s="42" t="str">
        <f aca="false">IF(R196="","",ROUND(R196*(Inputs!$F$9+SUM(W$6:W195))*Inputs!$F$10,2))</f>
        <v/>
      </c>
      <c r="X196" s="42" t="str">
        <f aca="false">IF(R196="","",Inputs!$F$9+SUM(W$7:W196))</f>
        <v/>
      </c>
      <c r="Y196" s="43" t="str">
        <f aca="false">IF(S196="Yes",R196,"")</f>
        <v/>
      </c>
      <c r="Z196" s="43" t="str">
        <f aca="false">IF(Y196="","",SUM(Y$7:Y196))</f>
        <v/>
      </c>
      <c r="AA196" s="43" t="str">
        <f aca="false">IF(Y196="","",MAX(0,MAX(Z$7:Z196)))</f>
        <v/>
      </c>
      <c r="AB196" s="43" t="str">
        <f aca="false">IF(Y196="","",Z196-AA196)</f>
        <v/>
      </c>
    </row>
    <row r="197" customFormat="false" ht="15" hidden="false" customHeight="false" outlineLevel="0" collapsed="false">
      <c r="B197" s="38"/>
      <c r="C197" s="39" t="str">
        <f aca="false">IF(B197="","",INT((B197-Inputs!$F$8)/7)+1)</f>
        <v/>
      </c>
      <c r="D197" s="39" t="str">
        <f aca="false">IF(B197="","",COUNTIF(B$7:B197,B197))</f>
        <v/>
      </c>
      <c r="E197" s="34"/>
      <c r="F197" s="34"/>
      <c r="G197" s="34"/>
      <c r="H197" s="34"/>
      <c r="I197" s="34"/>
      <c r="J197" s="35"/>
      <c r="K197" s="35"/>
      <c r="L197" s="40" t="str">
        <f aca="false">IF(OR(J197="",K197=""),"",IF(G197="Long",J197+Inputs!$F$15*(J197-K197),J197-Inputs!$F$15*(K197-J197)))</f>
        <v/>
      </c>
      <c r="M197" s="35"/>
      <c r="N197" s="34"/>
      <c r="O197" s="35"/>
      <c r="P197" s="34"/>
      <c r="Q197" s="41"/>
      <c r="R197" s="36" t="str">
        <f aca="false">IF(OR(M197="",J197="",K197="",J197=K197),"",ROUND(IF(G197="Long",(M197-J197)/(J197-K197),(J197-M197)/(K197-J197)),2))</f>
        <v/>
      </c>
      <c r="S197" s="39" t="str">
        <f aca="false">IF(B197="","",IF(AND(I197="Y",OR(P197="None",P197="")),"Yes","No"))</f>
        <v/>
      </c>
      <c r="T197" s="36" t="str">
        <f aca="false">IF(OR(O197="",J197="",K197="",J197=K197),"",ROUND(IF(G197="Long",(O197-J197)/(J197-K197),(J197-O197)/(K197-J197)),2))</f>
        <v/>
      </c>
      <c r="U197" s="36" t="str">
        <f aca="false">IF(OR(R197="",T197=""),"",IF(T197&gt;=2,2,IF(N197="Target",-1,R197)))</f>
        <v/>
      </c>
      <c r="V197" s="36" t="str">
        <f aca="false">IF(OR(R197="",T197=""),"",IF(T197&gt;=3,3,IF(N197="Target",-1,R197)))</f>
        <v/>
      </c>
      <c r="W197" s="42" t="str">
        <f aca="false">IF(R197="","",ROUND(R197*(Inputs!$F$9+SUM(W$6:W196))*Inputs!$F$10,2))</f>
        <v/>
      </c>
      <c r="X197" s="42" t="str">
        <f aca="false">IF(R197="","",Inputs!$F$9+SUM(W$7:W197))</f>
        <v/>
      </c>
      <c r="Y197" s="43" t="str">
        <f aca="false">IF(S197="Yes",R197,"")</f>
        <v/>
      </c>
      <c r="Z197" s="43" t="str">
        <f aca="false">IF(Y197="","",SUM(Y$7:Y197))</f>
        <v/>
      </c>
      <c r="AA197" s="43" t="str">
        <f aca="false">IF(Y197="","",MAX(0,MAX(Z$7:Z197)))</f>
        <v/>
      </c>
      <c r="AB197" s="43" t="str">
        <f aca="false">IF(Y197="","",Z197-AA197)</f>
        <v/>
      </c>
    </row>
    <row r="198" customFormat="false" ht="15" hidden="false" customHeight="false" outlineLevel="0" collapsed="false">
      <c r="B198" s="38"/>
      <c r="C198" s="39" t="str">
        <f aca="false">IF(B198="","",INT((B198-Inputs!$F$8)/7)+1)</f>
        <v/>
      </c>
      <c r="D198" s="39" t="str">
        <f aca="false">IF(B198="","",COUNTIF(B$7:B198,B198))</f>
        <v/>
      </c>
      <c r="E198" s="34"/>
      <c r="F198" s="34"/>
      <c r="G198" s="34"/>
      <c r="H198" s="34"/>
      <c r="I198" s="34"/>
      <c r="J198" s="35"/>
      <c r="K198" s="35"/>
      <c r="L198" s="40" t="str">
        <f aca="false">IF(OR(J198="",K198=""),"",IF(G198="Long",J198+Inputs!$F$15*(J198-K198),J198-Inputs!$F$15*(K198-J198)))</f>
        <v/>
      </c>
      <c r="M198" s="35"/>
      <c r="N198" s="34"/>
      <c r="O198" s="35"/>
      <c r="P198" s="34"/>
      <c r="Q198" s="41"/>
      <c r="R198" s="36" t="str">
        <f aca="false">IF(OR(M198="",J198="",K198="",J198=K198),"",ROUND(IF(G198="Long",(M198-J198)/(J198-K198),(J198-M198)/(K198-J198)),2))</f>
        <v/>
      </c>
      <c r="S198" s="39" t="str">
        <f aca="false">IF(B198="","",IF(AND(I198="Y",OR(P198="None",P198="")),"Yes","No"))</f>
        <v/>
      </c>
      <c r="T198" s="36" t="str">
        <f aca="false">IF(OR(O198="",J198="",K198="",J198=K198),"",ROUND(IF(G198="Long",(O198-J198)/(J198-K198),(J198-O198)/(K198-J198)),2))</f>
        <v/>
      </c>
      <c r="U198" s="36" t="str">
        <f aca="false">IF(OR(R198="",T198=""),"",IF(T198&gt;=2,2,IF(N198="Target",-1,R198)))</f>
        <v/>
      </c>
      <c r="V198" s="36" t="str">
        <f aca="false">IF(OR(R198="",T198=""),"",IF(T198&gt;=3,3,IF(N198="Target",-1,R198)))</f>
        <v/>
      </c>
      <c r="W198" s="42" t="str">
        <f aca="false">IF(R198="","",ROUND(R198*(Inputs!$F$9+SUM(W$6:W197))*Inputs!$F$10,2))</f>
        <v/>
      </c>
      <c r="X198" s="42" t="str">
        <f aca="false">IF(R198="","",Inputs!$F$9+SUM(W$7:W198))</f>
        <v/>
      </c>
      <c r="Y198" s="43" t="str">
        <f aca="false">IF(S198="Yes",R198,"")</f>
        <v/>
      </c>
      <c r="Z198" s="43" t="str">
        <f aca="false">IF(Y198="","",SUM(Y$7:Y198))</f>
        <v/>
      </c>
      <c r="AA198" s="43" t="str">
        <f aca="false">IF(Y198="","",MAX(0,MAX(Z$7:Z198)))</f>
        <v/>
      </c>
      <c r="AB198" s="43" t="str">
        <f aca="false">IF(Y198="","",Z198-AA198)</f>
        <v/>
      </c>
    </row>
    <row r="199" customFormat="false" ht="15" hidden="false" customHeight="false" outlineLevel="0" collapsed="false">
      <c r="B199" s="38"/>
      <c r="C199" s="39" t="str">
        <f aca="false">IF(B199="","",INT((B199-Inputs!$F$8)/7)+1)</f>
        <v/>
      </c>
      <c r="D199" s="39" t="str">
        <f aca="false">IF(B199="","",COUNTIF(B$7:B199,B199))</f>
        <v/>
      </c>
      <c r="E199" s="34"/>
      <c r="F199" s="34"/>
      <c r="G199" s="34"/>
      <c r="H199" s="34"/>
      <c r="I199" s="34"/>
      <c r="J199" s="35"/>
      <c r="K199" s="35"/>
      <c r="L199" s="40" t="str">
        <f aca="false">IF(OR(J199="",K199=""),"",IF(G199="Long",J199+Inputs!$F$15*(J199-K199),J199-Inputs!$F$15*(K199-J199)))</f>
        <v/>
      </c>
      <c r="M199" s="35"/>
      <c r="N199" s="34"/>
      <c r="O199" s="35"/>
      <c r="P199" s="34"/>
      <c r="Q199" s="41"/>
      <c r="R199" s="36" t="str">
        <f aca="false">IF(OR(M199="",J199="",K199="",J199=K199),"",ROUND(IF(G199="Long",(M199-J199)/(J199-K199),(J199-M199)/(K199-J199)),2))</f>
        <v/>
      </c>
      <c r="S199" s="39" t="str">
        <f aca="false">IF(B199="","",IF(AND(I199="Y",OR(P199="None",P199="")),"Yes","No"))</f>
        <v/>
      </c>
      <c r="T199" s="36" t="str">
        <f aca="false">IF(OR(O199="",J199="",K199="",J199=K199),"",ROUND(IF(G199="Long",(O199-J199)/(J199-K199),(J199-O199)/(K199-J199)),2))</f>
        <v/>
      </c>
      <c r="U199" s="36" t="str">
        <f aca="false">IF(OR(R199="",T199=""),"",IF(T199&gt;=2,2,IF(N199="Target",-1,R199)))</f>
        <v/>
      </c>
      <c r="V199" s="36" t="str">
        <f aca="false">IF(OR(R199="",T199=""),"",IF(T199&gt;=3,3,IF(N199="Target",-1,R199)))</f>
        <v/>
      </c>
      <c r="W199" s="42" t="str">
        <f aca="false">IF(R199="","",ROUND(R199*(Inputs!$F$9+SUM(W$6:W198))*Inputs!$F$10,2))</f>
        <v/>
      </c>
      <c r="X199" s="42" t="str">
        <f aca="false">IF(R199="","",Inputs!$F$9+SUM(W$7:W199))</f>
        <v/>
      </c>
      <c r="Y199" s="43" t="str">
        <f aca="false">IF(S199="Yes",R199,"")</f>
        <v/>
      </c>
      <c r="Z199" s="43" t="str">
        <f aca="false">IF(Y199="","",SUM(Y$7:Y199))</f>
        <v/>
      </c>
      <c r="AA199" s="43" t="str">
        <f aca="false">IF(Y199="","",MAX(0,MAX(Z$7:Z199)))</f>
        <v/>
      </c>
      <c r="AB199" s="43" t="str">
        <f aca="false">IF(Y199="","",Z199-AA199)</f>
        <v/>
      </c>
    </row>
    <row r="200" customFormat="false" ht="15" hidden="false" customHeight="false" outlineLevel="0" collapsed="false">
      <c r="B200" s="38"/>
      <c r="C200" s="39" t="str">
        <f aca="false">IF(B200="","",INT((B200-Inputs!$F$8)/7)+1)</f>
        <v/>
      </c>
      <c r="D200" s="39" t="str">
        <f aca="false">IF(B200="","",COUNTIF(B$7:B200,B200))</f>
        <v/>
      </c>
      <c r="E200" s="34"/>
      <c r="F200" s="34"/>
      <c r="G200" s="34"/>
      <c r="H200" s="34"/>
      <c r="I200" s="34"/>
      <c r="J200" s="35"/>
      <c r="K200" s="35"/>
      <c r="L200" s="40" t="str">
        <f aca="false">IF(OR(J200="",K200=""),"",IF(G200="Long",J200+Inputs!$F$15*(J200-K200),J200-Inputs!$F$15*(K200-J200)))</f>
        <v/>
      </c>
      <c r="M200" s="35"/>
      <c r="N200" s="34"/>
      <c r="O200" s="35"/>
      <c r="P200" s="34"/>
      <c r="Q200" s="41"/>
      <c r="R200" s="36" t="str">
        <f aca="false">IF(OR(M200="",J200="",K200="",J200=K200),"",ROUND(IF(G200="Long",(M200-J200)/(J200-K200),(J200-M200)/(K200-J200)),2))</f>
        <v/>
      </c>
      <c r="S200" s="39" t="str">
        <f aca="false">IF(B200="","",IF(AND(I200="Y",OR(P200="None",P200="")),"Yes","No"))</f>
        <v/>
      </c>
      <c r="T200" s="36" t="str">
        <f aca="false">IF(OR(O200="",J200="",K200="",J200=K200),"",ROUND(IF(G200="Long",(O200-J200)/(J200-K200),(J200-O200)/(K200-J200)),2))</f>
        <v/>
      </c>
      <c r="U200" s="36" t="str">
        <f aca="false">IF(OR(R200="",T200=""),"",IF(T200&gt;=2,2,IF(N200="Target",-1,R200)))</f>
        <v/>
      </c>
      <c r="V200" s="36" t="str">
        <f aca="false">IF(OR(R200="",T200=""),"",IF(T200&gt;=3,3,IF(N200="Target",-1,R200)))</f>
        <v/>
      </c>
      <c r="W200" s="42" t="str">
        <f aca="false">IF(R200="","",ROUND(R200*(Inputs!$F$9+SUM(W$6:W199))*Inputs!$F$10,2))</f>
        <v/>
      </c>
      <c r="X200" s="42" t="str">
        <f aca="false">IF(R200="","",Inputs!$F$9+SUM(W$7:W200))</f>
        <v/>
      </c>
      <c r="Y200" s="43" t="str">
        <f aca="false">IF(S200="Yes",R200,"")</f>
        <v/>
      </c>
      <c r="Z200" s="43" t="str">
        <f aca="false">IF(Y200="","",SUM(Y$7:Y200))</f>
        <v/>
      </c>
      <c r="AA200" s="43" t="str">
        <f aca="false">IF(Y200="","",MAX(0,MAX(Z$7:Z200)))</f>
        <v/>
      </c>
      <c r="AB200" s="43" t="str">
        <f aca="false">IF(Y200="","",Z200-AA200)</f>
        <v/>
      </c>
    </row>
    <row r="201" customFormat="false" ht="15" hidden="false" customHeight="false" outlineLevel="0" collapsed="false">
      <c r="B201" s="38"/>
      <c r="C201" s="39" t="str">
        <f aca="false">IF(B201="","",INT((B201-Inputs!$F$8)/7)+1)</f>
        <v/>
      </c>
      <c r="D201" s="39" t="str">
        <f aca="false">IF(B201="","",COUNTIF(B$7:B201,B201))</f>
        <v/>
      </c>
      <c r="E201" s="34"/>
      <c r="F201" s="34"/>
      <c r="G201" s="34"/>
      <c r="H201" s="34"/>
      <c r="I201" s="34"/>
      <c r="J201" s="35"/>
      <c r="K201" s="35"/>
      <c r="L201" s="40" t="str">
        <f aca="false">IF(OR(J201="",K201=""),"",IF(G201="Long",J201+Inputs!$F$15*(J201-K201),J201-Inputs!$F$15*(K201-J201)))</f>
        <v/>
      </c>
      <c r="M201" s="35"/>
      <c r="N201" s="34"/>
      <c r="O201" s="35"/>
      <c r="P201" s="34"/>
      <c r="Q201" s="41"/>
      <c r="R201" s="36" t="str">
        <f aca="false">IF(OR(M201="",J201="",K201="",J201=K201),"",ROUND(IF(G201="Long",(M201-J201)/(J201-K201),(J201-M201)/(K201-J201)),2))</f>
        <v/>
      </c>
      <c r="S201" s="39" t="str">
        <f aca="false">IF(B201="","",IF(AND(I201="Y",OR(P201="None",P201="")),"Yes","No"))</f>
        <v/>
      </c>
      <c r="T201" s="36" t="str">
        <f aca="false">IF(OR(O201="",J201="",K201="",J201=K201),"",ROUND(IF(G201="Long",(O201-J201)/(J201-K201),(J201-O201)/(K201-J201)),2))</f>
        <v/>
      </c>
      <c r="U201" s="36" t="str">
        <f aca="false">IF(OR(R201="",T201=""),"",IF(T201&gt;=2,2,IF(N201="Target",-1,R201)))</f>
        <v/>
      </c>
      <c r="V201" s="36" t="str">
        <f aca="false">IF(OR(R201="",T201=""),"",IF(T201&gt;=3,3,IF(N201="Target",-1,R201)))</f>
        <v/>
      </c>
      <c r="W201" s="42" t="str">
        <f aca="false">IF(R201="","",ROUND(R201*(Inputs!$F$9+SUM(W$6:W200))*Inputs!$F$10,2))</f>
        <v/>
      </c>
      <c r="X201" s="42" t="str">
        <f aca="false">IF(R201="","",Inputs!$F$9+SUM(W$7:W201))</f>
        <v/>
      </c>
      <c r="Y201" s="43" t="str">
        <f aca="false">IF(S201="Yes",R201,"")</f>
        <v/>
      </c>
      <c r="Z201" s="43" t="str">
        <f aca="false">IF(Y201="","",SUM(Y$7:Y201))</f>
        <v/>
      </c>
      <c r="AA201" s="43" t="str">
        <f aca="false">IF(Y201="","",MAX(0,MAX(Z$7:Z201)))</f>
        <v/>
      </c>
      <c r="AB201" s="43" t="str">
        <f aca="false">IF(Y201="","",Z201-AA201)</f>
        <v/>
      </c>
    </row>
    <row r="202" customFormat="false" ht="15" hidden="false" customHeight="false" outlineLevel="0" collapsed="false">
      <c r="B202" s="38"/>
      <c r="C202" s="39" t="str">
        <f aca="false">IF(B202="","",INT((B202-Inputs!$F$8)/7)+1)</f>
        <v/>
      </c>
      <c r="D202" s="39" t="str">
        <f aca="false">IF(B202="","",COUNTIF(B$7:B202,B202))</f>
        <v/>
      </c>
      <c r="E202" s="34"/>
      <c r="F202" s="34"/>
      <c r="G202" s="34"/>
      <c r="H202" s="34"/>
      <c r="I202" s="34"/>
      <c r="J202" s="35"/>
      <c r="K202" s="35"/>
      <c r="L202" s="40" t="str">
        <f aca="false">IF(OR(J202="",K202=""),"",IF(G202="Long",J202+Inputs!$F$15*(J202-K202),J202-Inputs!$F$15*(K202-J202)))</f>
        <v/>
      </c>
      <c r="M202" s="35"/>
      <c r="N202" s="34"/>
      <c r="O202" s="35"/>
      <c r="P202" s="34"/>
      <c r="Q202" s="41"/>
      <c r="R202" s="36" t="str">
        <f aca="false">IF(OR(M202="",J202="",K202="",J202=K202),"",ROUND(IF(G202="Long",(M202-J202)/(J202-K202),(J202-M202)/(K202-J202)),2))</f>
        <v/>
      </c>
      <c r="S202" s="39" t="str">
        <f aca="false">IF(B202="","",IF(AND(I202="Y",OR(P202="None",P202="")),"Yes","No"))</f>
        <v/>
      </c>
      <c r="T202" s="36" t="str">
        <f aca="false">IF(OR(O202="",J202="",K202="",J202=K202),"",ROUND(IF(G202="Long",(O202-J202)/(J202-K202),(J202-O202)/(K202-J202)),2))</f>
        <v/>
      </c>
      <c r="U202" s="36" t="str">
        <f aca="false">IF(OR(R202="",T202=""),"",IF(T202&gt;=2,2,IF(N202="Target",-1,R202)))</f>
        <v/>
      </c>
      <c r="V202" s="36" t="str">
        <f aca="false">IF(OR(R202="",T202=""),"",IF(T202&gt;=3,3,IF(N202="Target",-1,R202)))</f>
        <v/>
      </c>
      <c r="W202" s="42" t="str">
        <f aca="false">IF(R202="","",ROUND(R202*(Inputs!$F$9+SUM(W$6:W201))*Inputs!$F$10,2))</f>
        <v/>
      </c>
      <c r="X202" s="42" t="str">
        <f aca="false">IF(R202="","",Inputs!$F$9+SUM(W$7:W202))</f>
        <v/>
      </c>
      <c r="Y202" s="43" t="str">
        <f aca="false">IF(S202="Yes",R202,"")</f>
        <v/>
      </c>
      <c r="Z202" s="43" t="str">
        <f aca="false">IF(Y202="","",SUM(Y$7:Y202))</f>
        <v/>
      </c>
      <c r="AA202" s="43" t="str">
        <f aca="false">IF(Y202="","",MAX(0,MAX(Z$7:Z202)))</f>
        <v/>
      </c>
      <c r="AB202" s="43" t="str">
        <f aca="false">IF(Y202="","",Z202-AA202)</f>
        <v/>
      </c>
    </row>
    <row r="203" customFormat="false" ht="15" hidden="false" customHeight="false" outlineLevel="0" collapsed="false">
      <c r="B203" s="38"/>
      <c r="C203" s="39" t="str">
        <f aca="false">IF(B203="","",INT((B203-Inputs!$F$8)/7)+1)</f>
        <v/>
      </c>
      <c r="D203" s="39" t="str">
        <f aca="false">IF(B203="","",COUNTIF(B$7:B203,B203))</f>
        <v/>
      </c>
      <c r="E203" s="34"/>
      <c r="F203" s="34"/>
      <c r="G203" s="34"/>
      <c r="H203" s="34"/>
      <c r="I203" s="34"/>
      <c r="J203" s="35"/>
      <c r="K203" s="35"/>
      <c r="L203" s="40" t="str">
        <f aca="false">IF(OR(J203="",K203=""),"",IF(G203="Long",J203+Inputs!$F$15*(J203-K203),J203-Inputs!$F$15*(K203-J203)))</f>
        <v/>
      </c>
      <c r="M203" s="35"/>
      <c r="N203" s="34"/>
      <c r="O203" s="35"/>
      <c r="P203" s="34"/>
      <c r="Q203" s="41"/>
      <c r="R203" s="36" t="str">
        <f aca="false">IF(OR(M203="",J203="",K203="",J203=K203),"",ROUND(IF(G203="Long",(M203-J203)/(J203-K203),(J203-M203)/(K203-J203)),2))</f>
        <v/>
      </c>
      <c r="S203" s="39" t="str">
        <f aca="false">IF(B203="","",IF(AND(I203="Y",OR(P203="None",P203="")),"Yes","No"))</f>
        <v/>
      </c>
      <c r="T203" s="36" t="str">
        <f aca="false">IF(OR(O203="",J203="",K203="",J203=K203),"",ROUND(IF(G203="Long",(O203-J203)/(J203-K203),(J203-O203)/(K203-J203)),2))</f>
        <v/>
      </c>
      <c r="U203" s="36" t="str">
        <f aca="false">IF(OR(R203="",T203=""),"",IF(T203&gt;=2,2,IF(N203="Target",-1,R203)))</f>
        <v/>
      </c>
      <c r="V203" s="36" t="str">
        <f aca="false">IF(OR(R203="",T203=""),"",IF(T203&gt;=3,3,IF(N203="Target",-1,R203)))</f>
        <v/>
      </c>
      <c r="W203" s="42" t="str">
        <f aca="false">IF(R203="","",ROUND(R203*(Inputs!$F$9+SUM(W$6:W202))*Inputs!$F$10,2))</f>
        <v/>
      </c>
      <c r="X203" s="42" t="str">
        <f aca="false">IF(R203="","",Inputs!$F$9+SUM(W$7:W203))</f>
        <v/>
      </c>
      <c r="Y203" s="43" t="str">
        <f aca="false">IF(S203="Yes",R203,"")</f>
        <v/>
      </c>
      <c r="Z203" s="43" t="str">
        <f aca="false">IF(Y203="","",SUM(Y$7:Y203))</f>
        <v/>
      </c>
      <c r="AA203" s="43" t="str">
        <f aca="false">IF(Y203="","",MAX(0,MAX(Z$7:Z203)))</f>
        <v/>
      </c>
      <c r="AB203" s="43" t="str">
        <f aca="false">IF(Y203="","",Z203-AA203)</f>
        <v/>
      </c>
    </row>
    <row r="204" customFormat="false" ht="15" hidden="false" customHeight="false" outlineLevel="0" collapsed="false">
      <c r="B204" s="38"/>
      <c r="C204" s="39" t="str">
        <f aca="false">IF(B204="","",INT((B204-Inputs!$F$8)/7)+1)</f>
        <v/>
      </c>
      <c r="D204" s="39" t="str">
        <f aca="false">IF(B204="","",COUNTIF(B$7:B204,B204))</f>
        <v/>
      </c>
      <c r="E204" s="34"/>
      <c r="F204" s="34"/>
      <c r="G204" s="34"/>
      <c r="H204" s="34"/>
      <c r="I204" s="34"/>
      <c r="J204" s="35"/>
      <c r="K204" s="35"/>
      <c r="L204" s="40" t="str">
        <f aca="false">IF(OR(J204="",K204=""),"",IF(G204="Long",J204+Inputs!$F$15*(J204-K204),J204-Inputs!$F$15*(K204-J204)))</f>
        <v/>
      </c>
      <c r="M204" s="35"/>
      <c r="N204" s="34"/>
      <c r="O204" s="35"/>
      <c r="P204" s="34"/>
      <c r="Q204" s="41"/>
      <c r="R204" s="36" t="str">
        <f aca="false">IF(OR(M204="",J204="",K204="",J204=K204),"",ROUND(IF(G204="Long",(M204-J204)/(J204-K204),(J204-M204)/(K204-J204)),2))</f>
        <v/>
      </c>
      <c r="S204" s="39" t="str">
        <f aca="false">IF(B204="","",IF(AND(I204="Y",OR(P204="None",P204="")),"Yes","No"))</f>
        <v/>
      </c>
      <c r="T204" s="36" t="str">
        <f aca="false">IF(OR(O204="",J204="",K204="",J204=K204),"",ROUND(IF(G204="Long",(O204-J204)/(J204-K204),(J204-O204)/(K204-J204)),2))</f>
        <v/>
      </c>
      <c r="U204" s="36" t="str">
        <f aca="false">IF(OR(R204="",T204=""),"",IF(T204&gt;=2,2,IF(N204="Target",-1,R204)))</f>
        <v/>
      </c>
      <c r="V204" s="36" t="str">
        <f aca="false">IF(OR(R204="",T204=""),"",IF(T204&gt;=3,3,IF(N204="Target",-1,R204)))</f>
        <v/>
      </c>
      <c r="W204" s="42" t="str">
        <f aca="false">IF(R204="","",ROUND(R204*(Inputs!$F$9+SUM(W$6:W203))*Inputs!$F$10,2))</f>
        <v/>
      </c>
      <c r="X204" s="42" t="str">
        <f aca="false">IF(R204="","",Inputs!$F$9+SUM(W$7:W204))</f>
        <v/>
      </c>
      <c r="Y204" s="43" t="str">
        <f aca="false">IF(S204="Yes",R204,"")</f>
        <v/>
      </c>
      <c r="Z204" s="43" t="str">
        <f aca="false">IF(Y204="","",SUM(Y$7:Y204))</f>
        <v/>
      </c>
      <c r="AA204" s="43" t="str">
        <f aca="false">IF(Y204="","",MAX(0,MAX(Z$7:Z204)))</f>
        <v/>
      </c>
      <c r="AB204" s="43" t="str">
        <f aca="false">IF(Y204="","",Z204-AA204)</f>
        <v/>
      </c>
    </row>
    <row r="205" customFormat="false" ht="15" hidden="false" customHeight="false" outlineLevel="0" collapsed="false">
      <c r="B205" s="38"/>
      <c r="C205" s="39" t="str">
        <f aca="false">IF(B205="","",INT((B205-Inputs!$F$8)/7)+1)</f>
        <v/>
      </c>
      <c r="D205" s="39" t="str">
        <f aca="false">IF(B205="","",COUNTIF(B$7:B205,B205))</f>
        <v/>
      </c>
      <c r="E205" s="34"/>
      <c r="F205" s="34"/>
      <c r="G205" s="34"/>
      <c r="H205" s="34"/>
      <c r="I205" s="34"/>
      <c r="J205" s="35"/>
      <c r="K205" s="35"/>
      <c r="L205" s="40" t="str">
        <f aca="false">IF(OR(J205="",K205=""),"",IF(G205="Long",J205+Inputs!$F$15*(J205-K205),J205-Inputs!$F$15*(K205-J205)))</f>
        <v/>
      </c>
      <c r="M205" s="35"/>
      <c r="N205" s="34"/>
      <c r="O205" s="35"/>
      <c r="P205" s="34"/>
      <c r="Q205" s="41"/>
      <c r="R205" s="36" t="str">
        <f aca="false">IF(OR(M205="",J205="",K205="",J205=K205),"",ROUND(IF(G205="Long",(M205-J205)/(J205-K205),(J205-M205)/(K205-J205)),2))</f>
        <v/>
      </c>
      <c r="S205" s="39" t="str">
        <f aca="false">IF(B205="","",IF(AND(I205="Y",OR(P205="None",P205="")),"Yes","No"))</f>
        <v/>
      </c>
      <c r="T205" s="36" t="str">
        <f aca="false">IF(OR(O205="",J205="",K205="",J205=K205),"",ROUND(IF(G205="Long",(O205-J205)/(J205-K205),(J205-O205)/(K205-J205)),2))</f>
        <v/>
      </c>
      <c r="U205" s="36" t="str">
        <f aca="false">IF(OR(R205="",T205=""),"",IF(T205&gt;=2,2,IF(N205="Target",-1,R205)))</f>
        <v/>
      </c>
      <c r="V205" s="36" t="str">
        <f aca="false">IF(OR(R205="",T205=""),"",IF(T205&gt;=3,3,IF(N205="Target",-1,R205)))</f>
        <v/>
      </c>
      <c r="W205" s="42" t="str">
        <f aca="false">IF(R205="","",ROUND(R205*(Inputs!$F$9+SUM(W$6:W204))*Inputs!$F$10,2))</f>
        <v/>
      </c>
      <c r="X205" s="42" t="str">
        <f aca="false">IF(R205="","",Inputs!$F$9+SUM(W$7:W205))</f>
        <v/>
      </c>
      <c r="Y205" s="43" t="str">
        <f aca="false">IF(S205="Yes",R205,"")</f>
        <v/>
      </c>
      <c r="Z205" s="43" t="str">
        <f aca="false">IF(Y205="","",SUM(Y$7:Y205))</f>
        <v/>
      </c>
      <c r="AA205" s="43" t="str">
        <f aca="false">IF(Y205="","",MAX(0,MAX(Z$7:Z205)))</f>
        <v/>
      </c>
      <c r="AB205" s="43" t="str">
        <f aca="false">IF(Y205="","",Z205-AA205)</f>
        <v/>
      </c>
    </row>
    <row r="206" customFormat="false" ht="15" hidden="false" customHeight="false" outlineLevel="0" collapsed="false">
      <c r="B206" s="38"/>
      <c r="C206" s="39" t="str">
        <f aca="false">IF(B206="","",INT((B206-Inputs!$F$8)/7)+1)</f>
        <v/>
      </c>
      <c r="D206" s="39" t="str">
        <f aca="false">IF(B206="","",COUNTIF(B$7:B206,B206))</f>
        <v/>
      </c>
      <c r="E206" s="34"/>
      <c r="F206" s="34"/>
      <c r="G206" s="34"/>
      <c r="H206" s="34"/>
      <c r="I206" s="34"/>
      <c r="J206" s="35"/>
      <c r="K206" s="35"/>
      <c r="L206" s="40" t="str">
        <f aca="false">IF(OR(J206="",K206=""),"",IF(G206="Long",J206+Inputs!$F$15*(J206-K206),J206-Inputs!$F$15*(K206-J206)))</f>
        <v/>
      </c>
      <c r="M206" s="35"/>
      <c r="N206" s="34"/>
      <c r="O206" s="35"/>
      <c r="P206" s="34"/>
      <c r="Q206" s="41"/>
      <c r="R206" s="36" t="str">
        <f aca="false">IF(OR(M206="",J206="",K206="",J206=K206),"",ROUND(IF(G206="Long",(M206-J206)/(J206-K206),(J206-M206)/(K206-J206)),2))</f>
        <v/>
      </c>
      <c r="S206" s="39" t="str">
        <f aca="false">IF(B206="","",IF(AND(I206="Y",OR(P206="None",P206="")),"Yes","No"))</f>
        <v/>
      </c>
      <c r="T206" s="36" t="str">
        <f aca="false">IF(OR(O206="",J206="",K206="",J206=K206),"",ROUND(IF(G206="Long",(O206-J206)/(J206-K206),(J206-O206)/(K206-J206)),2))</f>
        <v/>
      </c>
      <c r="U206" s="36" t="str">
        <f aca="false">IF(OR(R206="",T206=""),"",IF(T206&gt;=2,2,IF(N206="Target",-1,R206)))</f>
        <v/>
      </c>
      <c r="V206" s="36" t="str">
        <f aca="false">IF(OR(R206="",T206=""),"",IF(T206&gt;=3,3,IF(N206="Target",-1,R206)))</f>
        <v/>
      </c>
      <c r="W206" s="42" t="str">
        <f aca="false">IF(R206="","",ROUND(R206*(Inputs!$F$9+SUM(W$6:W205))*Inputs!$F$10,2))</f>
        <v/>
      </c>
      <c r="X206" s="42" t="str">
        <f aca="false">IF(R206="","",Inputs!$F$9+SUM(W$7:W206))</f>
        <v/>
      </c>
      <c r="Y206" s="43" t="str">
        <f aca="false">IF(S206="Yes",R206,"")</f>
        <v/>
      </c>
      <c r="Z206" s="43" t="str">
        <f aca="false">IF(Y206="","",SUM(Y$7:Y206))</f>
        <v/>
      </c>
      <c r="AA206" s="43" t="str">
        <f aca="false">IF(Y206="","",MAX(0,MAX(Z$7:Z206)))</f>
        <v/>
      </c>
      <c r="AB206" s="43" t="str">
        <f aca="false">IF(Y206="","",Z206-AA206)</f>
        <v/>
      </c>
    </row>
    <row r="207" customFormat="false" ht="15" hidden="false" customHeight="false" outlineLevel="0" collapsed="false">
      <c r="B207" s="38"/>
      <c r="C207" s="39" t="str">
        <f aca="false">IF(B207="","",INT((B207-Inputs!$F$8)/7)+1)</f>
        <v/>
      </c>
      <c r="D207" s="39" t="str">
        <f aca="false">IF(B207="","",COUNTIF(B$7:B207,B207))</f>
        <v/>
      </c>
      <c r="E207" s="34"/>
      <c r="F207" s="34"/>
      <c r="G207" s="34"/>
      <c r="H207" s="34"/>
      <c r="I207" s="34"/>
      <c r="J207" s="35"/>
      <c r="K207" s="35"/>
      <c r="L207" s="40" t="str">
        <f aca="false">IF(OR(J207="",K207=""),"",IF(G207="Long",J207+Inputs!$F$15*(J207-K207),J207-Inputs!$F$15*(K207-J207)))</f>
        <v/>
      </c>
      <c r="M207" s="35"/>
      <c r="N207" s="34"/>
      <c r="O207" s="35"/>
      <c r="P207" s="34"/>
      <c r="Q207" s="41"/>
      <c r="R207" s="36" t="str">
        <f aca="false">IF(OR(M207="",J207="",K207="",J207=K207),"",ROUND(IF(G207="Long",(M207-J207)/(J207-K207),(J207-M207)/(K207-J207)),2))</f>
        <v/>
      </c>
      <c r="S207" s="39" t="str">
        <f aca="false">IF(B207="","",IF(AND(I207="Y",OR(P207="None",P207="")),"Yes","No"))</f>
        <v/>
      </c>
      <c r="T207" s="36" t="str">
        <f aca="false">IF(OR(O207="",J207="",K207="",J207=K207),"",ROUND(IF(G207="Long",(O207-J207)/(J207-K207),(J207-O207)/(K207-J207)),2))</f>
        <v/>
      </c>
      <c r="U207" s="36" t="str">
        <f aca="false">IF(OR(R207="",T207=""),"",IF(T207&gt;=2,2,IF(N207="Target",-1,R207)))</f>
        <v/>
      </c>
      <c r="V207" s="36" t="str">
        <f aca="false">IF(OR(R207="",T207=""),"",IF(T207&gt;=3,3,IF(N207="Target",-1,R207)))</f>
        <v/>
      </c>
      <c r="W207" s="42" t="str">
        <f aca="false">IF(R207="","",ROUND(R207*(Inputs!$F$9+SUM(W$6:W206))*Inputs!$F$10,2))</f>
        <v/>
      </c>
      <c r="X207" s="42" t="str">
        <f aca="false">IF(R207="","",Inputs!$F$9+SUM(W$7:W207))</f>
        <v/>
      </c>
      <c r="Y207" s="43" t="str">
        <f aca="false">IF(S207="Yes",R207,"")</f>
        <v/>
      </c>
      <c r="Z207" s="43" t="str">
        <f aca="false">IF(Y207="","",SUM(Y$7:Y207))</f>
        <v/>
      </c>
      <c r="AA207" s="43" t="str">
        <f aca="false">IF(Y207="","",MAX(0,MAX(Z$7:Z207)))</f>
        <v/>
      </c>
      <c r="AB207" s="43" t="str">
        <f aca="false">IF(Y207="","",Z207-AA207)</f>
        <v/>
      </c>
    </row>
    <row r="208" customFormat="false" ht="15" hidden="false" customHeight="false" outlineLevel="0" collapsed="false">
      <c r="B208" s="38"/>
      <c r="C208" s="39" t="str">
        <f aca="false">IF(B208="","",INT((B208-Inputs!$F$8)/7)+1)</f>
        <v/>
      </c>
      <c r="D208" s="39" t="str">
        <f aca="false">IF(B208="","",COUNTIF(B$7:B208,B208))</f>
        <v/>
      </c>
      <c r="E208" s="34"/>
      <c r="F208" s="34"/>
      <c r="G208" s="34"/>
      <c r="H208" s="34"/>
      <c r="I208" s="34"/>
      <c r="J208" s="35"/>
      <c r="K208" s="35"/>
      <c r="L208" s="40" t="str">
        <f aca="false">IF(OR(J208="",K208=""),"",IF(G208="Long",J208+Inputs!$F$15*(J208-K208),J208-Inputs!$F$15*(K208-J208)))</f>
        <v/>
      </c>
      <c r="M208" s="35"/>
      <c r="N208" s="34"/>
      <c r="O208" s="35"/>
      <c r="P208" s="34"/>
      <c r="Q208" s="41"/>
      <c r="R208" s="36" t="str">
        <f aca="false">IF(OR(M208="",J208="",K208="",J208=K208),"",ROUND(IF(G208="Long",(M208-J208)/(J208-K208),(J208-M208)/(K208-J208)),2))</f>
        <v/>
      </c>
      <c r="S208" s="39" t="str">
        <f aca="false">IF(B208="","",IF(AND(I208="Y",OR(P208="None",P208="")),"Yes","No"))</f>
        <v/>
      </c>
      <c r="T208" s="36" t="str">
        <f aca="false">IF(OR(O208="",J208="",K208="",J208=K208),"",ROUND(IF(G208="Long",(O208-J208)/(J208-K208),(J208-O208)/(K208-J208)),2))</f>
        <v/>
      </c>
      <c r="U208" s="36" t="str">
        <f aca="false">IF(OR(R208="",T208=""),"",IF(T208&gt;=2,2,IF(N208="Target",-1,R208)))</f>
        <v/>
      </c>
      <c r="V208" s="36" t="str">
        <f aca="false">IF(OR(R208="",T208=""),"",IF(T208&gt;=3,3,IF(N208="Target",-1,R208)))</f>
        <v/>
      </c>
      <c r="W208" s="42" t="str">
        <f aca="false">IF(R208="","",ROUND(R208*(Inputs!$F$9+SUM(W$6:W207))*Inputs!$F$10,2))</f>
        <v/>
      </c>
      <c r="X208" s="42" t="str">
        <f aca="false">IF(R208="","",Inputs!$F$9+SUM(W$7:W208))</f>
        <v/>
      </c>
      <c r="Y208" s="43" t="str">
        <f aca="false">IF(S208="Yes",R208,"")</f>
        <v/>
      </c>
      <c r="Z208" s="43" t="str">
        <f aca="false">IF(Y208="","",SUM(Y$7:Y208))</f>
        <v/>
      </c>
      <c r="AA208" s="43" t="str">
        <f aca="false">IF(Y208="","",MAX(0,MAX(Z$7:Z208)))</f>
        <v/>
      </c>
      <c r="AB208" s="43" t="str">
        <f aca="false">IF(Y208="","",Z208-AA208)</f>
        <v/>
      </c>
    </row>
    <row r="209" customFormat="false" ht="15" hidden="false" customHeight="false" outlineLevel="0" collapsed="false">
      <c r="B209" s="38"/>
      <c r="C209" s="39" t="str">
        <f aca="false">IF(B209="","",INT((B209-Inputs!$F$8)/7)+1)</f>
        <v/>
      </c>
      <c r="D209" s="39" t="str">
        <f aca="false">IF(B209="","",COUNTIF(B$7:B209,B209))</f>
        <v/>
      </c>
      <c r="E209" s="34"/>
      <c r="F209" s="34"/>
      <c r="G209" s="34"/>
      <c r="H209" s="34"/>
      <c r="I209" s="34"/>
      <c r="J209" s="35"/>
      <c r="K209" s="35"/>
      <c r="L209" s="40" t="str">
        <f aca="false">IF(OR(J209="",K209=""),"",IF(G209="Long",J209+Inputs!$F$15*(J209-K209),J209-Inputs!$F$15*(K209-J209)))</f>
        <v/>
      </c>
      <c r="M209" s="35"/>
      <c r="N209" s="34"/>
      <c r="O209" s="35"/>
      <c r="P209" s="34"/>
      <c r="Q209" s="41"/>
      <c r="R209" s="36" t="str">
        <f aca="false">IF(OR(M209="",J209="",K209="",J209=K209),"",ROUND(IF(G209="Long",(M209-J209)/(J209-K209),(J209-M209)/(K209-J209)),2))</f>
        <v/>
      </c>
      <c r="S209" s="39" t="str">
        <f aca="false">IF(B209="","",IF(AND(I209="Y",OR(P209="None",P209="")),"Yes","No"))</f>
        <v/>
      </c>
      <c r="T209" s="36" t="str">
        <f aca="false">IF(OR(O209="",J209="",K209="",J209=K209),"",ROUND(IF(G209="Long",(O209-J209)/(J209-K209),(J209-O209)/(K209-J209)),2))</f>
        <v/>
      </c>
      <c r="U209" s="36" t="str">
        <f aca="false">IF(OR(R209="",T209=""),"",IF(T209&gt;=2,2,IF(N209="Target",-1,R209)))</f>
        <v/>
      </c>
      <c r="V209" s="36" t="str">
        <f aca="false">IF(OR(R209="",T209=""),"",IF(T209&gt;=3,3,IF(N209="Target",-1,R209)))</f>
        <v/>
      </c>
      <c r="W209" s="42" t="str">
        <f aca="false">IF(R209="","",ROUND(R209*(Inputs!$F$9+SUM(W$6:W208))*Inputs!$F$10,2))</f>
        <v/>
      </c>
      <c r="X209" s="42" t="str">
        <f aca="false">IF(R209="","",Inputs!$F$9+SUM(W$7:W209))</f>
        <v/>
      </c>
      <c r="Y209" s="43" t="str">
        <f aca="false">IF(S209="Yes",R209,"")</f>
        <v/>
      </c>
      <c r="Z209" s="43" t="str">
        <f aca="false">IF(Y209="","",SUM(Y$7:Y209))</f>
        <v/>
      </c>
      <c r="AA209" s="43" t="str">
        <f aca="false">IF(Y209="","",MAX(0,MAX(Z$7:Z209)))</f>
        <v/>
      </c>
      <c r="AB209" s="43" t="str">
        <f aca="false">IF(Y209="","",Z209-AA209)</f>
        <v/>
      </c>
    </row>
    <row r="210" customFormat="false" ht="15" hidden="false" customHeight="false" outlineLevel="0" collapsed="false">
      <c r="B210" s="38"/>
      <c r="C210" s="39" t="str">
        <f aca="false">IF(B210="","",INT((B210-Inputs!$F$8)/7)+1)</f>
        <v/>
      </c>
      <c r="D210" s="39" t="str">
        <f aca="false">IF(B210="","",COUNTIF(B$7:B210,B210))</f>
        <v/>
      </c>
      <c r="E210" s="34"/>
      <c r="F210" s="34"/>
      <c r="G210" s="34"/>
      <c r="H210" s="34"/>
      <c r="I210" s="34"/>
      <c r="J210" s="35"/>
      <c r="K210" s="35"/>
      <c r="L210" s="40" t="str">
        <f aca="false">IF(OR(J210="",K210=""),"",IF(G210="Long",J210+Inputs!$F$15*(J210-K210),J210-Inputs!$F$15*(K210-J210)))</f>
        <v/>
      </c>
      <c r="M210" s="35"/>
      <c r="N210" s="34"/>
      <c r="O210" s="35"/>
      <c r="P210" s="34"/>
      <c r="Q210" s="41"/>
      <c r="R210" s="36" t="str">
        <f aca="false">IF(OR(M210="",J210="",K210="",J210=K210),"",ROUND(IF(G210="Long",(M210-J210)/(J210-K210),(J210-M210)/(K210-J210)),2))</f>
        <v/>
      </c>
      <c r="S210" s="39" t="str">
        <f aca="false">IF(B210="","",IF(AND(I210="Y",OR(P210="None",P210="")),"Yes","No"))</f>
        <v/>
      </c>
      <c r="T210" s="36" t="str">
        <f aca="false">IF(OR(O210="",J210="",K210="",J210=K210),"",ROUND(IF(G210="Long",(O210-J210)/(J210-K210),(J210-O210)/(K210-J210)),2))</f>
        <v/>
      </c>
      <c r="U210" s="36" t="str">
        <f aca="false">IF(OR(R210="",T210=""),"",IF(T210&gt;=2,2,IF(N210="Target",-1,R210)))</f>
        <v/>
      </c>
      <c r="V210" s="36" t="str">
        <f aca="false">IF(OR(R210="",T210=""),"",IF(T210&gt;=3,3,IF(N210="Target",-1,R210)))</f>
        <v/>
      </c>
      <c r="W210" s="42" t="str">
        <f aca="false">IF(R210="","",ROUND(R210*(Inputs!$F$9+SUM(W$6:W209))*Inputs!$F$10,2))</f>
        <v/>
      </c>
      <c r="X210" s="42" t="str">
        <f aca="false">IF(R210="","",Inputs!$F$9+SUM(W$7:W210))</f>
        <v/>
      </c>
      <c r="Y210" s="43" t="str">
        <f aca="false">IF(S210="Yes",R210,"")</f>
        <v/>
      </c>
      <c r="Z210" s="43" t="str">
        <f aca="false">IF(Y210="","",SUM(Y$7:Y210))</f>
        <v/>
      </c>
      <c r="AA210" s="43" t="str">
        <f aca="false">IF(Y210="","",MAX(0,MAX(Z$7:Z210)))</f>
        <v/>
      </c>
      <c r="AB210" s="43" t="str">
        <f aca="false">IF(Y210="","",Z210-AA210)</f>
        <v/>
      </c>
    </row>
    <row r="211" customFormat="false" ht="15" hidden="false" customHeight="false" outlineLevel="0" collapsed="false">
      <c r="B211" s="38"/>
      <c r="C211" s="39" t="str">
        <f aca="false">IF(B211="","",INT((B211-Inputs!$F$8)/7)+1)</f>
        <v/>
      </c>
      <c r="D211" s="39" t="str">
        <f aca="false">IF(B211="","",COUNTIF(B$7:B211,B211))</f>
        <v/>
      </c>
      <c r="E211" s="34"/>
      <c r="F211" s="34"/>
      <c r="G211" s="34"/>
      <c r="H211" s="34"/>
      <c r="I211" s="34"/>
      <c r="J211" s="35"/>
      <c r="K211" s="35"/>
      <c r="L211" s="40" t="str">
        <f aca="false">IF(OR(J211="",K211=""),"",IF(G211="Long",J211+Inputs!$F$15*(J211-K211),J211-Inputs!$F$15*(K211-J211)))</f>
        <v/>
      </c>
      <c r="M211" s="35"/>
      <c r="N211" s="34"/>
      <c r="O211" s="35"/>
      <c r="P211" s="34"/>
      <c r="Q211" s="41"/>
      <c r="R211" s="36" t="str">
        <f aca="false">IF(OR(M211="",J211="",K211="",J211=K211),"",ROUND(IF(G211="Long",(M211-J211)/(J211-K211),(J211-M211)/(K211-J211)),2))</f>
        <v/>
      </c>
      <c r="S211" s="39" t="str">
        <f aca="false">IF(B211="","",IF(AND(I211="Y",OR(P211="None",P211="")),"Yes","No"))</f>
        <v/>
      </c>
      <c r="T211" s="36" t="str">
        <f aca="false">IF(OR(O211="",J211="",K211="",J211=K211),"",ROUND(IF(G211="Long",(O211-J211)/(J211-K211),(J211-O211)/(K211-J211)),2))</f>
        <v/>
      </c>
      <c r="U211" s="36" t="str">
        <f aca="false">IF(OR(R211="",T211=""),"",IF(T211&gt;=2,2,IF(N211="Target",-1,R211)))</f>
        <v/>
      </c>
      <c r="V211" s="36" t="str">
        <f aca="false">IF(OR(R211="",T211=""),"",IF(T211&gt;=3,3,IF(N211="Target",-1,R211)))</f>
        <v/>
      </c>
      <c r="W211" s="42" t="str">
        <f aca="false">IF(R211="","",ROUND(R211*(Inputs!$F$9+SUM(W$6:W210))*Inputs!$F$10,2))</f>
        <v/>
      </c>
      <c r="X211" s="42" t="str">
        <f aca="false">IF(R211="","",Inputs!$F$9+SUM(W$7:W211))</f>
        <v/>
      </c>
      <c r="Y211" s="43" t="str">
        <f aca="false">IF(S211="Yes",R211,"")</f>
        <v/>
      </c>
      <c r="Z211" s="43" t="str">
        <f aca="false">IF(Y211="","",SUM(Y$7:Y211))</f>
        <v/>
      </c>
      <c r="AA211" s="43" t="str">
        <f aca="false">IF(Y211="","",MAX(0,MAX(Z$7:Z211)))</f>
        <v/>
      </c>
      <c r="AB211" s="43" t="str">
        <f aca="false">IF(Y211="","",Z211-AA211)</f>
        <v/>
      </c>
    </row>
    <row r="212" customFormat="false" ht="15" hidden="false" customHeight="false" outlineLevel="0" collapsed="false">
      <c r="B212" s="38"/>
      <c r="C212" s="39" t="str">
        <f aca="false">IF(B212="","",INT((B212-Inputs!$F$8)/7)+1)</f>
        <v/>
      </c>
      <c r="D212" s="39" t="str">
        <f aca="false">IF(B212="","",COUNTIF(B$7:B212,B212))</f>
        <v/>
      </c>
      <c r="E212" s="34"/>
      <c r="F212" s="34"/>
      <c r="G212" s="34"/>
      <c r="H212" s="34"/>
      <c r="I212" s="34"/>
      <c r="J212" s="35"/>
      <c r="K212" s="35"/>
      <c r="L212" s="40" t="str">
        <f aca="false">IF(OR(J212="",K212=""),"",IF(G212="Long",J212+Inputs!$F$15*(J212-K212),J212-Inputs!$F$15*(K212-J212)))</f>
        <v/>
      </c>
      <c r="M212" s="35"/>
      <c r="N212" s="34"/>
      <c r="O212" s="35"/>
      <c r="P212" s="34"/>
      <c r="Q212" s="41"/>
      <c r="R212" s="36" t="str">
        <f aca="false">IF(OR(M212="",J212="",K212="",J212=K212),"",ROUND(IF(G212="Long",(M212-J212)/(J212-K212),(J212-M212)/(K212-J212)),2))</f>
        <v/>
      </c>
      <c r="S212" s="39" t="str">
        <f aca="false">IF(B212="","",IF(AND(I212="Y",OR(P212="None",P212="")),"Yes","No"))</f>
        <v/>
      </c>
      <c r="T212" s="36" t="str">
        <f aca="false">IF(OR(O212="",J212="",K212="",J212=K212),"",ROUND(IF(G212="Long",(O212-J212)/(J212-K212),(J212-O212)/(K212-J212)),2))</f>
        <v/>
      </c>
      <c r="U212" s="36" t="str">
        <f aca="false">IF(OR(R212="",T212=""),"",IF(T212&gt;=2,2,IF(N212="Target",-1,R212)))</f>
        <v/>
      </c>
      <c r="V212" s="36" t="str">
        <f aca="false">IF(OR(R212="",T212=""),"",IF(T212&gt;=3,3,IF(N212="Target",-1,R212)))</f>
        <v/>
      </c>
      <c r="W212" s="42" t="str">
        <f aca="false">IF(R212="","",ROUND(R212*(Inputs!$F$9+SUM(W$6:W211))*Inputs!$F$10,2))</f>
        <v/>
      </c>
      <c r="X212" s="42" t="str">
        <f aca="false">IF(R212="","",Inputs!$F$9+SUM(W$7:W212))</f>
        <v/>
      </c>
      <c r="Y212" s="43" t="str">
        <f aca="false">IF(S212="Yes",R212,"")</f>
        <v/>
      </c>
      <c r="Z212" s="43" t="str">
        <f aca="false">IF(Y212="","",SUM(Y$7:Y212))</f>
        <v/>
      </c>
      <c r="AA212" s="43" t="str">
        <f aca="false">IF(Y212="","",MAX(0,MAX(Z$7:Z212)))</f>
        <v/>
      </c>
      <c r="AB212" s="43" t="str">
        <f aca="false">IF(Y212="","",Z212-AA212)</f>
        <v/>
      </c>
    </row>
    <row r="213" customFormat="false" ht="15" hidden="false" customHeight="false" outlineLevel="0" collapsed="false">
      <c r="B213" s="38"/>
      <c r="C213" s="39" t="str">
        <f aca="false">IF(B213="","",INT((B213-Inputs!$F$8)/7)+1)</f>
        <v/>
      </c>
      <c r="D213" s="39" t="str">
        <f aca="false">IF(B213="","",COUNTIF(B$7:B213,B213))</f>
        <v/>
      </c>
      <c r="E213" s="34"/>
      <c r="F213" s="34"/>
      <c r="G213" s="34"/>
      <c r="H213" s="34"/>
      <c r="I213" s="34"/>
      <c r="J213" s="35"/>
      <c r="K213" s="35"/>
      <c r="L213" s="40" t="str">
        <f aca="false">IF(OR(J213="",K213=""),"",IF(G213="Long",J213+Inputs!$F$15*(J213-K213),J213-Inputs!$F$15*(K213-J213)))</f>
        <v/>
      </c>
      <c r="M213" s="35"/>
      <c r="N213" s="34"/>
      <c r="O213" s="35"/>
      <c r="P213" s="34"/>
      <c r="Q213" s="41"/>
      <c r="R213" s="36" t="str">
        <f aca="false">IF(OR(M213="",J213="",K213="",J213=K213),"",ROUND(IF(G213="Long",(M213-J213)/(J213-K213),(J213-M213)/(K213-J213)),2))</f>
        <v/>
      </c>
      <c r="S213" s="39" t="str">
        <f aca="false">IF(B213="","",IF(AND(I213="Y",OR(P213="None",P213="")),"Yes","No"))</f>
        <v/>
      </c>
      <c r="T213" s="36" t="str">
        <f aca="false">IF(OR(O213="",J213="",K213="",J213=K213),"",ROUND(IF(G213="Long",(O213-J213)/(J213-K213),(J213-O213)/(K213-J213)),2))</f>
        <v/>
      </c>
      <c r="U213" s="36" t="str">
        <f aca="false">IF(OR(R213="",T213=""),"",IF(T213&gt;=2,2,IF(N213="Target",-1,R213)))</f>
        <v/>
      </c>
      <c r="V213" s="36" t="str">
        <f aca="false">IF(OR(R213="",T213=""),"",IF(T213&gt;=3,3,IF(N213="Target",-1,R213)))</f>
        <v/>
      </c>
      <c r="W213" s="42" t="str">
        <f aca="false">IF(R213="","",ROUND(R213*(Inputs!$F$9+SUM(W$6:W212))*Inputs!$F$10,2))</f>
        <v/>
      </c>
      <c r="X213" s="42" t="str">
        <f aca="false">IF(R213="","",Inputs!$F$9+SUM(W$7:W213))</f>
        <v/>
      </c>
      <c r="Y213" s="43" t="str">
        <f aca="false">IF(S213="Yes",R213,"")</f>
        <v/>
      </c>
      <c r="Z213" s="43" t="str">
        <f aca="false">IF(Y213="","",SUM(Y$7:Y213))</f>
        <v/>
      </c>
      <c r="AA213" s="43" t="str">
        <f aca="false">IF(Y213="","",MAX(0,MAX(Z$7:Z213)))</f>
        <v/>
      </c>
      <c r="AB213" s="43" t="str">
        <f aca="false">IF(Y213="","",Z213-AA213)</f>
        <v/>
      </c>
    </row>
    <row r="214" customFormat="false" ht="15" hidden="false" customHeight="false" outlineLevel="0" collapsed="false">
      <c r="B214" s="38"/>
      <c r="C214" s="39" t="str">
        <f aca="false">IF(B214="","",INT((B214-Inputs!$F$8)/7)+1)</f>
        <v/>
      </c>
      <c r="D214" s="39" t="str">
        <f aca="false">IF(B214="","",COUNTIF(B$7:B214,B214))</f>
        <v/>
      </c>
      <c r="E214" s="34"/>
      <c r="F214" s="34"/>
      <c r="G214" s="34"/>
      <c r="H214" s="34"/>
      <c r="I214" s="34"/>
      <c r="J214" s="35"/>
      <c r="K214" s="35"/>
      <c r="L214" s="40" t="str">
        <f aca="false">IF(OR(J214="",K214=""),"",IF(G214="Long",J214+Inputs!$F$15*(J214-K214),J214-Inputs!$F$15*(K214-J214)))</f>
        <v/>
      </c>
      <c r="M214" s="35"/>
      <c r="N214" s="34"/>
      <c r="O214" s="35"/>
      <c r="P214" s="34"/>
      <c r="Q214" s="41"/>
      <c r="R214" s="36" t="str">
        <f aca="false">IF(OR(M214="",J214="",K214="",J214=K214),"",ROUND(IF(G214="Long",(M214-J214)/(J214-K214),(J214-M214)/(K214-J214)),2))</f>
        <v/>
      </c>
      <c r="S214" s="39" t="str">
        <f aca="false">IF(B214="","",IF(AND(I214="Y",OR(P214="None",P214="")),"Yes","No"))</f>
        <v/>
      </c>
      <c r="T214" s="36" t="str">
        <f aca="false">IF(OR(O214="",J214="",K214="",J214=K214),"",ROUND(IF(G214="Long",(O214-J214)/(J214-K214),(J214-O214)/(K214-J214)),2))</f>
        <v/>
      </c>
      <c r="U214" s="36" t="str">
        <f aca="false">IF(OR(R214="",T214=""),"",IF(T214&gt;=2,2,IF(N214="Target",-1,R214)))</f>
        <v/>
      </c>
      <c r="V214" s="36" t="str">
        <f aca="false">IF(OR(R214="",T214=""),"",IF(T214&gt;=3,3,IF(N214="Target",-1,R214)))</f>
        <v/>
      </c>
      <c r="W214" s="42" t="str">
        <f aca="false">IF(R214="","",ROUND(R214*(Inputs!$F$9+SUM(W$6:W213))*Inputs!$F$10,2))</f>
        <v/>
      </c>
      <c r="X214" s="42" t="str">
        <f aca="false">IF(R214="","",Inputs!$F$9+SUM(W$7:W214))</f>
        <v/>
      </c>
      <c r="Y214" s="43" t="str">
        <f aca="false">IF(S214="Yes",R214,"")</f>
        <v/>
      </c>
      <c r="Z214" s="43" t="str">
        <f aca="false">IF(Y214="","",SUM(Y$7:Y214))</f>
        <v/>
      </c>
      <c r="AA214" s="43" t="str">
        <f aca="false">IF(Y214="","",MAX(0,MAX(Z$7:Z214)))</f>
        <v/>
      </c>
      <c r="AB214" s="43" t="str">
        <f aca="false">IF(Y214="","",Z214-AA214)</f>
        <v/>
      </c>
    </row>
    <row r="215" customFormat="false" ht="15" hidden="false" customHeight="false" outlineLevel="0" collapsed="false">
      <c r="B215" s="38"/>
      <c r="C215" s="39" t="str">
        <f aca="false">IF(B215="","",INT((B215-Inputs!$F$8)/7)+1)</f>
        <v/>
      </c>
      <c r="D215" s="39" t="str">
        <f aca="false">IF(B215="","",COUNTIF(B$7:B215,B215))</f>
        <v/>
      </c>
      <c r="E215" s="34"/>
      <c r="F215" s="34"/>
      <c r="G215" s="34"/>
      <c r="H215" s="34"/>
      <c r="I215" s="34"/>
      <c r="J215" s="35"/>
      <c r="K215" s="35"/>
      <c r="L215" s="40" t="str">
        <f aca="false">IF(OR(J215="",K215=""),"",IF(G215="Long",J215+Inputs!$F$15*(J215-K215),J215-Inputs!$F$15*(K215-J215)))</f>
        <v/>
      </c>
      <c r="M215" s="35"/>
      <c r="N215" s="34"/>
      <c r="O215" s="35"/>
      <c r="P215" s="34"/>
      <c r="Q215" s="41"/>
      <c r="R215" s="36" t="str">
        <f aca="false">IF(OR(M215="",J215="",K215="",J215=K215),"",ROUND(IF(G215="Long",(M215-J215)/(J215-K215),(J215-M215)/(K215-J215)),2))</f>
        <v/>
      </c>
      <c r="S215" s="39" t="str">
        <f aca="false">IF(B215="","",IF(AND(I215="Y",OR(P215="None",P215="")),"Yes","No"))</f>
        <v/>
      </c>
      <c r="T215" s="36" t="str">
        <f aca="false">IF(OR(O215="",J215="",K215="",J215=K215),"",ROUND(IF(G215="Long",(O215-J215)/(J215-K215),(J215-O215)/(K215-J215)),2))</f>
        <v/>
      </c>
      <c r="U215" s="36" t="str">
        <f aca="false">IF(OR(R215="",T215=""),"",IF(T215&gt;=2,2,IF(N215="Target",-1,R215)))</f>
        <v/>
      </c>
      <c r="V215" s="36" t="str">
        <f aca="false">IF(OR(R215="",T215=""),"",IF(T215&gt;=3,3,IF(N215="Target",-1,R215)))</f>
        <v/>
      </c>
      <c r="W215" s="42" t="str">
        <f aca="false">IF(R215="","",ROUND(R215*(Inputs!$F$9+SUM(W$6:W214))*Inputs!$F$10,2))</f>
        <v/>
      </c>
      <c r="X215" s="42" t="str">
        <f aca="false">IF(R215="","",Inputs!$F$9+SUM(W$7:W215))</f>
        <v/>
      </c>
      <c r="Y215" s="43" t="str">
        <f aca="false">IF(S215="Yes",R215,"")</f>
        <v/>
      </c>
      <c r="Z215" s="43" t="str">
        <f aca="false">IF(Y215="","",SUM(Y$7:Y215))</f>
        <v/>
      </c>
      <c r="AA215" s="43" t="str">
        <f aca="false">IF(Y215="","",MAX(0,MAX(Z$7:Z215)))</f>
        <v/>
      </c>
      <c r="AB215" s="43" t="str">
        <f aca="false">IF(Y215="","",Z215-AA215)</f>
        <v/>
      </c>
    </row>
    <row r="216" customFormat="false" ht="15" hidden="false" customHeight="false" outlineLevel="0" collapsed="false">
      <c r="B216" s="38"/>
      <c r="C216" s="39" t="str">
        <f aca="false">IF(B216="","",INT((B216-Inputs!$F$8)/7)+1)</f>
        <v/>
      </c>
      <c r="D216" s="39" t="str">
        <f aca="false">IF(B216="","",COUNTIF(B$7:B216,B216))</f>
        <v/>
      </c>
      <c r="E216" s="34"/>
      <c r="F216" s="34"/>
      <c r="G216" s="34"/>
      <c r="H216" s="34"/>
      <c r="I216" s="34"/>
      <c r="J216" s="35"/>
      <c r="K216" s="35"/>
      <c r="L216" s="40" t="str">
        <f aca="false">IF(OR(J216="",K216=""),"",IF(G216="Long",J216+Inputs!$F$15*(J216-K216),J216-Inputs!$F$15*(K216-J216)))</f>
        <v/>
      </c>
      <c r="M216" s="35"/>
      <c r="N216" s="34"/>
      <c r="O216" s="35"/>
      <c r="P216" s="34"/>
      <c r="Q216" s="41"/>
      <c r="R216" s="36" t="str">
        <f aca="false">IF(OR(M216="",J216="",K216="",J216=K216),"",ROUND(IF(G216="Long",(M216-J216)/(J216-K216),(J216-M216)/(K216-J216)),2))</f>
        <v/>
      </c>
      <c r="S216" s="39" t="str">
        <f aca="false">IF(B216="","",IF(AND(I216="Y",OR(P216="None",P216="")),"Yes","No"))</f>
        <v/>
      </c>
      <c r="T216" s="36" t="str">
        <f aca="false">IF(OR(O216="",J216="",K216="",J216=K216),"",ROUND(IF(G216="Long",(O216-J216)/(J216-K216),(J216-O216)/(K216-J216)),2))</f>
        <v/>
      </c>
      <c r="U216" s="36" t="str">
        <f aca="false">IF(OR(R216="",T216=""),"",IF(T216&gt;=2,2,IF(N216="Target",-1,R216)))</f>
        <v/>
      </c>
      <c r="V216" s="36" t="str">
        <f aca="false">IF(OR(R216="",T216=""),"",IF(T216&gt;=3,3,IF(N216="Target",-1,R216)))</f>
        <v/>
      </c>
      <c r="W216" s="42" t="str">
        <f aca="false">IF(R216="","",ROUND(R216*(Inputs!$F$9+SUM(W$6:W215))*Inputs!$F$10,2))</f>
        <v/>
      </c>
      <c r="X216" s="42" t="str">
        <f aca="false">IF(R216="","",Inputs!$F$9+SUM(W$7:W216))</f>
        <v/>
      </c>
      <c r="Y216" s="43" t="str">
        <f aca="false">IF(S216="Yes",R216,"")</f>
        <v/>
      </c>
      <c r="Z216" s="43" t="str">
        <f aca="false">IF(Y216="","",SUM(Y$7:Y216))</f>
        <v/>
      </c>
      <c r="AA216" s="43" t="str">
        <f aca="false">IF(Y216="","",MAX(0,MAX(Z$7:Z216)))</f>
        <v/>
      </c>
      <c r="AB216" s="43" t="str">
        <f aca="false">IF(Y216="","",Z216-AA216)</f>
        <v/>
      </c>
    </row>
    <row r="217" customFormat="false" ht="15" hidden="false" customHeight="false" outlineLevel="0" collapsed="false">
      <c r="B217" s="38"/>
      <c r="C217" s="39" t="str">
        <f aca="false">IF(B217="","",INT((B217-Inputs!$F$8)/7)+1)</f>
        <v/>
      </c>
      <c r="D217" s="39" t="str">
        <f aca="false">IF(B217="","",COUNTIF(B$7:B217,B217))</f>
        <v/>
      </c>
      <c r="E217" s="34"/>
      <c r="F217" s="34"/>
      <c r="G217" s="34"/>
      <c r="H217" s="34"/>
      <c r="I217" s="34"/>
      <c r="J217" s="35"/>
      <c r="K217" s="35"/>
      <c r="L217" s="40" t="str">
        <f aca="false">IF(OR(J217="",K217=""),"",IF(G217="Long",J217+Inputs!$F$15*(J217-K217),J217-Inputs!$F$15*(K217-J217)))</f>
        <v/>
      </c>
      <c r="M217" s="35"/>
      <c r="N217" s="34"/>
      <c r="O217" s="35"/>
      <c r="P217" s="34"/>
      <c r="Q217" s="41"/>
      <c r="R217" s="36" t="str">
        <f aca="false">IF(OR(M217="",J217="",K217="",J217=K217),"",ROUND(IF(G217="Long",(M217-J217)/(J217-K217),(J217-M217)/(K217-J217)),2))</f>
        <v/>
      </c>
      <c r="S217" s="39" t="str">
        <f aca="false">IF(B217="","",IF(AND(I217="Y",OR(P217="None",P217="")),"Yes","No"))</f>
        <v/>
      </c>
      <c r="T217" s="36" t="str">
        <f aca="false">IF(OR(O217="",J217="",K217="",J217=K217),"",ROUND(IF(G217="Long",(O217-J217)/(J217-K217),(J217-O217)/(K217-J217)),2))</f>
        <v/>
      </c>
      <c r="U217" s="36" t="str">
        <f aca="false">IF(OR(R217="",T217=""),"",IF(T217&gt;=2,2,IF(N217="Target",-1,R217)))</f>
        <v/>
      </c>
      <c r="V217" s="36" t="str">
        <f aca="false">IF(OR(R217="",T217=""),"",IF(T217&gt;=3,3,IF(N217="Target",-1,R217)))</f>
        <v/>
      </c>
      <c r="W217" s="42" t="str">
        <f aca="false">IF(R217="","",ROUND(R217*(Inputs!$F$9+SUM(W$6:W216))*Inputs!$F$10,2))</f>
        <v/>
      </c>
      <c r="X217" s="42" t="str">
        <f aca="false">IF(R217="","",Inputs!$F$9+SUM(W$7:W217))</f>
        <v/>
      </c>
      <c r="Y217" s="43" t="str">
        <f aca="false">IF(S217="Yes",R217,"")</f>
        <v/>
      </c>
      <c r="Z217" s="43" t="str">
        <f aca="false">IF(Y217="","",SUM(Y$7:Y217))</f>
        <v/>
      </c>
      <c r="AA217" s="43" t="str">
        <f aca="false">IF(Y217="","",MAX(0,MAX(Z$7:Z217)))</f>
        <v/>
      </c>
      <c r="AB217" s="43" t="str">
        <f aca="false">IF(Y217="","",Z217-AA217)</f>
        <v/>
      </c>
    </row>
    <row r="218" customFormat="false" ht="15" hidden="false" customHeight="false" outlineLevel="0" collapsed="false">
      <c r="B218" s="38"/>
      <c r="C218" s="39" t="str">
        <f aca="false">IF(B218="","",INT((B218-Inputs!$F$8)/7)+1)</f>
        <v/>
      </c>
      <c r="D218" s="39" t="str">
        <f aca="false">IF(B218="","",COUNTIF(B$7:B218,B218))</f>
        <v/>
      </c>
      <c r="E218" s="34"/>
      <c r="F218" s="34"/>
      <c r="G218" s="34"/>
      <c r="H218" s="34"/>
      <c r="I218" s="34"/>
      <c r="J218" s="35"/>
      <c r="K218" s="35"/>
      <c r="L218" s="40" t="str">
        <f aca="false">IF(OR(J218="",K218=""),"",IF(G218="Long",J218+Inputs!$F$15*(J218-K218),J218-Inputs!$F$15*(K218-J218)))</f>
        <v/>
      </c>
      <c r="M218" s="35"/>
      <c r="N218" s="34"/>
      <c r="O218" s="35"/>
      <c r="P218" s="34"/>
      <c r="Q218" s="41"/>
      <c r="R218" s="36" t="str">
        <f aca="false">IF(OR(M218="",J218="",K218="",J218=K218),"",ROUND(IF(G218="Long",(M218-J218)/(J218-K218),(J218-M218)/(K218-J218)),2))</f>
        <v/>
      </c>
      <c r="S218" s="39" t="str">
        <f aca="false">IF(B218="","",IF(AND(I218="Y",OR(P218="None",P218="")),"Yes","No"))</f>
        <v/>
      </c>
      <c r="T218" s="36" t="str">
        <f aca="false">IF(OR(O218="",J218="",K218="",J218=K218),"",ROUND(IF(G218="Long",(O218-J218)/(J218-K218),(J218-O218)/(K218-J218)),2))</f>
        <v/>
      </c>
      <c r="U218" s="36" t="str">
        <f aca="false">IF(OR(R218="",T218=""),"",IF(T218&gt;=2,2,IF(N218="Target",-1,R218)))</f>
        <v/>
      </c>
      <c r="V218" s="36" t="str">
        <f aca="false">IF(OR(R218="",T218=""),"",IF(T218&gt;=3,3,IF(N218="Target",-1,R218)))</f>
        <v/>
      </c>
      <c r="W218" s="42" t="str">
        <f aca="false">IF(R218="","",ROUND(R218*(Inputs!$F$9+SUM(W$6:W217))*Inputs!$F$10,2))</f>
        <v/>
      </c>
      <c r="X218" s="42" t="str">
        <f aca="false">IF(R218="","",Inputs!$F$9+SUM(W$7:W218))</f>
        <v/>
      </c>
      <c r="Y218" s="43" t="str">
        <f aca="false">IF(S218="Yes",R218,"")</f>
        <v/>
      </c>
      <c r="Z218" s="43" t="str">
        <f aca="false">IF(Y218="","",SUM(Y$7:Y218))</f>
        <v/>
      </c>
      <c r="AA218" s="43" t="str">
        <f aca="false">IF(Y218="","",MAX(0,MAX(Z$7:Z218)))</f>
        <v/>
      </c>
      <c r="AB218" s="43" t="str">
        <f aca="false">IF(Y218="","",Z218-AA218)</f>
        <v/>
      </c>
    </row>
    <row r="219" customFormat="false" ht="15" hidden="false" customHeight="false" outlineLevel="0" collapsed="false">
      <c r="B219" s="38"/>
      <c r="C219" s="39" t="str">
        <f aca="false">IF(B219="","",INT((B219-Inputs!$F$8)/7)+1)</f>
        <v/>
      </c>
      <c r="D219" s="39" t="str">
        <f aca="false">IF(B219="","",COUNTIF(B$7:B219,B219))</f>
        <v/>
      </c>
      <c r="E219" s="34"/>
      <c r="F219" s="34"/>
      <c r="G219" s="34"/>
      <c r="H219" s="34"/>
      <c r="I219" s="34"/>
      <c r="J219" s="35"/>
      <c r="K219" s="35"/>
      <c r="L219" s="40" t="str">
        <f aca="false">IF(OR(J219="",K219=""),"",IF(G219="Long",J219+Inputs!$F$15*(J219-K219),J219-Inputs!$F$15*(K219-J219)))</f>
        <v/>
      </c>
      <c r="M219" s="35"/>
      <c r="N219" s="34"/>
      <c r="O219" s="35"/>
      <c r="P219" s="34"/>
      <c r="Q219" s="41"/>
      <c r="R219" s="36" t="str">
        <f aca="false">IF(OR(M219="",J219="",K219="",J219=K219),"",ROUND(IF(G219="Long",(M219-J219)/(J219-K219),(J219-M219)/(K219-J219)),2))</f>
        <v/>
      </c>
      <c r="S219" s="39" t="str">
        <f aca="false">IF(B219="","",IF(AND(I219="Y",OR(P219="None",P219="")),"Yes","No"))</f>
        <v/>
      </c>
      <c r="T219" s="36" t="str">
        <f aca="false">IF(OR(O219="",J219="",K219="",J219=K219),"",ROUND(IF(G219="Long",(O219-J219)/(J219-K219),(J219-O219)/(K219-J219)),2))</f>
        <v/>
      </c>
      <c r="U219" s="36" t="str">
        <f aca="false">IF(OR(R219="",T219=""),"",IF(T219&gt;=2,2,IF(N219="Target",-1,R219)))</f>
        <v/>
      </c>
      <c r="V219" s="36" t="str">
        <f aca="false">IF(OR(R219="",T219=""),"",IF(T219&gt;=3,3,IF(N219="Target",-1,R219)))</f>
        <v/>
      </c>
      <c r="W219" s="42" t="str">
        <f aca="false">IF(R219="","",ROUND(R219*(Inputs!$F$9+SUM(W$6:W218))*Inputs!$F$10,2))</f>
        <v/>
      </c>
      <c r="X219" s="42" t="str">
        <f aca="false">IF(R219="","",Inputs!$F$9+SUM(W$7:W219))</f>
        <v/>
      </c>
      <c r="Y219" s="43" t="str">
        <f aca="false">IF(S219="Yes",R219,"")</f>
        <v/>
      </c>
      <c r="Z219" s="43" t="str">
        <f aca="false">IF(Y219="","",SUM(Y$7:Y219))</f>
        <v/>
      </c>
      <c r="AA219" s="43" t="str">
        <f aca="false">IF(Y219="","",MAX(0,MAX(Z$7:Z219)))</f>
        <v/>
      </c>
      <c r="AB219" s="43" t="str">
        <f aca="false">IF(Y219="","",Z219-AA219)</f>
        <v/>
      </c>
    </row>
    <row r="220" customFormat="false" ht="15" hidden="false" customHeight="false" outlineLevel="0" collapsed="false">
      <c r="B220" s="38"/>
      <c r="C220" s="39" t="str">
        <f aca="false">IF(B220="","",INT((B220-Inputs!$F$8)/7)+1)</f>
        <v/>
      </c>
      <c r="D220" s="39" t="str">
        <f aca="false">IF(B220="","",COUNTIF(B$7:B220,B220))</f>
        <v/>
      </c>
      <c r="E220" s="34"/>
      <c r="F220" s="34"/>
      <c r="G220" s="34"/>
      <c r="H220" s="34"/>
      <c r="I220" s="34"/>
      <c r="J220" s="35"/>
      <c r="K220" s="35"/>
      <c r="L220" s="40" t="str">
        <f aca="false">IF(OR(J220="",K220=""),"",IF(G220="Long",J220+Inputs!$F$15*(J220-K220),J220-Inputs!$F$15*(K220-J220)))</f>
        <v/>
      </c>
      <c r="M220" s="35"/>
      <c r="N220" s="34"/>
      <c r="O220" s="35"/>
      <c r="P220" s="34"/>
      <c r="Q220" s="41"/>
      <c r="R220" s="36" t="str">
        <f aca="false">IF(OR(M220="",J220="",K220="",J220=K220),"",ROUND(IF(G220="Long",(M220-J220)/(J220-K220),(J220-M220)/(K220-J220)),2))</f>
        <v/>
      </c>
      <c r="S220" s="39" t="str">
        <f aca="false">IF(B220="","",IF(AND(I220="Y",OR(P220="None",P220="")),"Yes","No"))</f>
        <v/>
      </c>
      <c r="T220" s="36" t="str">
        <f aca="false">IF(OR(O220="",J220="",K220="",J220=K220),"",ROUND(IF(G220="Long",(O220-J220)/(J220-K220),(J220-O220)/(K220-J220)),2))</f>
        <v/>
      </c>
      <c r="U220" s="36" t="str">
        <f aca="false">IF(OR(R220="",T220=""),"",IF(T220&gt;=2,2,IF(N220="Target",-1,R220)))</f>
        <v/>
      </c>
      <c r="V220" s="36" t="str">
        <f aca="false">IF(OR(R220="",T220=""),"",IF(T220&gt;=3,3,IF(N220="Target",-1,R220)))</f>
        <v/>
      </c>
      <c r="W220" s="42" t="str">
        <f aca="false">IF(R220="","",ROUND(R220*(Inputs!$F$9+SUM(W$6:W219))*Inputs!$F$10,2))</f>
        <v/>
      </c>
      <c r="X220" s="42" t="str">
        <f aca="false">IF(R220="","",Inputs!$F$9+SUM(W$7:W220))</f>
        <v/>
      </c>
      <c r="Y220" s="43" t="str">
        <f aca="false">IF(S220="Yes",R220,"")</f>
        <v/>
      </c>
      <c r="Z220" s="43" t="str">
        <f aca="false">IF(Y220="","",SUM(Y$7:Y220))</f>
        <v/>
      </c>
      <c r="AA220" s="43" t="str">
        <f aca="false">IF(Y220="","",MAX(0,MAX(Z$7:Z220)))</f>
        <v/>
      </c>
      <c r="AB220" s="43" t="str">
        <f aca="false">IF(Y220="","",Z220-AA220)</f>
        <v/>
      </c>
    </row>
    <row r="221" customFormat="false" ht="15" hidden="false" customHeight="false" outlineLevel="0" collapsed="false">
      <c r="B221" s="38"/>
      <c r="C221" s="39" t="str">
        <f aca="false">IF(B221="","",INT((B221-Inputs!$F$8)/7)+1)</f>
        <v/>
      </c>
      <c r="D221" s="39" t="str">
        <f aca="false">IF(B221="","",COUNTIF(B$7:B221,B221))</f>
        <v/>
      </c>
      <c r="E221" s="34"/>
      <c r="F221" s="34"/>
      <c r="G221" s="34"/>
      <c r="H221" s="34"/>
      <c r="I221" s="34"/>
      <c r="J221" s="35"/>
      <c r="K221" s="35"/>
      <c r="L221" s="40" t="str">
        <f aca="false">IF(OR(J221="",K221=""),"",IF(G221="Long",J221+Inputs!$F$15*(J221-K221),J221-Inputs!$F$15*(K221-J221)))</f>
        <v/>
      </c>
      <c r="M221" s="35"/>
      <c r="N221" s="34"/>
      <c r="O221" s="35"/>
      <c r="P221" s="34"/>
      <c r="Q221" s="41"/>
      <c r="R221" s="36" t="str">
        <f aca="false">IF(OR(M221="",J221="",K221="",J221=K221),"",ROUND(IF(G221="Long",(M221-J221)/(J221-K221),(J221-M221)/(K221-J221)),2))</f>
        <v/>
      </c>
      <c r="S221" s="39" t="str">
        <f aca="false">IF(B221="","",IF(AND(I221="Y",OR(P221="None",P221="")),"Yes","No"))</f>
        <v/>
      </c>
      <c r="T221" s="36" t="str">
        <f aca="false">IF(OR(O221="",J221="",K221="",J221=K221),"",ROUND(IF(G221="Long",(O221-J221)/(J221-K221),(J221-O221)/(K221-J221)),2))</f>
        <v/>
      </c>
      <c r="U221" s="36" t="str">
        <f aca="false">IF(OR(R221="",T221=""),"",IF(T221&gt;=2,2,IF(N221="Target",-1,R221)))</f>
        <v/>
      </c>
      <c r="V221" s="36" t="str">
        <f aca="false">IF(OR(R221="",T221=""),"",IF(T221&gt;=3,3,IF(N221="Target",-1,R221)))</f>
        <v/>
      </c>
      <c r="W221" s="42" t="str">
        <f aca="false">IF(R221="","",ROUND(R221*(Inputs!$F$9+SUM(W$6:W220))*Inputs!$F$10,2))</f>
        <v/>
      </c>
      <c r="X221" s="42" t="str">
        <f aca="false">IF(R221="","",Inputs!$F$9+SUM(W$7:W221))</f>
        <v/>
      </c>
      <c r="Y221" s="43" t="str">
        <f aca="false">IF(S221="Yes",R221,"")</f>
        <v/>
      </c>
      <c r="Z221" s="43" t="str">
        <f aca="false">IF(Y221="","",SUM(Y$7:Y221))</f>
        <v/>
      </c>
      <c r="AA221" s="43" t="str">
        <f aca="false">IF(Y221="","",MAX(0,MAX(Z$7:Z221)))</f>
        <v/>
      </c>
      <c r="AB221" s="43" t="str">
        <f aca="false">IF(Y221="","",Z221-AA221)</f>
        <v/>
      </c>
    </row>
    <row r="222" customFormat="false" ht="15" hidden="false" customHeight="false" outlineLevel="0" collapsed="false">
      <c r="B222" s="38"/>
      <c r="C222" s="39" t="str">
        <f aca="false">IF(B222="","",INT((B222-Inputs!$F$8)/7)+1)</f>
        <v/>
      </c>
      <c r="D222" s="39" t="str">
        <f aca="false">IF(B222="","",COUNTIF(B$7:B222,B222))</f>
        <v/>
      </c>
      <c r="E222" s="34"/>
      <c r="F222" s="34"/>
      <c r="G222" s="34"/>
      <c r="H222" s="34"/>
      <c r="I222" s="34"/>
      <c r="J222" s="35"/>
      <c r="K222" s="35"/>
      <c r="L222" s="40" t="str">
        <f aca="false">IF(OR(J222="",K222=""),"",IF(G222="Long",J222+Inputs!$F$15*(J222-K222),J222-Inputs!$F$15*(K222-J222)))</f>
        <v/>
      </c>
      <c r="M222" s="35"/>
      <c r="N222" s="34"/>
      <c r="O222" s="35"/>
      <c r="P222" s="34"/>
      <c r="Q222" s="41"/>
      <c r="R222" s="36" t="str">
        <f aca="false">IF(OR(M222="",J222="",K222="",J222=K222),"",ROUND(IF(G222="Long",(M222-J222)/(J222-K222),(J222-M222)/(K222-J222)),2))</f>
        <v/>
      </c>
      <c r="S222" s="39" t="str">
        <f aca="false">IF(B222="","",IF(AND(I222="Y",OR(P222="None",P222="")),"Yes","No"))</f>
        <v/>
      </c>
      <c r="T222" s="36" t="str">
        <f aca="false">IF(OR(O222="",J222="",K222="",J222=K222),"",ROUND(IF(G222="Long",(O222-J222)/(J222-K222),(J222-O222)/(K222-J222)),2))</f>
        <v/>
      </c>
      <c r="U222" s="36" t="str">
        <f aca="false">IF(OR(R222="",T222=""),"",IF(T222&gt;=2,2,IF(N222="Target",-1,R222)))</f>
        <v/>
      </c>
      <c r="V222" s="36" t="str">
        <f aca="false">IF(OR(R222="",T222=""),"",IF(T222&gt;=3,3,IF(N222="Target",-1,R222)))</f>
        <v/>
      </c>
      <c r="W222" s="42" t="str">
        <f aca="false">IF(R222="","",ROUND(R222*(Inputs!$F$9+SUM(W$6:W221))*Inputs!$F$10,2))</f>
        <v/>
      </c>
      <c r="X222" s="42" t="str">
        <f aca="false">IF(R222="","",Inputs!$F$9+SUM(W$7:W222))</f>
        <v/>
      </c>
      <c r="Y222" s="43" t="str">
        <f aca="false">IF(S222="Yes",R222,"")</f>
        <v/>
      </c>
      <c r="Z222" s="43" t="str">
        <f aca="false">IF(Y222="","",SUM(Y$7:Y222))</f>
        <v/>
      </c>
      <c r="AA222" s="43" t="str">
        <f aca="false">IF(Y222="","",MAX(0,MAX(Z$7:Z222)))</f>
        <v/>
      </c>
      <c r="AB222" s="43" t="str">
        <f aca="false">IF(Y222="","",Z222-AA222)</f>
        <v/>
      </c>
    </row>
    <row r="223" customFormat="false" ht="15" hidden="false" customHeight="false" outlineLevel="0" collapsed="false">
      <c r="B223" s="38"/>
      <c r="C223" s="39" t="str">
        <f aca="false">IF(B223="","",INT((B223-Inputs!$F$8)/7)+1)</f>
        <v/>
      </c>
      <c r="D223" s="39" t="str">
        <f aca="false">IF(B223="","",COUNTIF(B$7:B223,B223))</f>
        <v/>
      </c>
      <c r="E223" s="34"/>
      <c r="F223" s="34"/>
      <c r="G223" s="34"/>
      <c r="H223" s="34"/>
      <c r="I223" s="34"/>
      <c r="J223" s="35"/>
      <c r="K223" s="35"/>
      <c r="L223" s="40" t="str">
        <f aca="false">IF(OR(J223="",K223=""),"",IF(G223="Long",J223+Inputs!$F$15*(J223-K223),J223-Inputs!$F$15*(K223-J223)))</f>
        <v/>
      </c>
      <c r="M223" s="35"/>
      <c r="N223" s="34"/>
      <c r="O223" s="35"/>
      <c r="P223" s="34"/>
      <c r="Q223" s="41"/>
      <c r="R223" s="36" t="str">
        <f aca="false">IF(OR(M223="",J223="",K223="",J223=K223),"",ROUND(IF(G223="Long",(M223-J223)/(J223-K223),(J223-M223)/(K223-J223)),2))</f>
        <v/>
      </c>
      <c r="S223" s="39" t="str">
        <f aca="false">IF(B223="","",IF(AND(I223="Y",OR(P223="None",P223="")),"Yes","No"))</f>
        <v/>
      </c>
      <c r="T223" s="36" t="str">
        <f aca="false">IF(OR(O223="",J223="",K223="",J223=K223),"",ROUND(IF(G223="Long",(O223-J223)/(J223-K223),(J223-O223)/(K223-J223)),2))</f>
        <v/>
      </c>
      <c r="U223" s="36" t="str">
        <f aca="false">IF(OR(R223="",T223=""),"",IF(T223&gt;=2,2,IF(N223="Target",-1,R223)))</f>
        <v/>
      </c>
      <c r="V223" s="36" t="str">
        <f aca="false">IF(OR(R223="",T223=""),"",IF(T223&gt;=3,3,IF(N223="Target",-1,R223)))</f>
        <v/>
      </c>
      <c r="W223" s="42" t="str">
        <f aca="false">IF(R223="","",ROUND(R223*(Inputs!$F$9+SUM(W$6:W222))*Inputs!$F$10,2))</f>
        <v/>
      </c>
      <c r="X223" s="42" t="str">
        <f aca="false">IF(R223="","",Inputs!$F$9+SUM(W$7:W223))</f>
        <v/>
      </c>
      <c r="Y223" s="43" t="str">
        <f aca="false">IF(S223="Yes",R223,"")</f>
        <v/>
      </c>
      <c r="Z223" s="43" t="str">
        <f aca="false">IF(Y223="","",SUM(Y$7:Y223))</f>
        <v/>
      </c>
      <c r="AA223" s="43" t="str">
        <f aca="false">IF(Y223="","",MAX(0,MAX(Z$7:Z223)))</f>
        <v/>
      </c>
      <c r="AB223" s="43" t="str">
        <f aca="false">IF(Y223="","",Z223-AA223)</f>
        <v/>
      </c>
    </row>
    <row r="224" customFormat="false" ht="15" hidden="false" customHeight="false" outlineLevel="0" collapsed="false">
      <c r="B224" s="38"/>
      <c r="C224" s="39" t="str">
        <f aca="false">IF(B224="","",INT((B224-Inputs!$F$8)/7)+1)</f>
        <v/>
      </c>
      <c r="D224" s="39" t="str">
        <f aca="false">IF(B224="","",COUNTIF(B$7:B224,B224))</f>
        <v/>
      </c>
      <c r="E224" s="34"/>
      <c r="F224" s="34"/>
      <c r="G224" s="34"/>
      <c r="H224" s="34"/>
      <c r="I224" s="34"/>
      <c r="J224" s="35"/>
      <c r="K224" s="35"/>
      <c r="L224" s="40" t="str">
        <f aca="false">IF(OR(J224="",K224=""),"",IF(G224="Long",J224+Inputs!$F$15*(J224-K224),J224-Inputs!$F$15*(K224-J224)))</f>
        <v/>
      </c>
      <c r="M224" s="35"/>
      <c r="N224" s="34"/>
      <c r="O224" s="35"/>
      <c r="P224" s="34"/>
      <c r="Q224" s="41"/>
      <c r="R224" s="36" t="str">
        <f aca="false">IF(OR(M224="",J224="",K224="",J224=K224),"",ROUND(IF(G224="Long",(M224-J224)/(J224-K224),(J224-M224)/(K224-J224)),2))</f>
        <v/>
      </c>
      <c r="S224" s="39" t="str">
        <f aca="false">IF(B224="","",IF(AND(I224="Y",OR(P224="None",P224="")),"Yes","No"))</f>
        <v/>
      </c>
      <c r="T224" s="36" t="str">
        <f aca="false">IF(OR(O224="",J224="",K224="",J224=K224),"",ROUND(IF(G224="Long",(O224-J224)/(J224-K224),(J224-O224)/(K224-J224)),2))</f>
        <v/>
      </c>
      <c r="U224" s="36" t="str">
        <f aca="false">IF(OR(R224="",T224=""),"",IF(T224&gt;=2,2,IF(N224="Target",-1,R224)))</f>
        <v/>
      </c>
      <c r="V224" s="36" t="str">
        <f aca="false">IF(OR(R224="",T224=""),"",IF(T224&gt;=3,3,IF(N224="Target",-1,R224)))</f>
        <v/>
      </c>
      <c r="W224" s="42" t="str">
        <f aca="false">IF(R224="","",ROUND(R224*(Inputs!$F$9+SUM(W$6:W223))*Inputs!$F$10,2))</f>
        <v/>
      </c>
      <c r="X224" s="42" t="str">
        <f aca="false">IF(R224="","",Inputs!$F$9+SUM(W$7:W224))</f>
        <v/>
      </c>
      <c r="Y224" s="43" t="str">
        <f aca="false">IF(S224="Yes",R224,"")</f>
        <v/>
      </c>
      <c r="Z224" s="43" t="str">
        <f aca="false">IF(Y224="","",SUM(Y$7:Y224))</f>
        <v/>
      </c>
      <c r="AA224" s="43" t="str">
        <f aca="false">IF(Y224="","",MAX(0,MAX(Z$7:Z224)))</f>
        <v/>
      </c>
      <c r="AB224" s="43" t="str">
        <f aca="false">IF(Y224="","",Z224-AA224)</f>
        <v/>
      </c>
    </row>
    <row r="225" customFormat="false" ht="15" hidden="false" customHeight="false" outlineLevel="0" collapsed="false">
      <c r="B225" s="38"/>
      <c r="C225" s="39" t="str">
        <f aca="false">IF(B225="","",INT((B225-Inputs!$F$8)/7)+1)</f>
        <v/>
      </c>
      <c r="D225" s="39" t="str">
        <f aca="false">IF(B225="","",COUNTIF(B$7:B225,B225))</f>
        <v/>
      </c>
      <c r="E225" s="34"/>
      <c r="F225" s="34"/>
      <c r="G225" s="34"/>
      <c r="H225" s="34"/>
      <c r="I225" s="34"/>
      <c r="J225" s="35"/>
      <c r="K225" s="35"/>
      <c r="L225" s="40" t="str">
        <f aca="false">IF(OR(J225="",K225=""),"",IF(G225="Long",J225+Inputs!$F$15*(J225-K225),J225-Inputs!$F$15*(K225-J225)))</f>
        <v/>
      </c>
      <c r="M225" s="35"/>
      <c r="N225" s="34"/>
      <c r="O225" s="35"/>
      <c r="P225" s="34"/>
      <c r="Q225" s="41"/>
      <c r="R225" s="36" t="str">
        <f aca="false">IF(OR(M225="",J225="",K225="",J225=K225),"",ROUND(IF(G225="Long",(M225-J225)/(J225-K225),(J225-M225)/(K225-J225)),2))</f>
        <v/>
      </c>
      <c r="S225" s="39" t="str">
        <f aca="false">IF(B225="","",IF(AND(I225="Y",OR(P225="None",P225="")),"Yes","No"))</f>
        <v/>
      </c>
      <c r="T225" s="36" t="str">
        <f aca="false">IF(OR(O225="",J225="",K225="",J225=K225),"",ROUND(IF(G225="Long",(O225-J225)/(J225-K225),(J225-O225)/(K225-J225)),2))</f>
        <v/>
      </c>
      <c r="U225" s="36" t="str">
        <f aca="false">IF(OR(R225="",T225=""),"",IF(T225&gt;=2,2,IF(N225="Target",-1,R225)))</f>
        <v/>
      </c>
      <c r="V225" s="36" t="str">
        <f aca="false">IF(OR(R225="",T225=""),"",IF(T225&gt;=3,3,IF(N225="Target",-1,R225)))</f>
        <v/>
      </c>
      <c r="W225" s="42" t="str">
        <f aca="false">IF(R225="","",ROUND(R225*(Inputs!$F$9+SUM(W$6:W224))*Inputs!$F$10,2))</f>
        <v/>
      </c>
      <c r="X225" s="42" t="str">
        <f aca="false">IF(R225="","",Inputs!$F$9+SUM(W$7:W225))</f>
        <v/>
      </c>
      <c r="Y225" s="43" t="str">
        <f aca="false">IF(S225="Yes",R225,"")</f>
        <v/>
      </c>
      <c r="Z225" s="43" t="str">
        <f aca="false">IF(Y225="","",SUM(Y$7:Y225))</f>
        <v/>
      </c>
      <c r="AA225" s="43" t="str">
        <f aca="false">IF(Y225="","",MAX(0,MAX(Z$7:Z225)))</f>
        <v/>
      </c>
      <c r="AB225" s="43" t="str">
        <f aca="false">IF(Y225="","",Z225-AA225)</f>
        <v/>
      </c>
    </row>
    <row r="226" customFormat="false" ht="15" hidden="false" customHeight="false" outlineLevel="0" collapsed="false">
      <c r="B226" s="38"/>
      <c r="C226" s="39" t="str">
        <f aca="false">IF(B226="","",INT((B226-Inputs!$F$8)/7)+1)</f>
        <v/>
      </c>
      <c r="D226" s="39" t="str">
        <f aca="false">IF(B226="","",COUNTIF(B$7:B226,B226))</f>
        <v/>
      </c>
      <c r="E226" s="34"/>
      <c r="F226" s="34"/>
      <c r="G226" s="34"/>
      <c r="H226" s="34"/>
      <c r="I226" s="34"/>
      <c r="J226" s="35"/>
      <c r="K226" s="35"/>
      <c r="L226" s="40" t="str">
        <f aca="false">IF(OR(J226="",K226=""),"",IF(G226="Long",J226+Inputs!$F$15*(J226-K226),J226-Inputs!$F$15*(K226-J226)))</f>
        <v/>
      </c>
      <c r="M226" s="35"/>
      <c r="N226" s="34"/>
      <c r="O226" s="35"/>
      <c r="P226" s="34"/>
      <c r="Q226" s="41"/>
      <c r="R226" s="36" t="str">
        <f aca="false">IF(OR(M226="",J226="",K226="",J226=K226),"",ROUND(IF(G226="Long",(M226-J226)/(J226-K226),(J226-M226)/(K226-J226)),2))</f>
        <v/>
      </c>
      <c r="S226" s="39" t="str">
        <f aca="false">IF(B226="","",IF(AND(I226="Y",OR(P226="None",P226="")),"Yes","No"))</f>
        <v/>
      </c>
      <c r="T226" s="36" t="str">
        <f aca="false">IF(OR(O226="",J226="",K226="",J226=K226),"",ROUND(IF(G226="Long",(O226-J226)/(J226-K226),(J226-O226)/(K226-J226)),2))</f>
        <v/>
      </c>
      <c r="U226" s="36" t="str">
        <f aca="false">IF(OR(R226="",T226=""),"",IF(T226&gt;=2,2,IF(N226="Target",-1,R226)))</f>
        <v/>
      </c>
      <c r="V226" s="36" t="str">
        <f aca="false">IF(OR(R226="",T226=""),"",IF(T226&gt;=3,3,IF(N226="Target",-1,R226)))</f>
        <v/>
      </c>
      <c r="W226" s="42" t="str">
        <f aca="false">IF(R226="","",ROUND(R226*(Inputs!$F$9+SUM(W$6:W225))*Inputs!$F$10,2))</f>
        <v/>
      </c>
      <c r="X226" s="42" t="str">
        <f aca="false">IF(R226="","",Inputs!$F$9+SUM(W$7:W226))</f>
        <v/>
      </c>
      <c r="Y226" s="43" t="str">
        <f aca="false">IF(S226="Yes",R226,"")</f>
        <v/>
      </c>
      <c r="Z226" s="43" t="str">
        <f aca="false">IF(Y226="","",SUM(Y$7:Y226))</f>
        <v/>
      </c>
      <c r="AA226" s="43" t="str">
        <f aca="false">IF(Y226="","",MAX(0,MAX(Z$7:Z226)))</f>
        <v/>
      </c>
      <c r="AB226" s="43" t="str">
        <f aca="false">IF(Y226="","",Z226-AA226)</f>
        <v/>
      </c>
    </row>
    <row r="227" customFormat="false" ht="15" hidden="false" customHeight="false" outlineLevel="0" collapsed="false">
      <c r="B227" s="38"/>
      <c r="C227" s="39" t="str">
        <f aca="false">IF(B227="","",INT((B227-Inputs!$F$8)/7)+1)</f>
        <v/>
      </c>
      <c r="D227" s="39" t="str">
        <f aca="false">IF(B227="","",COUNTIF(B$7:B227,B227))</f>
        <v/>
      </c>
      <c r="E227" s="34"/>
      <c r="F227" s="34"/>
      <c r="G227" s="34"/>
      <c r="H227" s="34"/>
      <c r="I227" s="34"/>
      <c r="J227" s="35"/>
      <c r="K227" s="35"/>
      <c r="L227" s="40" t="str">
        <f aca="false">IF(OR(J227="",K227=""),"",IF(G227="Long",J227+Inputs!$F$15*(J227-K227),J227-Inputs!$F$15*(K227-J227)))</f>
        <v/>
      </c>
      <c r="M227" s="35"/>
      <c r="N227" s="34"/>
      <c r="O227" s="35"/>
      <c r="P227" s="34"/>
      <c r="Q227" s="41"/>
      <c r="R227" s="36" t="str">
        <f aca="false">IF(OR(M227="",J227="",K227="",J227=K227),"",ROUND(IF(G227="Long",(M227-J227)/(J227-K227),(J227-M227)/(K227-J227)),2))</f>
        <v/>
      </c>
      <c r="S227" s="39" t="str">
        <f aca="false">IF(B227="","",IF(AND(I227="Y",OR(P227="None",P227="")),"Yes","No"))</f>
        <v/>
      </c>
      <c r="T227" s="36" t="str">
        <f aca="false">IF(OR(O227="",J227="",K227="",J227=K227),"",ROUND(IF(G227="Long",(O227-J227)/(J227-K227),(J227-O227)/(K227-J227)),2))</f>
        <v/>
      </c>
      <c r="U227" s="36" t="str">
        <f aca="false">IF(OR(R227="",T227=""),"",IF(T227&gt;=2,2,IF(N227="Target",-1,R227)))</f>
        <v/>
      </c>
      <c r="V227" s="36" t="str">
        <f aca="false">IF(OR(R227="",T227=""),"",IF(T227&gt;=3,3,IF(N227="Target",-1,R227)))</f>
        <v/>
      </c>
      <c r="W227" s="42" t="str">
        <f aca="false">IF(R227="","",ROUND(R227*(Inputs!$F$9+SUM(W$6:W226))*Inputs!$F$10,2))</f>
        <v/>
      </c>
      <c r="X227" s="42" t="str">
        <f aca="false">IF(R227="","",Inputs!$F$9+SUM(W$7:W227))</f>
        <v/>
      </c>
      <c r="Y227" s="43" t="str">
        <f aca="false">IF(S227="Yes",R227,"")</f>
        <v/>
      </c>
      <c r="Z227" s="43" t="str">
        <f aca="false">IF(Y227="","",SUM(Y$7:Y227))</f>
        <v/>
      </c>
      <c r="AA227" s="43" t="str">
        <f aca="false">IF(Y227="","",MAX(0,MAX(Z$7:Z227)))</f>
        <v/>
      </c>
      <c r="AB227" s="43" t="str">
        <f aca="false">IF(Y227="","",Z227-AA227)</f>
        <v/>
      </c>
    </row>
    <row r="228" customFormat="false" ht="15" hidden="false" customHeight="false" outlineLevel="0" collapsed="false">
      <c r="B228" s="38"/>
      <c r="C228" s="39" t="str">
        <f aca="false">IF(B228="","",INT((B228-Inputs!$F$8)/7)+1)</f>
        <v/>
      </c>
      <c r="D228" s="39" t="str">
        <f aca="false">IF(B228="","",COUNTIF(B$7:B228,B228))</f>
        <v/>
      </c>
      <c r="E228" s="34"/>
      <c r="F228" s="34"/>
      <c r="G228" s="34"/>
      <c r="H228" s="34"/>
      <c r="I228" s="34"/>
      <c r="J228" s="35"/>
      <c r="K228" s="35"/>
      <c r="L228" s="40" t="str">
        <f aca="false">IF(OR(J228="",K228=""),"",IF(G228="Long",J228+Inputs!$F$15*(J228-K228),J228-Inputs!$F$15*(K228-J228)))</f>
        <v/>
      </c>
      <c r="M228" s="35"/>
      <c r="N228" s="34"/>
      <c r="O228" s="35"/>
      <c r="P228" s="34"/>
      <c r="Q228" s="41"/>
      <c r="R228" s="36" t="str">
        <f aca="false">IF(OR(M228="",J228="",K228="",J228=K228),"",ROUND(IF(G228="Long",(M228-J228)/(J228-K228),(J228-M228)/(K228-J228)),2))</f>
        <v/>
      </c>
      <c r="S228" s="39" t="str">
        <f aca="false">IF(B228="","",IF(AND(I228="Y",OR(P228="None",P228="")),"Yes","No"))</f>
        <v/>
      </c>
      <c r="T228" s="36" t="str">
        <f aca="false">IF(OR(O228="",J228="",K228="",J228=K228),"",ROUND(IF(G228="Long",(O228-J228)/(J228-K228),(J228-O228)/(K228-J228)),2))</f>
        <v/>
      </c>
      <c r="U228" s="36" t="str">
        <f aca="false">IF(OR(R228="",T228=""),"",IF(T228&gt;=2,2,IF(N228="Target",-1,R228)))</f>
        <v/>
      </c>
      <c r="V228" s="36" t="str">
        <f aca="false">IF(OR(R228="",T228=""),"",IF(T228&gt;=3,3,IF(N228="Target",-1,R228)))</f>
        <v/>
      </c>
      <c r="W228" s="42" t="str">
        <f aca="false">IF(R228="","",ROUND(R228*(Inputs!$F$9+SUM(W$6:W227))*Inputs!$F$10,2))</f>
        <v/>
      </c>
      <c r="X228" s="42" t="str">
        <f aca="false">IF(R228="","",Inputs!$F$9+SUM(W$7:W228))</f>
        <v/>
      </c>
      <c r="Y228" s="43" t="str">
        <f aca="false">IF(S228="Yes",R228,"")</f>
        <v/>
      </c>
      <c r="Z228" s="43" t="str">
        <f aca="false">IF(Y228="","",SUM(Y$7:Y228))</f>
        <v/>
      </c>
      <c r="AA228" s="43" t="str">
        <f aca="false">IF(Y228="","",MAX(0,MAX(Z$7:Z228)))</f>
        <v/>
      </c>
      <c r="AB228" s="43" t="str">
        <f aca="false">IF(Y228="","",Z228-AA228)</f>
        <v/>
      </c>
    </row>
    <row r="229" customFormat="false" ht="15" hidden="false" customHeight="false" outlineLevel="0" collapsed="false">
      <c r="B229" s="38"/>
      <c r="C229" s="39" t="str">
        <f aca="false">IF(B229="","",INT((B229-Inputs!$F$8)/7)+1)</f>
        <v/>
      </c>
      <c r="D229" s="39" t="str">
        <f aca="false">IF(B229="","",COUNTIF(B$7:B229,B229))</f>
        <v/>
      </c>
      <c r="E229" s="34"/>
      <c r="F229" s="34"/>
      <c r="G229" s="34"/>
      <c r="H229" s="34"/>
      <c r="I229" s="34"/>
      <c r="J229" s="35"/>
      <c r="K229" s="35"/>
      <c r="L229" s="40" t="str">
        <f aca="false">IF(OR(J229="",K229=""),"",IF(G229="Long",J229+Inputs!$F$15*(J229-K229),J229-Inputs!$F$15*(K229-J229)))</f>
        <v/>
      </c>
      <c r="M229" s="35"/>
      <c r="N229" s="34"/>
      <c r="O229" s="35"/>
      <c r="P229" s="34"/>
      <c r="Q229" s="41"/>
      <c r="R229" s="36" t="str">
        <f aca="false">IF(OR(M229="",J229="",K229="",J229=K229),"",ROUND(IF(G229="Long",(M229-J229)/(J229-K229),(J229-M229)/(K229-J229)),2))</f>
        <v/>
      </c>
      <c r="S229" s="39" t="str">
        <f aca="false">IF(B229="","",IF(AND(I229="Y",OR(P229="None",P229="")),"Yes","No"))</f>
        <v/>
      </c>
      <c r="T229" s="36" t="str">
        <f aca="false">IF(OR(O229="",J229="",K229="",J229=K229),"",ROUND(IF(G229="Long",(O229-J229)/(J229-K229),(J229-O229)/(K229-J229)),2))</f>
        <v/>
      </c>
      <c r="U229" s="36" t="str">
        <f aca="false">IF(OR(R229="",T229=""),"",IF(T229&gt;=2,2,IF(N229="Target",-1,R229)))</f>
        <v/>
      </c>
      <c r="V229" s="36" t="str">
        <f aca="false">IF(OR(R229="",T229=""),"",IF(T229&gt;=3,3,IF(N229="Target",-1,R229)))</f>
        <v/>
      </c>
      <c r="W229" s="42" t="str">
        <f aca="false">IF(R229="","",ROUND(R229*(Inputs!$F$9+SUM(W$6:W228))*Inputs!$F$10,2))</f>
        <v/>
      </c>
      <c r="X229" s="42" t="str">
        <f aca="false">IF(R229="","",Inputs!$F$9+SUM(W$7:W229))</f>
        <v/>
      </c>
      <c r="Y229" s="43" t="str">
        <f aca="false">IF(S229="Yes",R229,"")</f>
        <v/>
      </c>
      <c r="Z229" s="43" t="str">
        <f aca="false">IF(Y229="","",SUM(Y$7:Y229))</f>
        <v/>
      </c>
      <c r="AA229" s="43" t="str">
        <f aca="false">IF(Y229="","",MAX(0,MAX(Z$7:Z229)))</f>
        <v/>
      </c>
      <c r="AB229" s="43" t="str">
        <f aca="false">IF(Y229="","",Z229-AA229)</f>
        <v/>
      </c>
    </row>
    <row r="230" customFormat="false" ht="15" hidden="false" customHeight="false" outlineLevel="0" collapsed="false">
      <c r="B230" s="38"/>
      <c r="C230" s="39" t="str">
        <f aca="false">IF(B230="","",INT((B230-Inputs!$F$8)/7)+1)</f>
        <v/>
      </c>
      <c r="D230" s="39" t="str">
        <f aca="false">IF(B230="","",COUNTIF(B$7:B230,B230))</f>
        <v/>
      </c>
      <c r="E230" s="34"/>
      <c r="F230" s="34"/>
      <c r="G230" s="34"/>
      <c r="H230" s="34"/>
      <c r="I230" s="34"/>
      <c r="J230" s="35"/>
      <c r="K230" s="35"/>
      <c r="L230" s="40" t="str">
        <f aca="false">IF(OR(J230="",K230=""),"",IF(G230="Long",J230+Inputs!$F$15*(J230-K230),J230-Inputs!$F$15*(K230-J230)))</f>
        <v/>
      </c>
      <c r="M230" s="35"/>
      <c r="N230" s="34"/>
      <c r="O230" s="35"/>
      <c r="P230" s="34"/>
      <c r="Q230" s="41"/>
      <c r="R230" s="36" t="str">
        <f aca="false">IF(OR(M230="",J230="",K230="",J230=K230),"",ROUND(IF(G230="Long",(M230-J230)/(J230-K230),(J230-M230)/(K230-J230)),2))</f>
        <v/>
      </c>
      <c r="S230" s="39" t="str">
        <f aca="false">IF(B230="","",IF(AND(I230="Y",OR(P230="None",P230="")),"Yes","No"))</f>
        <v/>
      </c>
      <c r="T230" s="36" t="str">
        <f aca="false">IF(OR(O230="",J230="",K230="",J230=K230),"",ROUND(IF(G230="Long",(O230-J230)/(J230-K230),(J230-O230)/(K230-J230)),2))</f>
        <v/>
      </c>
      <c r="U230" s="36" t="str">
        <f aca="false">IF(OR(R230="",T230=""),"",IF(T230&gt;=2,2,IF(N230="Target",-1,R230)))</f>
        <v/>
      </c>
      <c r="V230" s="36" t="str">
        <f aca="false">IF(OR(R230="",T230=""),"",IF(T230&gt;=3,3,IF(N230="Target",-1,R230)))</f>
        <v/>
      </c>
      <c r="W230" s="42" t="str">
        <f aca="false">IF(R230="","",ROUND(R230*(Inputs!$F$9+SUM(W$6:W229))*Inputs!$F$10,2))</f>
        <v/>
      </c>
      <c r="X230" s="42" t="str">
        <f aca="false">IF(R230="","",Inputs!$F$9+SUM(W$7:W230))</f>
        <v/>
      </c>
      <c r="Y230" s="43" t="str">
        <f aca="false">IF(S230="Yes",R230,"")</f>
        <v/>
      </c>
      <c r="Z230" s="43" t="str">
        <f aca="false">IF(Y230="","",SUM(Y$7:Y230))</f>
        <v/>
      </c>
      <c r="AA230" s="43" t="str">
        <f aca="false">IF(Y230="","",MAX(0,MAX(Z$7:Z230)))</f>
        <v/>
      </c>
      <c r="AB230" s="43" t="str">
        <f aca="false">IF(Y230="","",Z230-AA230)</f>
        <v/>
      </c>
    </row>
    <row r="231" customFormat="false" ht="15" hidden="false" customHeight="false" outlineLevel="0" collapsed="false">
      <c r="B231" s="38"/>
      <c r="C231" s="39" t="str">
        <f aca="false">IF(B231="","",INT((B231-Inputs!$F$8)/7)+1)</f>
        <v/>
      </c>
      <c r="D231" s="39" t="str">
        <f aca="false">IF(B231="","",COUNTIF(B$7:B231,B231))</f>
        <v/>
      </c>
      <c r="E231" s="34"/>
      <c r="F231" s="34"/>
      <c r="G231" s="34"/>
      <c r="H231" s="34"/>
      <c r="I231" s="34"/>
      <c r="J231" s="35"/>
      <c r="K231" s="35"/>
      <c r="L231" s="40" t="str">
        <f aca="false">IF(OR(J231="",K231=""),"",IF(G231="Long",J231+Inputs!$F$15*(J231-K231),J231-Inputs!$F$15*(K231-J231)))</f>
        <v/>
      </c>
      <c r="M231" s="35"/>
      <c r="N231" s="34"/>
      <c r="O231" s="35"/>
      <c r="P231" s="34"/>
      <c r="Q231" s="41"/>
      <c r="R231" s="36" t="str">
        <f aca="false">IF(OR(M231="",J231="",K231="",J231=K231),"",ROUND(IF(G231="Long",(M231-J231)/(J231-K231),(J231-M231)/(K231-J231)),2))</f>
        <v/>
      </c>
      <c r="S231" s="39" t="str">
        <f aca="false">IF(B231="","",IF(AND(I231="Y",OR(P231="None",P231="")),"Yes","No"))</f>
        <v/>
      </c>
      <c r="T231" s="36" t="str">
        <f aca="false">IF(OR(O231="",J231="",K231="",J231=K231),"",ROUND(IF(G231="Long",(O231-J231)/(J231-K231),(J231-O231)/(K231-J231)),2))</f>
        <v/>
      </c>
      <c r="U231" s="36" t="str">
        <f aca="false">IF(OR(R231="",T231=""),"",IF(T231&gt;=2,2,IF(N231="Target",-1,R231)))</f>
        <v/>
      </c>
      <c r="V231" s="36" t="str">
        <f aca="false">IF(OR(R231="",T231=""),"",IF(T231&gt;=3,3,IF(N231="Target",-1,R231)))</f>
        <v/>
      </c>
      <c r="W231" s="42" t="str">
        <f aca="false">IF(R231="","",ROUND(R231*(Inputs!$F$9+SUM(W$6:W230))*Inputs!$F$10,2))</f>
        <v/>
      </c>
      <c r="X231" s="42" t="str">
        <f aca="false">IF(R231="","",Inputs!$F$9+SUM(W$7:W231))</f>
        <v/>
      </c>
      <c r="Y231" s="43" t="str">
        <f aca="false">IF(S231="Yes",R231,"")</f>
        <v/>
      </c>
      <c r="Z231" s="43" t="str">
        <f aca="false">IF(Y231="","",SUM(Y$7:Y231))</f>
        <v/>
      </c>
      <c r="AA231" s="43" t="str">
        <f aca="false">IF(Y231="","",MAX(0,MAX(Z$7:Z231)))</f>
        <v/>
      </c>
      <c r="AB231" s="43" t="str">
        <f aca="false">IF(Y231="","",Z231-AA231)</f>
        <v/>
      </c>
    </row>
    <row r="232" customFormat="false" ht="15" hidden="false" customHeight="false" outlineLevel="0" collapsed="false">
      <c r="B232" s="38"/>
      <c r="C232" s="39" t="str">
        <f aca="false">IF(B232="","",INT((B232-Inputs!$F$8)/7)+1)</f>
        <v/>
      </c>
      <c r="D232" s="39" t="str">
        <f aca="false">IF(B232="","",COUNTIF(B$7:B232,B232))</f>
        <v/>
      </c>
      <c r="E232" s="34"/>
      <c r="F232" s="34"/>
      <c r="G232" s="34"/>
      <c r="H232" s="34"/>
      <c r="I232" s="34"/>
      <c r="J232" s="35"/>
      <c r="K232" s="35"/>
      <c r="L232" s="40" t="str">
        <f aca="false">IF(OR(J232="",K232=""),"",IF(G232="Long",J232+Inputs!$F$15*(J232-K232),J232-Inputs!$F$15*(K232-J232)))</f>
        <v/>
      </c>
      <c r="M232" s="35"/>
      <c r="N232" s="34"/>
      <c r="O232" s="35"/>
      <c r="P232" s="34"/>
      <c r="Q232" s="41"/>
      <c r="R232" s="36" t="str">
        <f aca="false">IF(OR(M232="",J232="",K232="",J232=K232),"",ROUND(IF(G232="Long",(M232-J232)/(J232-K232),(J232-M232)/(K232-J232)),2))</f>
        <v/>
      </c>
      <c r="S232" s="39" t="str">
        <f aca="false">IF(B232="","",IF(AND(I232="Y",OR(P232="None",P232="")),"Yes","No"))</f>
        <v/>
      </c>
      <c r="T232" s="36" t="str">
        <f aca="false">IF(OR(O232="",J232="",K232="",J232=K232),"",ROUND(IF(G232="Long",(O232-J232)/(J232-K232),(J232-O232)/(K232-J232)),2))</f>
        <v/>
      </c>
      <c r="U232" s="36" t="str">
        <f aca="false">IF(OR(R232="",T232=""),"",IF(T232&gt;=2,2,IF(N232="Target",-1,R232)))</f>
        <v/>
      </c>
      <c r="V232" s="36" t="str">
        <f aca="false">IF(OR(R232="",T232=""),"",IF(T232&gt;=3,3,IF(N232="Target",-1,R232)))</f>
        <v/>
      </c>
      <c r="W232" s="42" t="str">
        <f aca="false">IF(R232="","",ROUND(R232*(Inputs!$F$9+SUM(W$6:W231))*Inputs!$F$10,2))</f>
        <v/>
      </c>
      <c r="X232" s="42" t="str">
        <f aca="false">IF(R232="","",Inputs!$F$9+SUM(W$7:W232))</f>
        <v/>
      </c>
      <c r="Y232" s="43" t="str">
        <f aca="false">IF(S232="Yes",R232,"")</f>
        <v/>
      </c>
      <c r="Z232" s="43" t="str">
        <f aca="false">IF(Y232="","",SUM(Y$7:Y232))</f>
        <v/>
      </c>
      <c r="AA232" s="43" t="str">
        <f aca="false">IF(Y232="","",MAX(0,MAX(Z$7:Z232)))</f>
        <v/>
      </c>
      <c r="AB232" s="43" t="str">
        <f aca="false">IF(Y232="","",Z232-AA232)</f>
        <v/>
      </c>
    </row>
    <row r="233" customFormat="false" ht="15" hidden="false" customHeight="false" outlineLevel="0" collapsed="false">
      <c r="B233" s="38"/>
      <c r="C233" s="39" t="str">
        <f aca="false">IF(B233="","",INT((B233-Inputs!$F$8)/7)+1)</f>
        <v/>
      </c>
      <c r="D233" s="39" t="str">
        <f aca="false">IF(B233="","",COUNTIF(B$7:B233,B233))</f>
        <v/>
      </c>
      <c r="E233" s="34"/>
      <c r="F233" s="34"/>
      <c r="G233" s="34"/>
      <c r="H233" s="34"/>
      <c r="I233" s="34"/>
      <c r="J233" s="35"/>
      <c r="K233" s="35"/>
      <c r="L233" s="40" t="str">
        <f aca="false">IF(OR(J233="",K233=""),"",IF(G233="Long",J233+Inputs!$F$15*(J233-K233),J233-Inputs!$F$15*(K233-J233)))</f>
        <v/>
      </c>
      <c r="M233" s="35"/>
      <c r="N233" s="34"/>
      <c r="O233" s="35"/>
      <c r="P233" s="34"/>
      <c r="Q233" s="41"/>
      <c r="R233" s="36" t="str">
        <f aca="false">IF(OR(M233="",J233="",K233="",J233=K233),"",ROUND(IF(G233="Long",(M233-J233)/(J233-K233),(J233-M233)/(K233-J233)),2))</f>
        <v/>
      </c>
      <c r="S233" s="39" t="str">
        <f aca="false">IF(B233="","",IF(AND(I233="Y",OR(P233="None",P233="")),"Yes","No"))</f>
        <v/>
      </c>
      <c r="T233" s="36" t="str">
        <f aca="false">IF(OR(O233="",J233="",K233="",J233=K233),"",ROUND(IF(G233="Long",(O233-J233)/(J233-K233),(J233-O233)/(K233-J233)),2))</f>
        <v/>
      </c>
      <c r="U233" s="36" t="str">
        <f aca="false">IF(OR(R233="",T233=""),"",IF(T233&gt;=2,2,IF(N233="Target",-1,R233)))</f>
        <v/>
      </c>
      <c r="V233" s="36" t="str">
        <f aca="false">IF(OR(R233="",T233=""),"",IF(T233&gt;=3,3,IF(N233="Target",-1,R233)))</f>
        <v/>
      </c>
      <c r="W233" s="42" t="str">
        <f aca="false">IF(R233="","",ROUND(R233*(Inputs!$F$9+SUM(W$6:W232))*Inputs!$F$10,2))</f>
        <v/>
      </c>
      <c r="X233" s="42" t="str">
        <f aca="false">IF(R233="","",Inputs!$F$9+SUM(W$7:W233))</f>
        <v/>
      </c>
      <c r="Y233" s="43" t="str">
        <f aca="false">IF(S233="Yes",R233,"")</f>
        <v/>
      </c>
      <c r="Z233" s="43" t="str">
        <f aca="false">IF(Y233="","",SUM(Y$7:Y233))</f>
        <v/>
      </c>
      <c r="AA233" s="43" t="str">
        <f aca="false">IF(Y233="","",MAX(0,MAX(Z$7:Z233)))</f>
        <v/>
      </c>
      <c r="AB233" s="43" t="str">
        <f aca="false">IF(Y233="","",Z233-AA233)</f>
        <v/>
      </c>
    </row>
    <row r="234" customFormat="false" ht="15" hidden="false" customHeight="false" outlineLevel="0" collapsed="false">
      <c r="B234" s="38"/>
      <c r="C234" s="39" t="str">
        <f aca="false">IF(B234="","",INT((B234-Inputs!$F$8)/7)+1)</f>
        <v/>
      </c>
      <c r="D234" s="39" t="str">
        <f aca="false">IF(B234="","",COUNTIF(B$7:B234,B234))</f>
        <v/>
      </c>
      <c r="E234" s="34"/>
      <c r="F234" s="34"/>
      <c r="G234" s="34"/>
      <c r="H234" s="34"/>
      <c r="I234" s="34"/>
      <c r="J234" s="35"/>
      <c r="K234" s="35"/>
      <c r="L234" s="40" t="str">
        <f aca="false">IF(OR(J234="",K234=""),"",IF(G234="Long",J234+Inputs!$F$15*(J234-K234),J234-Inputs!$F$15*(K234-J234)))</f>
        <v/>
      </c>
      <c r="M234" s="35"/>
      <c r="N234" s="34"/>
      <c r="O234" s="35"/>
      <c r="P234" s="34"/>
      <c r="Q234" s="41"/>
      <c r="R234" s="36" t="str">
        <f aca="false">IF(OR(M234="",J234="",K234="",J234=K234),"",ROUND(IF(G234="Long",(M234-J234)/(J234-K234),(J234-M234)/(K234-J234)),2))</f>
        <v/>
      </c>
      <c r="S234" s="39" t="str">
        <f aca="false">IF(B234="","",IF(AND(I234="Y",OR(P234="None",P234="")),"Yes","No"))</f>
        <v/>
      </c>
      <c r="T234" s="36" t="str">
        <f aca="false">IF(OR(O234="",J234="",K234="",J234=K234),"",ROUND(IF(G234="Long",(O234-J234)/(J234-K234),(J234-O234)/(K234-J234)),2))</f>
        <v/>
      </c>
      <c r="U234" s="36" t="str">
        <f aca="false">IF(OR(R234="",T234=""),"",IF(T234&gt;=2,2,IF(N234="Target",-1,R234)))</f>
        <v/>
      </c>
      <c r="V234" s="36" t="str">
        <f aca="false">IF(OR(R234="",T234=""),"",IF(T234&gt;=3,3,IF(N234="Target",-1,R234)))</f>
        <v/>
      </c>
      <c r="W234" s="42" t="str">
        <f aca="false">IF(R234="","",ROUND(R234*(Inputs!$F$9+SUM(W$6:W233))*Inputs!$F$10,2))</f>
        <v/>
      </c>
      <c r="X234" s="42" t="str">
        <f aca="false">IF(R234="","",Inputs!$F$9+SUM(W$7:W234))</f>
        <v/>
      </c>
      <c r="Y234" s="43" t="str">
        <f aca="false">IF(S234="Yes",R234,"")</f>
        <v/>
      </c>
      <c r="Z234" s="43" t="str">
        <f aca="false">IF(Y234="","",SUM(Y$7:Y234))</f>
        <v/>
      </c>
      <c r="AA234" s="43" t="str">
        <f aca="false">IF(Y234="","",MAX(0,MAX(Z$7:Z234)))</f>
        <v/>
      </c>
      <c r="AB234" s="43" t="str">
        <f aca="false">IF(Y234="","",Z234-AA234)</f>
        <v/>
      </c>
    </row>
    <row r="235" customFormat="false" ht="15" hidden="false" customHeight="false" outlineLevel="0" collapsed="false">
      <c r="B235" s="38"/>
      <c r="C235" s="39" t="str">
        <f aca="false">IF(B235="","",INT((B235-Inputs!$F$8)/7)+1)</f>
        <v/>
      </c>
      <c r="D235" s="39" t="str">
        <f aca="false">IF(B235="","",COUNTIF(B$7:B235,B235))</f>
        <v/>
      </c>
      <c r="E235" s="34"/>
      <c r="F235" s="34"/>
      <c r="G235" s="34"/>
      <c r="H235" s="34"/>
      <c r="I235" s="34"/>
      <c r="J235" s="35"/>
      <c r="K235" s="35"/>
      <c r="L235" s="40" t="str">
        <f aca="false">IF(OR(J235="",K235=""),"",IF(G235="Long",J235+Inputs!$F$15*(J235-K235),J235-Inputs!$F$15*(K235-J235)))</f>
        <v/>
      </c>
      <c r="M235" s="35"/>
      <c r="N235" s="34"/>
      <c r="O235" s="35"/>
      <c r="P235" s="34"/>
      <c r="Q235" s="41"/>
      <c r="R235" s="36" t="str">
        <f aca="false">IF(OR(M235="",J235="",K235="",J235=K235),"",ROUND(IF(G235="Long",(M235-J235)/(J235-K235),(J235-M235)/(K235-J235)),2))</f>
        <v/>
      </c>
      <c r="S235" s="39" t="str">
        <f aca="false">IF(B235="","",IF(AND(I235="Y",OR(P235="None",P235="")),"Yes","No"))</f>
        <v/>
      </c>
      <c r="T235" s="36" t="str">
        <f aca="false">IF(OR(O235="",J235="",K235="",J235=K235),"",ROUND(IF(G235="Long",(O235-J235)/(J235-K235),(J235-O235)/(K235-J235)),2))</f>
        <v/>
      </c>
      <c r="U235" s="36" t="str">
        <f aca="false">IF(OR(R235="",T235=""),"",IF(T235&gt;=2,2,IF(N235="Target",-1,R235)))</f>
        <v/>
      </c>
      <c r="V235" s="36" t="str">
        <f aca="false">IF(OR(R235="",T235=""),"",IF(T235&gt;=3,3,IF(N235="Target",-1,R235)))</f>
        <v/>
      </c>
      <c r="W235" s="42" t="str">
        <f aca="false">IF(R235="","",ROUND(R235*(Inputs!$F$9+SUM(W$6:W234))*Inputs!$F$10,2))</f>
        <v/>
      </c>
      <c r="X235" s="42" t="str">
        <f aca="false">IF(R235="","",Inputs!$F$9+SUM(W$7:W235))</f>
        <v/>
      </c>
      <c r="Y235" s="43" t="str">
        <f aca="false">IF(S235="Yes",R235,"")</f>
        <v/>
      </c>
      <c r="Z235" s="43" t="str">
        <f aca="false">IF(Y235="","",SUM(Y$7:Y235))</f>
        <v/>
      </c>
      <c r="AA235" s="43" t="str">
        <f aca="false">IF(Y235="","",MAX(0,MAX(Z$7:Z235)))</f>
        <v/>
      </c>
      <c r="AB235" s="43" t="str">
        <f aca="false">IF(Y235="","",Z235-AA235)</f>
        <v/>
      </c>
    </row>
    <row r="236" customFormat="false" ht="15" hidden="false" customHeight="false" outlineLevel="0" collapsed="false">
      <c r="B236" s="38"/>
      <c r="C236" s="39" t="str">
        <f aca="false">IF(B236="","",INT((B236-Inputs!$F$8)/7)+1)</f>
        <v/>
      </c>
      <c r="D236" s="39" t="str">
        <f aca="false">IF(B236="","",COUNTIF(B$7:B236,B236))</f>
        <v/>
      </c>
      <c r="E236" s="34"/>
      <c r="F236" s="34"/>
      <c r="G236" s="34"/>
      <c r="H236" s="34"/>
      <c r="I236" s="34"/>
      <c r="J236" s="35"/>
      <c r="K236" s="35"/>
      <c r="L236" s="40" t="str">
        <f aca="false">IF(OR(J236="",K236=""),"",IF(G236="Long",J236+Inputs!$F$15*(J236-K236),J236-Inputs!$F$15*(K236-J236)))</f>
        <v/>
      </c>
      <c r="M236" s="35"/>
      <c r="N236" s="34"/>
      <c r="O236" s="35"/>
      <c r="P236" s="34"/>
      <c r="Q236" s="41"/>
      <c r="R236" s="36" t="str">
        <f aca="false">IF(OR(M236="",J236="",K236="",J236=K236),"",ROUND(IF(G236="Long",(M236-J236)/(J236-K236),(J236-M236)/(K236-J236)),2))</f>
        <v/>
      </c>
      <c r="S236" s="39" t="str">
        <f aca="false">IF(B236="","",IF(AND(I236="Y",OR(P236="None",P236="")),"Yes","No"))</f>
        <v/>
      </c>
      <c r="T236" s="36" t="str">
        <f aca="false">IF(OR(O236="",J236="",K236="",J236=K236),"",ROUND(IF(G236="Long",(O236-J236)/(J236-K236),(J236-O236)/(K236-J236)),2))</f>
        <v/>
      </c>
      <c r="U236" s="36" t="str">
        <f aca="false">IF(OR(R236="",T236=""),"",IF(T236&gt;=2,2,IF(N236="Target",-1,R236)))</f>
        <v/>
      </c>
      <c r="V236" s="36" t="str">
        <f aca="false">IF(OR(R236="",T236=""),"",IF(T236&gt;=3,3,IF(N236="Target",-1,R236)))</f>
        <v/>
      </c>
      <c r="W236" s="42" t="str">
        <f aca="false">IF(R236="","",ROUND(R236*(Inputs!$F$9+SUM(W$6:W235))*Inputs!$F$10,2))</f>
        <v/>
      </c>
      <c r="X236" s="42" t="str">
        <f aca="false">IF(R236="","",Inputs!$F$9+SUM(W$7:W236))</f>
        <v/>
      </c>
      <c r="Y236" s="43" t="str">
        <f aca="false">IF(S236="Yes",R236,"")</f>
        <v/>
      </c>
      <c r="Z236" s="43" t="str">
        <f aca="false">IF(Y236="","",SUM(Y$7:Y236))</f>
        <v/>
      </c>
      <c r="AA236" s="43" t="str">
        <f aca="false">IF(Y236="","",MAX(0,MAX(Z$7:Z236)))</f>
        <v/>
      </c>
      <c r="AB236" s="43" t="str">
        <f aca="false">IF(Y236="","",Z236-AA236)</f>
        <v/>
      </c>
    </row>
    <row r="237" customFormat="false" ht="15" hidden="false" customHeight="false" outlineLevel="0" collapsed="false">
      <c r="B237" s="38"/>
      <c r="C237" s="39" t="str">
        <f aca="false">IF(B237="","",INT((B237-Inputs!$F$8)/7)+1)</f>
        <v/>
      </c>
      <c r="D237" s="39" t="str">
        <f aca="false">IF(B237="","",COUNTIF(B$7:B237,B237))</f>
        <v/>
      </c>
      <c r="E237" s="34"/>
      <c r="F237" s="34"/>
      <c r="G237" s="34"/>
      <c r="H237" s="34"/>
      <c r="I237" s="34"/>
      <c r="J237" s="35"/>
      <c r="K237" s="35"/>
      <c r="L237" s="40" t="str">
        <f aca="false">IF(OR(J237="",K237=""),"",IF(G237="Long",J237+Inputs!$F$15*(J237-K237),J237-Inputs!$F$15*(K237-J237)))</f>
        <v/>
      </c>
      <c r="M237" s="35"/>
      <c r="N237" s="34"/>
      <c r="O237" s="35"/>
      <c r="P237" s="34"/>
      <c r="Q237" s="41"/>
      <c r="R237" s="36" t="str">
        <f aca="false">IF(OR(M237="",J237="",K237="",J237=K237),"",ROUND(IF(G237="Long",(M237-J237)/(J237-K237),(J237-M237)/(K237-J237)),2))</f>
        <v/>
      </c>
      <c r="S237" s="39" t="str">
        <f aca="false">IF(B237="","",IF(AND(I237="Y",OR(P237="None",P237="")),"Yes","No"))</f>
        <v/>
      </c>
      <c r="T237" s="36" t="str">
        <f aca="false">IF(OR(O237="",J237="",K237="",J237=K237),"",ROUND(IF(G237="Long",(O237-J237)/(J237-K237),(J237-O237)/(K237-J237)),2))</f>
        <v/>
      </c>
      <c r="U237" s="36" t="str">
        <f aca="false">IF(OR(R237="",T237=""),"",IF(T237&gt;=2,2,IF(N237="Target",-1,R237)))</f>
        <v/>
      </c>
      <c r="V237" s="36" t="str">
        <f aca="false">IF(OR(R237="",T237=""),"",IF(T237&gt;=3,3,IF(N237="Target",-1,R237)))</f>
        <v/>
      </c>
      <c r="W237" s="42" t="str">
        <f aca="false">IF(R237="","",ROUND(R237*(Inputs!$F$9+SUM(W$6:W236))*Inputs!$F$10,2))</f>
        <v/>
      </c>
      <c r="X237" s="42" t="str">
        <f aca="false">IF(R237="","",Inputs!$F$9+SUM(W$7:W237))</f>
        <v/>
      </c>
      <c r="Y237" s="43" t="str">
        <f aca="false">IF(S237="Yes",R237,"")</f>
        <v/>
      </c>
      <c r="Z237" s="43" t="str">
        <f aca="false">IF(Y237="","",SUM(Y$7:Y237))</f>
        <v/>
      </c>
      <c r="AA237" s="43" t="str">
        <f aca="false">IF(Y237="","",MAX(0,MAX(Z$7:Z237)))</f>
        <v/>
      </c>
      <c r="AB237" s="43" t="str">
        <f aca="false">IF(Y237="","",Z237-AA237)</f>
        <v/>
      </c>
    </row>
    <row r="238" customFormat="false" ht="15" hidden="false" customHeight="false" outlineLevel="0" collapsed="false">
      <c r="B238" s="38"/>
      <c r="C238" s="39" t="str">
        <f aca="false">IF(B238="","",INT((B238-Inputs!$F$8)/7)+1)</f>
        <v/>
      </c>
      <c r="D238" s="39" t="str">
        <f aca="false">IF(B238="","",COUNTIF(B$7:B238,B238))</f>
        <v/>
      </c>
      <c r="E238" s="34"/>
      <c r="F238" s="34"/>
      <c r="G238" s="34"/>
      <c r="H238" s="34"/>
      <c r="I238" s="34"/>
      <c r="J238" s="35"/>
      <c r="K238" s="35"/>
      <c r="L238" s="40" t="str">
        <f aca="false">IF(OR(J238="",K238=""),"",IF(G238="Long",J238+Inputs!$F$15*(J238-K238),J238-Inputs!$F$15*(K238-J238)))</f>
        <v/>
      </c>
      <c r="M238" s="35"/>
      <c r="N238" s="34"/>
      <c r="O238" s="35"/>
      <c r="P238" s="34"/>
      <c r="Q238" s="41"/>
      <c r="R238" s="36" t="str">
        <f aca="false">IF(OR(M238="",J238="",K238="",J238=K238),"",ROUND(IF(G238="Long",(M238-J238)/(J238-K238),(J238-M238)/(K238-J238)),2))</f>
        <v/>
      </c>
      <c r="S238" s="39" t="str">
        <f aca="false">IF(B238="","",IF(AND(I238="Y",OR(P238="None",P238="")),"Yes","No"))</f>
        <v/>
      </c>
      <c r="T238" s="36" t="str">
        <f aca="false">IF(OR(O238="",J238="",K238="",J238=K238),"",ROUND(IF(G238="Long",(O238-J238)/(J238-K238),(J238-O238)/(K238-J238)),2))</f>
        <v/>
      </c>
      <c r="U238" s="36" t="str">
        <f aca="false">IF(OR(R238="",T238=""),"",IF(T238&gt;=2,2,IF(N238="Target",-1,R238)))</f>
        <v/>
      </c>
      <c r="V238" s="36" t="str">
        <f aca="false">IF(OR(R238="",T238=""),"",IF(T238&gt;=3,3,IF(N238="Target",-1,R238)))</f>
        <v/>
      </c>
      <c r="W238" s="42" t="str">
        <f aca="false">IF(R238="","",ROUND(R238*(Inputs!$F$9+SUM(W$6:W237))*Inputs!$F$10,2))</f>
        <v/>
      </c>
      <c r="X238" s="42" t="str">
        <f aca="false">IF(R238="","",Inputs!$F$9+SUM(W$7:W238))</f>
        <v/>
      </c>
      <c r="Y238" s="43" t="str">
        <f aca="false">IF(S238="Yes",R238,"")</f>
        <v/>
      </c>
      <c r="Z238" s="43" t="str">
        <f aca="false">IF(Y238="","",SUM(Y$7:Y238))</f>
        <v/>
      </c>
      <c r="AA238" s="43" t="str">
        <f aca="false">IF(Y238="","",MAX(0,MAX(Z$7:Z238)))</f>
        <v/>
      </c>
      <c r="AB238" s="43" t="str">
        <f aca="false">IF(Y238="","",Z238-AA238)</f>
        <v/>
      </c>
    </row>
    <row r="239" customFormat="false" ht="15" hidden="false" customHeight="false" outlineLevel="0" collapsed="false">
      <c r="B239" s="38"/>
      <c r="C239" s="39" t="str">
        <f aca="false">IF(B239="","",INT((B239-Inputs!$F$8)/7)+1)</f>
        <v/>
      </c>
      <c r="D239" s="39" t="str">
        <f aca="false">IF(B239="","",COUNTIF(B$7:B239,B239))</f>
        <v/>
      </c>
      <c r="E239" s="34"/>
      <c r="F239" s="34"/>
      <c r="G239" s="34"/>
      <c r="H239" s="34"/>
      <c r="I239" s="34"/>
      <c r="J239" s="35"/>
      <c r="K239" s="35"/>
      <c r="L239" s="40" t="str">
        <f aca="false">IF(OR(J239="",K239=""),"",IF(G239="Long",J239+Inputs!$F$15*(J239-K239),J239-Inputs!$F$15*(K239-J239)))</f>
        <v/>
      </c>
      <c r="M239" s="35"/>
      <c r="N239" s="34"/>
      <c r="O239" s="35"/>
      <c r="P239" s="34"/>
      <c r="Q239" s="41"/>
      <c r="R239" s="36" t="str">
        <f aca="false">IF(OR(M239="",J239="",K239="",J239=K239),"",ROUND(IF(G239="Long",(M239-J239)/(J239-K239),(J239-M239)/(K239-J239)),2))</f>
        <v/>
      </c>
      <c r="S239" s="39" t="str">
        <f aca="false">IF(B239="","",IF(AND(I239="Y",OR(P239="None",P239="")),"Yes","No"))</f>
        <v/>
      </c>
      <c r="T239" s="36" t="str">
        <f aca="false">IF(OR(O239="",J239="",K239="",J239=K239),"",ROUND(IF(G239="Long",(O239-J239)/(J239-K239),(J239-O239)/(K239-J239)),2))</f>
        <v/>
      </c>
      <c r="U239" s="36" t="str">
        <f aca="false">IF(OR(R239="",T239=""),"",IF(T239&gt;=2,2,IF(N239="Target",-1,R239)))</f>
        <v/>
      </c>
      <c r="V239" s="36" t="str">
        <f aca="false">IF(OR(R239="",T239=""),"",IF(T239&gt;=3,3,IF(N239="Target",-1,R239)))</f>
        <v/>
      </c>
      <c r="W239" s="42" t="str">
        <f aca="false">IF(R239="","",ROUND(R239*(Inputs!$F$9+SUM(W$6:W238))*Inputs!$F$10,2))</f>
        <v/>
      </c>
      <c r="X239" s="42" t="str">
        <f aca="false">IF(R239="","",Inputs!$F$9+SUM(W$7:W239))</f>
        <v/>
      </c>
      <c r="Y239" s="43" t="str">
        <f aca="false">IF(S239="Yes",R239,"")</f>
        <v/>
      </c>
      <c r="Z239" s="43" t="str">
        <f aca="false">IF(Y239="","",SUM(Y$7:Y239))</f>
        <v/>
      </c>
      <c r="AA239" s="43" t="str">
        <f aca="false">IF(Y239="","",MAX(0,MAX(Z$7:Z239)))</f>
        <v/>
      </c>
      <c r="AB239" s="43" t="str">
        <f aca="false">IF(Y239="","",Z239-AA239)</f>
        <v/>
      </c>
    </row>
    <row r="240" customFormat="false" ht="15" hidden="false" customHeight="false" outlineLevel="0" collapsed="false">
      <c r="B240" s="38"/>
      <c r="C240" s="39" t="str">
        <f aca="false">IF(B240="","",INT((B240-Inputs!$F$8)/7)+1)</f>
        <v/>
      </c>
      <c r="D240" s="39" t="str">
        <f aca="false">IF(B240="","",COUNTIF(B$7:B240,B240))</f>
        <v/>
      </c>
      <c r="E240" s="34"/>
      <c r="F240" s="34"/>
      <c r="G240" s="34"/>
      <c r="H240" s="34"/>
      <c r="I240" s="34"/>
      <c r="J240" s="35"/>
      <c r="K240" s="35"/>
      <c r="L240" s="40" t="str">
        <f aca="false">IF(OR(J240="",K240=""),"",IF(G240="Long",J240+Inputs!$F$15*(J240-K240),J240-Inputs!$F$15*(K240-J240)))</f>
        <v/>
      </c>
      <c r="M240" s="35"/>
      <c r="N240" s="34"/>
      <c r="O240" s="35"/>
      <c r="P240" s="34"/>
      <c r="Q240" s="41"/>
      <c r="R240" s="36" t="str">
        <f aca="false">IF(OR(M240="",J240="",K240="",J240=K240),"",ROUND(IF(G240="Long",(M240-J240)/(J240-K240),(J240-M240)/(K240-J240)),2))</f>
        <v/>
      </c>
      <c r="S240" s="39" t="str">
        <f aca="false">IF(B240="","",IF(AND(I240="Y",OR(P240="None",P240="")),"Yes","No"))</f>
        <v/>
      </c>
      <c r="T240" s="36" t="str">
        <f aca="false">IF(OR(O240="",J240="",K240="",J240=K240),"",ROUND(IF(G240="Long",(O240-J240)/(J240-K240),(J240-O240)/(K240-J240)),2))</f>
        <v/>
      </c>
      <c r="U240" s="36" t="str">
        <f aca="false">IF(OR(R240="",T240=""),"",IF(T240&gt;=2,2,IF(N240="Target",-1,R240)))</f>
        <v/>
      </c>
      <c r="V240" s="36" t="str">
        <f aca="false">IF(OR(R240="",T240=""),"",IF(T240&gt;=3,3,IF(N240="Target",-1,R240)))</f>
        <v/>
      </c>
      <c r="W240" s="42" t="str">
        <f aca="false">IF(R240="","",ROUND(R240*(Inputs!$F$9+SUM(W$6:W239))*Inputs!$F$10,2))</f>
        <v/>
      </c>
      <c r="X240" s="42" t="str">
        <f aca="false">IF(R240="","",Inputs!$F$9+SUM(W$7:W240))</f>
        <v/>
      </c>
      <c r="Y240" s="43" t="str">
        <f aca="false">IF(S240="Yes",R240,"")</f>
        <v/>
      </c>
      <c r="Z240" s="43" t="str">
        <f aca="false">IF(Y240="","",SUM(Y$7:Y240))</f>
        <v/>
      </c>
      <c r="AA240" s="43" t="str">
        <f aca="false">IF(Y240="","",MAX(0,MAX(Z$7:Z240)))</f>
        <v/>
      </c>
      <c r="AB240" s="43" t="str">
        <f aca="false">IF(Y240="","",Z240-AA240)</f>
        <v/>
      </c>
    </row>
    <row r="241" customFormat="false" ht="15" hidden="false" customHeight="false" outlineLevel="0" collapsed="false">
      <c r="B241" s="38"/>
      <c r="C241" s="39" t="str">
        <f aca="false">IF(B241="","",INT((B241-Inputs!$F$8)/7)+1)</f>
        <v/>
      </c>
      <c r="D241" s="39" t="str">
        <f aca="false">IF(B241="","",COUNTIF(B$7:B241,B241))</f>
        <v/>
      </c>
      <c r="E241" s="34"/>
      <c r="F241" s="34"/>
      <c r="G241" s="34"/>
      <c r="H241" s="34"/>
      <c r="I241" s="34"/>
      <c r="J241" s="35"/>
      <c r="K241" s="35"/>
      <c r="L241" s="40" t="str">
        <f aca="false">IF(OR(J241="",K241=""),"",IF(G241="Long",J241+Inputs!$F$15*(J241-K241),J241-Inputs!$F$15*(K241-J241)))</f>
        <v/>
      </c>
      <c r="M241" s="35"/>
      <c r="N241" s="34"/>
      <c r="O241" s="35"/>
      <c r="P241" s="34"/>
      <c r="Q241" s="41"/>
      <c r="R241" s="36" t="str">
        <f aca="false">IF(OR(M241="",J241="",K241="",J241=K241),"",ROUND(IF(G241="Long",(M241-J241)/(J241-K241),(J241-M241)/(K241-J241)),2))</f>
        <v/>
      </c>
      <c r="S241" s="39" t="str">
        <f aca="false">IF(B241="","",IF(AND(I241="Y",OR(P241="None",P241="")),"Yes","No"))</f>
        <v/>
      </c>
      <c r="T241" s="36" t="str">
        <f aca="false">IF(OR(O241="",J241="",K241="",J241=K241),"",ROUND(IF(G241="Long",(O241-J241)/(J241-K241),(J241-O241)/(K241-J241)),2))</f>
        <v/>
      </c>
      <c r="U241" s="36" t="str">
        <f aca="false">IF(OR(R241="",T241=""),"",IF(T241&gt;=2,2,IF(N241="Target",-1,R241)))</f>
        <v/>
      </c>
      <c r="V241" s="36" t="str">
        <f aca="false">IF(OR(R241="",T241=""),"",IF(T241&gt;=3,3,IF(N241="Target",-1,R241)))</f>
        <v/>
      </c>
      <c r="W241" s="42" t="str">
        <f aca="false">IF(R241="","",ROUND(R241*(Inputs!$F$9+SUM(W$6:W240))*Inputs!$F$10,2))</f>
        <v/>
      </c>
      <c r="X241" s="42" t="str">
        <f aca="false">IF(R241="","",Inputs!$F$9+SUM(W$7:W241))</f>
        <v/>
      </c>
      <c r="Y241" s="43" t="str">
        <f aca="false">IF(S241="Yes",R241,"")</f>
        <v/>
      </c>
      <c r="Z241" s="43" t="str">
        <f aca="false">IF(Y241="","",SUM(Y$7:Y241))</f>
        <v/>
      </c>
      <c r="AA241" s="43" t="str">
        <f aca="false">IF(Y241="","",MAX(0,MAX(Z$7:Z241)))</f>
        <v/>
      </c>
      <c r="AB241" s="43" t="str">
        <f aca="false">IF(Y241="","",Z241-AA241)</f>
        <v/>
      </c>
    </row>
    <row r="242" customFormat="false" ht="15" hidden="false" customHeight="false" outlineLevel="0" collapsed="false">
      <c r="B242" s="38"/>
      <c r="C242" s="39" t="str">
        <f aca="false">IF(B242="","",INT((B242-Inputs!$F$8)/7)+1)</f>
        <v/>
      </c>
      <c r="D242" s="39" t="str">
        <f aca="false">IF(B242="","",COUNTIF(B$7:B242,B242))</f>
        <v/>
      </c>
      <c r="E242" s="34"/>
      <c r="F242" s="34"/>
      <c r="G242" s="34"/>
      <c r="H242" s="34"/>
      <c r="I242" s="34"/>
      <c r="J242" s="35"/>
      <c r="K242" s="35"/>
      <c r="L242" s="40" t="str">
        <f aca="false">IF(OR(J242="",K242=""),"",IF(G242="Long",J242+Inputs!$F$15*(J242-K242),J242-Inputs!$F$15*(K242-J242)))</f>
        <v/>
      </c>
      <c r="M242" s="35"/>
      <c r="N242" s="34"/>
      <c r="O242" s="35"/>
      <c r="P242" s="34"/>
      <c r="Q242" s="41"/>
      <c r="R242" s="36" t="str">
        <f aca="false">IF(OR(M242="",J242="",K242="",J242=K242),"",ROUND(IF(G242="Long",(M242-J242)/(J242-K242),(J242-M242)/(K242-J242)),2))</f>
        <v/>
      </c>
      <c r="S242" s="39" t="str">
        <f aca="false">IF(B242="","",IF(AND(I242="Y",OR(P242="None",P242="")),"Yes","No"))</f>
        <v/>
      </c>
      <c r="T242" s="36" t="str">
        <f aca="false">IF(OR(O242="",J242="",K242="",J242=K242),"",ROUND(IF(G242="Long",(O242-J242)/(J242-K242),(J242-O242)/(K242-J242)),2))</f>
        <v/>
      </c>
      <c r="U242" s="36" t="str">
        <f aca="false">IF(OR(R242="",T242=""),"",IF(T242&gt;=2,2,IF(N242="Target",-1,R242)))</f>
        <v/>
      </c>
      <c r="V242" s="36" t="str">
        <f aca="false">IF(OR(R242="",T242=""),"",IF(T242&gt;=3,3,IF(N242="Target",-1,R242)))</f>
        <v/>
      </c>
      <c r="W242" s="42" t="str">
        <f aca="false">IF(R242="","",ROUND(R242*(Inputs!$F$9+SUM(W$6:W241))*Inputs!$F$10,2))</f>
        <v/>
      </c>
      <c r="X242" s="42" t="str">
        <f aca="false">IF(R242="","",Inputs!$F$9+SUM(W$7:W242))</f>
        <v/>
      </c>
      <c r="Y242" s="43" t="str">
        <f aca="false">IF(S242="Yes",R242,"")</f>
        <v/>
      </c>
      <c r="Z242" s="43" t="str">
        <f aca="false">IF(Y242="","",SUM(Y$7:Y242))</f>
        <v/>
      </c>
      <c r="AA242" s="43" t="str">
        <f aca="false">IF(Y242="","",MAX(0,MAX(Z$7:Z242)))</f>
        <v/>
      </c>
      <c r="AB242" s="43" t="str">
        <f aca="false">IF(Y242="","",Z242-AA242)</f>
        <v/>
      </c>
    </row>
    <row r="243" customFormat="false" ht="15" hidden="false" customHeight="false" outlineLevel="0" collapsed="false">
      <c r="B243" s="38"/>
      <c r="C243" s="39" t="str">
        <f aca="false">IF(B243="","",INT((B243-Inputs!$F$8)/7)+1)</f>
        <v/>
      </c>
      <c r="D243" s="39" t="str">
        <f aca="false">IF(B243="","",COUNTIF(B$7:B243,B243))</f>
        <v/>
      </c>
      <c r="E243" s="34"/>
      <c r="F243" s="34"/>
      <c r="G243" s="34"/>
      <c r="H243" s="34"/>
      <c r="I243" s="34"/>
      <c r="J243" s="35"/>
      <c r="K243" s="35"/>
      <c r="L243" s="40" t="str">
        <f aca="false">IF(OR(J243="",K243=""),"",IF(G243="Long",J243+Inputs!$F$15*(J243-K243),J243-Inputs!$F$15*(K243-J243)))</f>
        <v/>
      </c>
      <c r="M243" s="35"/>
      <c r="N243" s="34"/>
      <c r="O243" s="35"/>
      <c r="P243" s="34"/>
      <c r="Q243" s="41"/>
      <c r="R243" s="36" t="str">
        <f aca="false">IF(OR(M243="",J243="",K243="",J243=K243),"",ROUND(IF(G243="Long",(M243-J243)/(J243-K243),(J243-M243)/(K243-J243)),2))</f>
        <v/>
      </c>
      <c r="S243" s="39" t="str">
        <f aca="false">IF(B243="","",IF(AND(I243="Y",OR(P243="None",P243="")),"Yes","No"))</f>
        <v/>
      </c>
      <c r="T243" s="36" t="str">
        <f aca="false">IF(OR(O243="",J243="",K243="",J243=K243),"",ROUND(IF(G243="Long",(O243-J243)/(J243-K243),(J243-O243)/(K243-J243)),2))</f>
        <v/>
      </c>
      <c r="U243" s="36" t="str">
        <f aca="false">IF(OR(R243="",T243=""),"",IF(T243&gt;=2,2,IF(N243="Target",-1,R243)))</f>
        <v/>
      </c>
      <c r="V243" s="36" t="str">
        <f aca="false">IF(OR(R243="",T243=""),"",IF(T243&gt;=3,3,IF(N243="Target",-1,R243)))</f>
        <v/>
      </c>
      <c r="W243" s="42" t="str">
        <f aca="false">IF(R243="","",ROUND(R243*(Inputs!$F$9+SUM(W$6:W242))*Inputs!$F$10,2))</f>
        <v/>
      </c>
      <c r="X243" s="42" t="str">
        <f aca="false">IF(R243="","",Inputs!$F$9+SUM(W$7:W243))</f>
        <v/>
      </c>
      <c r="Y243" s="43" t="str">
        <f aca="false">IF(S243="Yes",R243,"")</f>
        <v/>
      </c>
      <c r="Z243" s="43" t="str">
        <f aca="false">IF(Y243="","",SUM(Y$7:Y243))</f>
        <v/>
      </c>
      <c r="AA243" s="43" t="str">
        <f aca="false">IF(Y243="","",MAX(0,MAX(Z$7:Z243)))</f>
        <v/>
      </c>
      <c r="AB243" s="43" t="str">
        <f aca="false">IF(Y243="","",Z243-AA243)</f>
        <v/>
      </c>
    </row>
    <row r="244" customFormat="false" ht="15" hidden="false" customHeight="false" outlineLevel="0" collapsed="false">
      <c r="B244" s="38"/>
      <c r="C244" s="39" t="str">
        <f aca="false">IF(B244="","",INT((B244-Inputs!$F$8)/7)+1)</f>
        <v/>
      </c>
      <c r="D244" s="39" t="str">
        <f aca="false">IF(B244="","",COUNTIF(B$7:B244,B244))</f>
        <v/>
      </c>
      <c r="E244" s="34"/>
      <c r="F244" s="34"/>
      <c r="G244" s="34"/>
      <c r="H244" s="34"/>
      <c r="I244" s="34"/>
      <c r="J244" s="35"/>
      <c r="K244" s="35"/>
      <c r="L244" s="40" t="str">
        <f aca="false">IF(OR(J244="",K244=""),"",IF(G244="Long",J244+Inputs!$F$15*(J244-K244),J244-Inputs!$F$15*(K244-J244)))</f>
        <v/>
      </c>
      <c r="M244" s="35"/>
      <c r="N244" s="34"/>
      <c r="O244" s="35"/>
      <c r="P244" s="34"/>
      <c r="Q244" s="41"/>
      <c r="R244" s="36" t="str">
        <f aca="false">IF(OR(M244="",J244="",K244="",J244=K244),"",ROUND(IF(G244="Long",(M244-J244)/(J244-K244),(J244-M244)/(K244-J244)),2))</f>
        <v/>
      </c>
      <c r="S244" s="39" t="str">
        <f aca="false">IF(B244="","",IF(AND(I244="Y",OR(P244="None",P244="")),"Yes","No"))</f>
        <v/>
      </c>
      <c r="T244" s="36" t="str">
        <f aca="false">IF(OR(O244="",J244="",K244="",J244=K244),"",ROUND(IF(G244="Long",(O244-J244)/(J244-K244),(J244-O244)/(K244-J244)),2))</f>
        <v/>
      </c>
      <c r="U244" s="36" t="str">
        <f aca="false">IF(OR(R244="",T244=""),"",IF(T244&gt;=2,2,IF(N244="Target",-1,R244)))</f>
        <v/>
      </c>
      <c r="V244" s="36" t="str">
        <f aca="false">IF(OR(R244="",T244=""),"",IF(T244&gt;=3,3,IF(N244="Target",-1,R244)))</f>
        <v/>
      </c>
      <c r="W244" s="42" t="str">
        <f aca="false">IF(R244="","",ROUND(R244*(Inputs!$F$9+SUM(W$6:W243))*Inputs!$F$10,2))</f>
        <v/>
      </c>
      <c r="X244" s="42" t="str">
        <f aca="false">IF(R244="","",Inputs!$F$9+SUM(W$7:W244))</f>
        <v/>
      </c>
      <c r="Y244" s="43" t="str">
        <f aca="false">IF(S244="Yes",R244,"")</f>
        <v/>
      </c>
      <c r="Z244" s="43" t="str">
        <f aca="false">IF(Y244="","",SUM(Y$7:Y244))</f>
        <v/>
      </c>
      <c r="AA244" s="43" t="str">
        <f aca="false">IF(Y244="","",MAX(0,MAX(Z$7:Z244)))</f>
        <v/>
      </c>
      <c r="AB244" s="43" t="str">
        <f aca="false">IF(Y244="","",Z244-AA244)</f>
        <v/>
      </c>
    </row>
    <row r="245" customFormat="false" ht="15" hidden="false" customHeight="false" outlineLevel="0" collapsed="false">
      <c r="B245" s="38"/>
      <c r="C245" s="39" t="str">
        <f aca="false">IF(B245="","",INT((B245-Inputs!$F$8)/7)+1)</f>
        <v/>
      </c>
      <c r="D245" s="39" t="str">
        <f aca="false">IF(B245="","",COUNTIF(B$7:B245,B245))</f>
        <v/>
      </c>
      <c r="E245" s="34"/>
      <c r="F245" s="34"/>
      <c r="G245" s="34"/>
      <c r="H245" s="34"/>
      <c r="I245" s="34"/>
      <c r="J245" s="35"/>
      <c r="K245" s="35"/>
      <c r="L245" s="40" t="str">
        <f aca="false">IF(OR(J245="",K245=""),"",IF(G245="Long",J245+Inputs!$F$15*(J245-K245),J245-Inputs!$F$15*(K245-J245)))</f>
        <v/>
      </c>
      <c r="M245" s="35"/>
      <c r="N245" s="34"/>
      <c r="O245" s="35"/>
      <c r="P245" s="34"/>
      <c r="Q245" s="41"/>
      <c r="R245" s="36" t="str">
        <f aca="false">IF(OR(M245="",J245="",K245="",J245=K245),"",ROUND(IF(G245="Long",(M245-J245)/(J245-K245),(J245-M245)/(K245-J245)),2))</f>
        <v/>
      </c>
      <c r="S245" s="39" t="str">
        <f aca="false">IF(B245="","",IF(AND(I245="Y",OR(P245="None",P245="")),"Yes","No"))</f>
        <v/>
      </c>
      <c r="T245" s="36" t="str">
        <f aca="false">IF(OR(O245="",J245="",K245="",J245=K245),"",ROUND(IF(G245="Long",(O245-J245)/(J245-K245),(J245-O245)/(K245-J245)),2))</f>
        <v/>
      </c>
      <c r="U245" s="36" t="str">
        <f aca="false">IF(OR(R245="",T245=""),"",IF(T245&gt;=2,2,IF(N245="Target",-1,R245)))</f>
        <v/>
      </c>
      <c r="V245" s="36" t="str">
        <f aca="false">IF(OR(R245="",T245=""),"",IF(T245&gt;=3,3,IF(N245="Target",-1,R245)))</f>
        <v/>
      </c>
      <c r="W245" s="42" t="str">
        <f aca="false">IF(R245="","",ROUND(R245*(Inputs!$F$9+SUM(W$6:W244))*Inputs!$F$10,2))</f>
        <v/>
      </c>
      <c r="X245" s="42" t="str">
        <f aca="false">IF(R245="","",Inputs!$F$9+SUM(W$7:W245))</f>
        <v/>
      </c>
      <c r="Y245" s="43" t="str">
        <f aca="false">IF(S245="Yes",R245,"")</f>
        <v/>
      </c>
      <c r="Z245" s="43" t="str">
        <f aca="false">IF(Y245="","",SUM(Y$7:Y245))</f>
        <v/>
      </c>
      <c r="AA245" s="43" t="str">
        <f aca="false">IF(Y245="","",MAX(0,MAX(Z$7:Z245)))</f>
        <v/>
      </c>
      <c r="AB245" s="43" t="str">
        <f aca="false">IF(Y245="","",Z245-AA245)</f>
        <v/>
      </c>
    </row>
    <row r="246" customFormat="false" ht="15" hidden="false" customHeight="false" outlineLevel="0" collapsed="false">
      <c r="B246" s="38"/>
      <c r="C246" s="39" t="str">
        <f aca="false">IF(B246="","",INT((B246-Inputs!$F$8)/7)+1)</f>
        <v/>
      </c>
      <c r="D246" s="39" t="str">
        <f aca="false">IF(B246="","",COUNTIF(B$7:B246,B246))</f>
        <v/>
      </c>
      <c r="E246" s="34"/>
      <c r="F246" s="34"/>
      <c r="G246" s="34"/>
      <c r="H246" s="34"/>
      <c r="I246" s="34"/>
      <c r="J246" s="35"/>
      <c r="K246" s="35"/>
      <c r="L246" s="40" t="str">
        <f aca="false">IF(OR(J246="",K246=""),"",IF(G246="Long",J246+Inputs!$F$15*(J246-K246),J246-Inputs!$F$15*(K246-J246)))</f>
        <v/>
      </c>
      <c r="M246" s="35"/>
      <c r="N246" s="34"/>
      <c r="O246" s="35"/>
      <c r="P246" s="34"/>
      <c r="Q246" s="41"/>
      <c r="R246" s="36" t="str">
        <f aca="false">IF(OR(M246="",J246="",K246="",J246=K246),"",ROUND(IF(G246="Long",(M246-J246)/(J246-K246),(J246-M246)/(K246-J246)),2))</f>
        <v/>
      </c>
      <c r="S246" s="39" t="str">
        <f aca="false">IF(B246="","",IF(AND(I246="Y",OR(P246="None",P246="")),"Yes","No"))</f>
        <v/>
      </c>
      <c r="T246" s="36" t="str">
        <f aca="false">IF(OR(O246="",J246="",K246="",J246=K246),"",ROUND(IF(G246="Long",(O246-J246)/(J246-K246),(J246-O246)/(K246-J246)),2))</f>
        <v/>
      </c>
      <c r="U246" s="36" t="str">
        <f aca="false">IF(OR(R246="",T246=""),"",IF(T246&gt;=2,2,IF(N246="Target",-1,R246)))</f>
        <v/>
      </c>
      <c r="V246" s="36" t="str">
        <f aca="false">IF(OR(R246="",T246=""),"",IF(T246&gt;=3,3,IF(N246="Target",-1,R246)))</f>
        <v/>
      </c>
      <c r="W246" s="42" t="str">
        <f aca="false">IF(R246="","",ROUND(R246*(Inputs!$F$9+SUM(W$6:W245))*Inputs!$F$10,2))</f>
        <v/>
      </c>
      <c r="X246" s="42" t="str">
        <f aca="false">IF(R246="","",Inputs!$F$9+SUM(W$7:W246))</f>
        <v/>
      </c>
      <c r="Y246" s="43" t="str">
        <f aca="false">IF(S246="Yes",R246,"")</f>
        <v/>
      </c>
      <c r="Z246" s="43" t="str">
        <f aca="false">IF(Y246="","",SUM(Y$7:Y246))</f>
        <v/>
      </c>
      <c r="AA246" s="43" t="str">
        <f aca="false">IF(Y246="","",MAX(0,MAX(Z$7:Z246)))</f>
        <v/>
      </c>
      <c r="AB246" s="43" t="str">
        <f aca="false">IF(Y246="","",Z246-AA246)</f>
        <v/>
      </c>
    </row>
    <row r="247" customFormat="false" ht="15" hidden="false" customHeight="false" outlineLevel="0" collapsed="false">
      <c r="B247" s="38"/>
      <c r="C247" s="39" t="str">
        <f aca="false">IF(B247="","",INT((B247-Inputs!$F$8)/7)+1)</f>
        <v/>
      </c>
      <c r="D247" s="39" t="str">
        <f aca="false">IF(B247="","",COUNTIF(B$7:B247,B247))</f>
        <v/>
      </c>
      <c r="E247" s="34"/>
      <c r="F247" s="34"/>
      <c r="G247" s="34"/>
      <c r="H247" s="34"/>
      <c r="I247" s="34"/>
      <c r="J247" s="35"/>
      <c r="K247" s="35"/>
      <c r="L247" s="40" t="str">
        <f aca="false">IF(OR(J247="",K247=""),"",IF(G247="Long",J247+Inputs!$F$15*(J247-K247),J247-Inputs!$F$15*(K247-J247)))</f>
        <v/>
      </c>
      <c r="M247" s="35"/>
      <c r="N247" s="34"/>
      <c r="O247" s="35"/>
      <c r="P247" s="34"/>
      <c r="Q247" s="41"/>
      <c r="R247" s="36" t="str">
        <f aca="false">IF(OR(M247="",J247="",K247="",J247=K247),"",ROUND(IF(G247="Long",(M247-J247)/(J247-K247),(J247-M247)/(K247-J247)),2))</f>
        <v/>
      </c>
      <c r="S247" s="39" t="str">
        <f aca="false">IF(B247="","",IF(AND(I247="Y",OR(P247="None",P247="")),"Yes","No"))</f>
        <v/>
      </c>
      <c r="T247" s="36" t="str">
        <f aca="false">IF(OR(O247="",J247="",K247="",J247=K247),"",ROUND(IF(G247="Long",(O247-J247)/(J247-K247),(J247-O247)/(K247-J247)),2))</f>
        <v/>
      </c>
      <c r="U247" s="36" t="str">
        <f aca="false">IF(OR(R247="",T247=""),"",IF(T247&gt;=2,2,IF(N247="Target",-1,R247)))</f>
        <v/>
      </c>
      <c r="V247" s="36" t="str">
        <f aca="false">IF(OR(R247="",T247=""),"",IF(T247&gt;=3,3,IF(N247="Target",-1,R247)))</f>
        <v/>
      </c>
      <c r="W247" s="42" t="str">
        <f aca="false">IF(R247="","",ROUND(R247*(Inputs!$F$9+SUM(W$6:W246))*Inputs!$F$10,2))</f>
        <v/>
      </c>
      <c r="X247" s="42" t="str">
        <f aca="false">IF(R247="","",Inputs!$F$9+SUM(W$7:W247))</f>
        <v/>
      </c>
      <c r="Y247" s="43" t="str">
        <f aca="false">IF(S247="Yes",R247,"")</f>
        <v/>
      </c>
      <c r="Z247" s="43" t="str">
        <f aca="false">IF(Y247="","",SUM(Y$7:Y247))</f>
        <v/>
      </c>
      <c r="AA247" s="43" t="str">
        <f aca="false">IF(Y247="","",MAX(0,MAX(Z$7:Z247)))</f>
        <v/>
      </c>
      <c r="AB247" s="43" t="str">
        <f aca="false">IF(Y247="","",Z247-AA247)</f>
        <v/>
      </c>
    </row>
    <row r="248" customFormat="false" ht="15" hidden="false" customHeight="false" outlineLevel="0" collapsed="false">
      <c r="B248" s="38"/>
      <c r="C248" s="39" t="str">
        <f aca="false">IF(B248="","",INT((B248-Inputs!$F$8)/7)+1)</f>
        <v/>
      </c>
      <c r="D248" s="39" t="str">
        <f aca="false">IF(B248="","",COUNTIF(B$7:B248,B248))</f>
        <v/>
      </c>
      <c r="E248" s="34"/>
      <c r="F248" s="34"/>
      <c r="G248" s="34"/>
      <c r="H248" s="34"/>
      <c r="I248" s="34"/>
      <c r="J248" s="35"/>
      <c r="K248" s="35"/>
      <c r="L248" s="40" t="str">
        <f aca="false">IF(OR(J248="",K248=""),"",IF(G248="Long",J248+Inputs!$F$15*(J248-K248),J248-Inputs!$F$15*(K248-J248)))</f>
        <v/>
      </c>
      <c r="M248" s="35"/>
      <c r="N248" s="34"/>
      <c r="O248" s="35"/>
      <c r="P248" s="34"/>
      <c r="Q248" s="41"/>
      <c r="R248" s="36" t="str">
        <f aca="false">IF(OR(M248="",J248="",K248="",J248=K248),"",ROUND(IF(G248="Long",(M248-J248)/(J248-K248),(J248-M248)/(K248-J248)),2))</f>
        <v/>
      </c>
      <c r="S248" s="39" t="str">
        <f aca="false">IF(B248="","",IF(AND(I248="Y",OR(P248="None",P248="")),"Yes","No"))</f>
        <v/>
      </c>
      <c r="T248" s="36" t="str">
        <f aca="false">IF(OR(O248="",J248="",K248="",J248=K248),"",ROUND(IF(G248="Long",(O248-J248)/(J248-K248),(J248-O248)/(K248-J248)),2))</f>
        <v/>
      </c>
      <c r="U248" s="36" t="str">
        <f aca="false">IF(OR(R248="",T248=""),"",IF(T248&gt;=2,2,IF(N248="Target",-1,R248)))</f>
        <v/>
      </c>
      <c r="V248" s="36" t="str">
        <f aca="false">IF(OR(R248="",T248=""),"",IF(T248&gt;=3,3,IF(N248="Target",-1,R248)))</f>
        <v/>
      </c>
      <c r="W248" s="42" t="str">
        <f aca="false">IF(R248="","",ROUND(R248*(Inputs!$F$9+SUM(W$6:W247))*Inputs!$F$10,2))</f>
        <v/>
      </c>
      <c r="X248" s="42" t="str">
        <f aca="false">IF(R248="","",Inputs!$F$9+SUM(W$7:W248))</f>
        <v/>
      </c>
      <c r="Y248" s="43" t="str">
        <f aca="false">IF(S248="Yes",R248,"")</f>
        <v/>
      </c>
      <c r="Z248" s="43" t="str">
        <f aca="false">IF(Y248="","",SUM(Y$7:Y248))</f>
        <v/>
      </c>
      <c r="AA248" s="43" t="str">
        <f aca="false">IF(Y248="","",MAX(0,MAX(Z$7:Z248)))</f>
        <v/>
      </c>
      <c r="AB248" s="43" t="str">
        <f aca="false">IF(Y248="","",Z248-AA248)</f>
        <v/>
      </c>
    </row>
    <row r="249" customFormat="false" ht="15" hidden="false" customHeight="false" outlineLevel="0" collapsed="false">
      <c r="B249" s="38"/>
      <c r="C249" s="39" t="str">
        <f aca="false">IF(B249="","",INT((B249-Inputs!$F$8)/7)+1)</f>
        <v/>
      </c>
      <c r="D249" s="39" t="str">
        <f aca="false">IF(B249="","",COUNTIF(B$7:B249,B249))</f>
        <v/>
      </c>
      <c r="E249" s="34"/>
      <c r="F249" s="34"/>
      <c r="G249" s="34"/>
      <c r="H249" s="34"/>
      <c r="I249" s="34"/>
      <c r="J249" s="35"/>
      <c r="K249" s="35"/>
      <c r="L249" s="40" t="str">
        <f aca="false">IF(OR(J249="",K249=""),"",IF(G249="Long",J249+Inputs!$F$15*(J249-K249),J249-Inputs!$F$15*(K249-J249)))</f>
        <v/>
      </c>
      <c r="M249" s="35"/>
      <c r="N249" s="34"/>
      <c r="O249" s="35"/>
      <c r="P249" s="34"/>
      <c r="Q249" s="41"/>
      <c r="R249" s="36" t="str">
        <f aca="false">IF(OR(M249="",J249="",K249="",J249=K249),"",ROUND(IF(G249="Long",(M249-J249)/(J249-K249),(J249-M249)/(K249-J249)),2))</f>
        <v/>
      </c>
      <c r="S249" s="39" t="str">
        <f aca="false">IF(B249="","",IF(AND(I249="Y",OR(P249="None",P249="")),"Yes","No"))</f>
        <v/>
      </c>
      <c r="T249" s="36" t="str">
        <f aca="false">IF(OR(O249="",J249="",K249="",J249=K249),"",ROUND(IF(G249="Long",(O249-J249)/(J249-K249),(J249-O249)/(K249-J249)),2))</f>
        <v/>
      </c>
      <c r="U249" s="36" t="str">
        <f aca="false">IF(OR(R249="",T249=""),"",IF(T249&gt;=2,2,IF(N249="Target",-1,R249)))</f>
        <v/>
      </c>
      <c r="V249" s="36" t="str">
        <f aca="false">IF(OR(R249="",T249=""),"",IF(T249&gt;=3,3,IF(N249="Target",-1,R249)))</f>
        <v/>
      </c>
      <c r="W249" s="42" t="str">
        <f aca="false">IF(R249="","",ROUND(R249*(Inputs!$F$9+SUM(W$6:W248))*Inputs!$F$10,2))</f>
        <v/>
      </c>
      <c r="X249" s="42" t="str">
        <f aca="false">IF(R249="","",Inputs!$F$9+SUM(W$7:W249))</f>
        <v/>
      </c>
      <c r="Y249" s="43" t="str">
        <f aca="false">IF(S249="Yes",R249,"")</f>
        <v/>
      </c>
      <c r="Z249" s="43" t="str">
        <f aca="false">IF(Y249="","",SUM(Y$7:Y249))</f>
        <v/>
      </c>
      <c r="AA249" s="43" t="str">
        <f aca="false">IF(Y249="","",MAX(0,MAX(Z$7:Z249)))</f>
        <v/>
      </c>
      <c r="AB249" s="43" t="str">
        <f aca="false">IF(Y249="","",Z249-AA249)</f>
        <v/>
      </c>
    </row>
    <row r="250" customFormat="false" ht="15" hidden="false" customHeight="false" outlineLevel="0" collapsed="false">
      <c r="B250" s="38"/>
      <c r="C250" s="39" t="str">
        <f aca="false">IF(B250="","",INT((B250-Inputs!$F$8)/7)+1)</f>
        <v/>
      </c>
      <c r="D250" s="39" t="str">
        <f aca="false">IF(B250="","",COUNTIF(B$7:B250,B250))</f>
        <v/>
      </c>
      <c r="E250" s="34"/>
      <c r="F250" s="34"/>
      <c r="G250" s="34"/>
      <c r="H250" s="34"/>
      <c r="I250" s="34"/>
      <c r="J250" s="35"/>
      <c r="K250" s="35"/>
      <c r="L250" s="40" t="str">
        <f aca="false">IF(OR(J250="",K250=""),"",IF(G250="Long",J250+Inputs!$F$15*(J250-K250),J250-Inputs!$F$15*(K250-J250)))</f>
        <v/>
      </c>
      <c r="M250" s="35"/>
      <c r="N250" s="34"/>
      <c r="O250" s="35"/>
      <c r="P250" s="34"/>
      <c r="Q250" s="41"/>
      <c r="R250" s="36" t="str">
        <f aca="false">IF(OR(M250="",J250="",K250="",J250=K250),"",ROUND(IF(G250="Long",(M250-J250)/(J250-K250),(J250-M250)/(K250-J250)),2))</f>
        <v/>
      </c>
      <c r="S250" s="39" t="str">
        <f aca="false">IF(B250="","",IF(AND(I250="Y",OR(P250="None",P250="")),"Yes","No"))</f>
        <v/>
      </c>
      <c r="T250" s="36" t="str">
        <f aca="false">IF(OR(O250="",J250="",K250="",J250=K250),"",ROUND(IF(G250="Long",(O250-J250)/(J250-K250),(J250-O250)/(K250-J250)),2))</f>
        <v/>
      </c>
      <c r="U250" s="36" t="str">
        <f aca="false">IF(OR(R250="",T250=""),"",IF(T250&gt;=2,2,IF(N250="Target",-1,R250)))</f>
        <v/>
      </c>
      <c r="V250" s="36" t="str">
        <f aca="false">IF(OR(R250="",T250=""),"",IF(T250&gt;=3,3,IF(N250="Target",-1,R250)))</f>
        <v/>
      </c>
      <c r="W250" s="42" t="str">
        <f aca="false">IF(R250="","",ROUND(R250*(Inputs!$F$9+SUM(W$6:W249))*Inputs!$F$10,2))</f>
        <v/>
      </c>
      <c r="X250" s="42" t="str">
        <f aca="false">IF(R250="","",Inputs!$F$9+SUM(W$7:W250))</f>
        <v/>
      </c>
      <c r="Y250" s="43" t="str">
        <f aca="false">IF(S250="Yes",R250,"")</f>
        <v/>
      </c>
      <c r="Z250" s="43" t="str">
        <f aca="false">IF(Y250="","",SUM(Y$7:Y250))</f>
        <v/>
      </c>
      <c r="AA250" s="43" t="str">
        <f aca="false">IF(Y250="","",MAX(0,MAX(Z$7:Z250)))</f>
        <v/>
      </c>
      <c r="AB250" s="43" t="str">
        <f aca="false">IF(Y250="","",Z250-AA250)</f>
        <v/>
      </c>
    </row>
    <row r="251" customFormat="false" ht="15" hidden="false" customHeight="false" outlineLevel="0" collapsed="false">
      <c r="B251" s="38"/>
      <c r="C251" s="39" t="str">
        <f aca="false">IF(B251="","",INT((B251-Inputs!$F$8)/7)+1)</f>
        <v/>
      </c>
      <c r="D251" s="39" t="str">
        <f aca="false">IF(B251="","",COUNTIF(B$7:B251,B251))</f>
        <v/>
      </c>
      <c r="E251" s="34"/>
      <c r="F251" s="34"/>
      <c r="G251" s="34"/>
      <c r="H251" s="34"/>
      <c r="I251" s="34"/>
      <c r="J251" s="35"/>
      <c r="K251" s="35"/>
      <c r="L251" s="40" t="str">
        <f aca="false">IF(OR(J251="",K251=""),"",IF(G251="Long",J251+Inputs!$F$15*(J251-K251),J251-Inputs!$F$15*(K251-J251)))</f>
        <v/>
      </c>
      <c r="M251" s="35"/>
      <c r="N251" s="34"/>
      <c r="O251" s="35"/>
      <c r="P251" s="34"/>
      <c r="Q251" s="41"/>
      <c r="R251" s="36" t="str">
        <f aca="false">IF(OR(M251="",J251="",K251="",J251=K251),"",ROUND(IF(G251="Long",(M251-J251)/(J251-K251),(J251-M251)/(K251-J251)),2))</f>
        <v/>
      </c>
      <c r="S251" s="39" t="str">
        <f aca="false">IF(B251="","",IF(AND(I251="Y",OR(P251="None",P251="")),"Yes","No"))</f>
        <v/>
      </c>
      <c r="T251" s="36" t="str">
        <f aca="false">IF(OR(O251="",J251="",K251="",J251=K251),"",ROUND(IF(G251="Long",(O251-J251)/(J251-K251),(J251-O251)/(K251-J251)),2))</f>
        <v/>
      </c>
      <c r="U251" s="36" t="str">
        <f aca="false">IF(OR(R251="",T251=""),"",IF(T251&gt;=2,2,IF(N251="Target",-1,R251)))</f>
        <v/>
      </c>
      <c r="V251" s="36" t="str">
        <f aca="false">IF(OR(R251="",T251=""),"",IF(T251&gt;=3,3,IF(N251="Target",-1,R251)))</f>
        <v/>
      </c>
      <c r="W251" s="42" t="str">
        <f aca="false">IF(R251="","",ROUND(R251*(Inputs!$F$9+SUM(W$6:W250))*Inputs!$F$10,2))</f>
        <v/>
      </c>
      <c r="X251" s="42" t="str">
        <f aca="false">IF(R251="","",Inputs!$F$9+SUM(W$7:W251))</f>
        <v/>
      </c>
      <c r="Y251" s="43" t="str">
        <f aca="false">IF(S251="Yes",R251,"")</f>
        <v/>
      </c>
      <c r="Z251" s="43" t="str">
        <f aca="false">IF(Y251="","",SUM(Y$7:Y251))</f>
        <v/>
      </c>
      <c r="AA251" s="43" t="str">
        <f aca="false">IF(Y251="","",MAX(0,MAX(Z$7:Z251)))</f>
        <v/>
      </c>
      <c r="AB251" s="43" t="str">
        <f aca="false">IF(Y251="","",Z251-AA251)</f>
        <v/>
      </c>
    </row>
    <row r="252" customFormat="false" ht="15" hidden="false" customHeight="false" outlineLevel="0" collapsed="false">
      <c r="B252" s="38"/>
      <c r="C252" s="39" t="str">
        <f aca="false">IF(B252="","",INT((B252-Inputs!$F$8)/7)+1)</f>
        <v/>
      </c>
      <c r="D252" s="39" t="str">
        <f aca="false">IF(B252="","",COUNTIF(B$7:B252,B252))</f>
        <v/>
      </c>
      <c r="E252" s="34"/>
      <c r="F252" s="34"/>
      <c r="G252" s="34"/>
      <c r="H252" s="34"/>
      <c r="I252" s="34"/>
      <c r="J252" s="35"/>
      <c r="K252" s="35"/>
      <c r="L252" s="40" t="str">
        <f aca="false">IF(OR(J252="",K252=""),"",IF(G252="Long",J252+Inputs!$F$15*(J252-K252),J252-Inputs!$F$15*(K252-J252)))</f>
        <v/>
      </c>
      <c r="M252" s="35"/>
      <c r="N252" s="34"/>
      <c r="O252" s="35"/>
      <c r="P252" s="34"/>
      <c r="Q252" s="41"/>
      <c r="R252" s="36" t="str">
        <f aca="false">IF(OR(M252="",J252="",K252="",J252=K252),"",ROUND(IF(G252="Long",(M252-J252)/(J252-K252),(J252-M252)/(K252-J252)),2))</f>
        <v/>
      </c>
      <c r="S252" s="39" t="str">
        <f aca="false">IF(B252="","",IF(AND(I252="Y",OR(P252="None",P252="")),"Yes","No"))</f>
        <v/>
      </c>
      <c r="T252" s="36" t="str">
        <f aca="false">IF(OR(O252="",J252="",K252="",J252=K252),"",ROUND(IF(G252="Long",(O252-J252)/(J252-K252),(J252-O252)/(K252-J252)),2))</f>
        <v/>
      </c>
      <c r="U252" s="36" t="str">
        <f aca="false">IF(OR(R252="",T252=""),"",IF(T252&gt;=2,2,IF(N252="Target",-1,R252)))</f>
        <v/>
      </c>
      <c r="V252" s="36" t="str">
        <f aca="false">IF(OR(R252="",T252=""),"",IF(T252&gt;=3,3,IF(N252="Target",-1,R252)))</f>
        <v/>
      </c>
      <c r="W252" s="42" t="str">
        <f aca="false">IF(R252="","",ROUND(R252*(Inputs!$F$9+SUM(W$6:W251))*Inputs!$F$10,2))</f>
        <v/>
      </c>
      <c r="X252" s="42" t="str">
        <f aca="false">IF(R252="","",Inputs!$F$9+SUM(W$7:W252))</f>
        <v/>
      </c>
      <c r="Y252" s="43" t="str">
        <f aca="false">IF(S252="Yes",R252,"")</f>
        <v/>
      </c>
      <c r="Z252" s="43" t="str">
        <f aca="false">IF(Y252="","",SUM(Y$7:Y252))</f>
        <v/>
      </c>
      <c r="AA252" s="43" t="str">
        <f aca="false">IF(Y252="","",MAX(0,MAX(Z$7:Z252)))</f>
        <v/>
      </c>
      <c r="AB252" s="43" t="str">
        <f aca="false">IF(Y252="","",Z252-AA252)</f>
        <v/>
      </c>
    </row>
    <row r="253" customFormat="false" ht="15" hidden="false" customHeight="false" outlineLevel="0" collapsed="false">
      <c r="B253" s="38"/>
      <c r="C253" s="39" t="str">
        <f aca="false">IF(B253="","",INT((B253-Inputs!$F$8)/7)+1)</f>
        <v/>
      </c>
      <c r="D253" s="39" t="str">
        <f aca="false">IF(B253="","",COUNTIF(B$7:B253,B253))</f>
        <v/>
      </c>
      <c r="E253" s="34"/>
      <c r="F253" s="34"/>
      <c r="G253" s="34"/>
      <c r="H253" s="34"/>
      <c r="I253" s="34"/>
      <c r="J253" s="35"/>
      <c r="K253" s="35"/>
      <c r="L253" s="40" t="str">
        <f aca="false">IF(OR(J253="",K253=""),"",IF(G253="Long",J253+Inputs!$F$15*(J253-K253),J253-Inputs!$F$15*(K253-J253)))</f>
        <v/>
      </c>
      <c r="M253" s="35"/>
      <c r="N253" s="34"/>
      <c r="O253" s="35"/>
      <c r="P253" s="34"/>
      <c r="Q253" s="41"/>
      <c r="R253" s="36" t="str">
        <f aca="false">IF(OR(M253="",J253="",K253="",J253=K253),"",ROUND(IF(G253="Long",(M253-J253)/(J253-K253),(J253-M253)/(K253-J253)),2))</f>
        <v/>
      </c>
      <c r="S253" s="39" t="str">
        <f aca="false">IF(B253="","",IF(AND(I253="Y",OR(P253="None",P253="")),"Yes","No"))</f>
        <v/>
      </c>
      <c r="T253" s="36" t="str">
        <f aca="false">IF(OR(O253="",J253="",K253="",J253=K253),"",ROUND(IF(G253="Long",(O253-J253)/(J253-K253),(J253-O253)/(K253-J253)),2))</f>
        <v/>
      </c>
      <c r="U253" s="36" t="str">
        <f aca="false">IF(OR(R253="",T253=""),"",IF(T253&gt;=2,2,IF(N253="Target",-1,R253)))</f>
        <v/>
      </c>
      <c r="V253" s="36" t="str">
        <f aca="false">IF(OR(R253="",T253=""),"",IF(T253&gt;=3,3,IF(N253="Target",-1,R253)))</f>
        <v/>
      </c>
      <c r="W253" s="42" t="str">
        <f aca="false">IF(R253="","",ROUND(R253*(Inputs!$F$9+SUM(W$6:W252))*Inputs!$F$10,2))</f>
        <v/>
      </c>
      <c r="X253" s="42" t="str">
        <f aca="false">IF(R253="","",Inputs!$F$9+SUM(W$7:W253))</f>
        <v/>
      </c>
      <c r="Y253" s="43" t="str">
        <f aca="false">IF(S253="Yes",R253,"")</f>
        <v/>
      </c>
      <c r="Z253" s="43" t="str">
        <f aca="false">IF(Y253="","",SUM(Y$7:Y253))</f>
        <v/>
      </c>
      <c r="AA253" s="43" t="str">
        <f aca="false">IF(Y253="","",MAX(0,MAX(Z$7:Z253)))</f>
        <v/>
      </c>
      <c r="AB253" s="43" t="str">
        <f aca="false">IF(Y253="","",Z253-AA253)</f>
        <v/>
      </c>
    </row>
    <row r="254" customFormat="false" ht="15" hidden="false" customHeight="false" outlineLevel="0" collapsed="false">
      <c r="B254" s="38"/>
      <c r="C254" s="39" t="str">
        <f aca="false">IF(B254="","",INT((B254-Inputs!$F$8)/7)+1)</f>
        <v/>
      </c>
      <c r="D254" s="39" t="str">
        <f aca="false">IF(B254="","",COUNTIF(B$7:B254,B254))</f>
        <v/>
      </c>
      <c r="E254" s="34"/>
      <c r="F254" s="34"/>
      <c r="G254" s="34"/>
      <c r="H254" s="34"/>
      <c r="I254" s="34"/>
      <c r="J254" s="35"/>
      <c r="K254" s="35"/>
      <c r="L254" s="40" t="str">
        <f aca="false">IF(OR(J254="",K254=""),"",IF(G254="Long",J254+Inputs!$F$15*(J254-K254),J254-Inputs!$F$15*(K254-J254)))</f>
        <v/>
      </c>
      <c r="M254" s="35"/>
      <c r="N254" s="34"/>
      <c r="O254" s="35"/>
      <c r="P254" s="34"/>
      <c r="Q254" s="41"/>
      <c r="R254" s="36" t="str">
        <f aca="false">IF(OR(M254="",J254="",K254="",J254=K254),"",ROUND(IF(G254="Long",(M254-J254)/(J254-K254),(J254-M254)/(K254-J254)),2))</f>
        <v/>
      </c>
      <c r="S254" s="39" t="str">
        <f aca="false">IF(B254="","",IF(AND(I254="Y",OR(P254="None",P254="")),"Yes","No"))</f>
        <v/>
      </c>
      <c r="T254" s="36" t="str">
        <f aca="false">IF(OR(O254="",J254="",K254="",J254=K254),"",ROUND(IF(G254="Long",(O254-J254)/(J254-K254),(J254-O254)/(K254-J254)),2))</f>
        <v/>
      </c>
      <c r="U254" s="36" t="str">
        <f aca="false">IF(OR(R254="",T254=""),"",IF(T254&gt;=2,2,IF(N254="Target",-1,R254)))</f>
        <v/>
      </c>
      <c r="V254" s="36" t="str">
        <f aca="false">IF(OR(R254="",T254=""),"",IF(T254&gt;=3,3,IF(N254="Target",-1,R254)))</f>
        <v/>
      </c>
      <c r="W254" s="42" t="str">
        <f aca="false">IF(R254="","",ROUND(R254*(Inputs!$F$9+SUM(W$6:W253))*Inputs!$F$10,2))</f>
        <v/>
      </c>
      <c r="X254" s="42" t="str">
        <f aca="false">IF(R254="","",Inputs!$F$9+SUM(W$7:W254))</f>
        <v/>
      </c>
      <c r="Y254" s="43" t="str">
        <f aca="false">IF(S254="Yes",R254,"")</f>
        <v/>
      </c>
      <c r="Z254" s="43" t="str">
        <f aca="false">IF(Y254="","",SUM(Y$7:Y254))</f>
        <v/>
      </c>
      <c r="AA254" s="43" t="str">
        <f aca="false">IF(Y254="","",MAX(0,MAX(Z$7:Z254)))</f>
        <v/>
      </c>
      <c r="AB254" s="43" t="str">
        <f aca="false">IF(Y254="","",Z254-AA254)</f>
        <v/>
      </c>
    </row>
    <row r="255" customFormat="false" ht="15" hidden="false" customHeight="false" outlineLevel="0" collapsed="false">
      <c r="B255" s="38"/>
      <c r="C255" s="39" t="str">
        <f aca="false">IF(B255="","",INT((B255-Inputs!$F$8)/7)+1)</f>
        <v/>
      </c>
      <c r="D255" s="39" t="str">
        <f aca="false">IF(B255="","",COUNTIF(B$7:B255,B255))</f>
        <v/>
      </c>
      <c r="E255" s="34"/>
      <c r="F255" s="34"/>
      <c r="G255" s="34"/>
      <c r="H255" s="34"/>
      <c r="I255" s="34"/>
      <c r="J255" s="35"/>
      <c r="K255" s="35"/>
      <c r="L255" s="40" t="str">
        <f aca="false">IF(OR(J255="",K255=""),"",IF(G255="Long",J255+Inputs!$F$15*(J255-K255),J255-Inputs!$F$15*(K255-J255)))</f>
        <v/>
      </c>
      <c r="M255" s="35"/>
      <c r="N255" s="34"/>
      <c r="O255" s="35"/>
      <c r="P255" s="34"/>
      <c r="Q255" s="41"/>
      <c r="R255" s="36" t="str">
        <f aca="false">IF(OR(M255="",J255="",K255="",J255=K255),"",ROUND(IF(G255="Long",(M255-J255)/(J255-K255),(J255-M255)/(K255-J255)),2))</f>
        <v/>
      </c>
      <c r="S255" s="39" t="str">
        <f aca="false">IF(B255="","",IF(AND(I255="Y",OR(P255="None",P255="")),"Yes","No"))</f>
        <v/>
      </c>
      <c r="T255" s="36" t="str">
        <f aca="false">IF(OR(O255="",J255="",K255="",J255=K255),"",ROUND(IF(G255="Long",(O255-J255)/(J255-K255),(J255-O255)/(K255-J255)),2))</f>
        <v/>
      </c>
      <c r="U255" s="36" t="str">
        <f aca="false">IF(OR(R255="",T255=""),"",IF(T255&gt;=2,2,IF(N255="Target",-1,R255)))</f>
        <v/>
      </c>
      <c r="V255" s="36" t="str">
        <f aca="false">IF(OR(R255="",T255=""),"",IF(T255&gt;=3,3,IF(N255="Target",-1,R255)))</f>
        <v/>
      </c>
      <c r="W255" s="42" t="str">
        <f aca="false">IF(R255="","",ROUND(R255*(Inputs!$F$9+SUM(W$6:W254))*Inputs!$F$10,2))</f>
        <v/>
      </c>
      <c r="X255" s="42" t="str">
        <f aca="false">IF(R255="","",Inputs!$F$9+SUM(W$7:W255))</f>
        <v/>
      </c>
      <c r="Y255" s="43" t="str">
        <f aca="false">IF(S255="Yes",R255,"")</f>
        <v/>
      </c>
      <c r="Z255" s="43" t="str">
        <f aca="false">IF(Y255="","",SUM(Y$7:Y255))</f>
        <v/>
      </c>
      <c r="AA255" s="43" t="str">
        <f aca="false">IF(Y255="","",MAX(0,MAX(Z$7:Z255)))</f>
        <v/>
      </c>
      <c r="AB255" s="43" t="str">
        <f aca="false">IF(Y255="","",Z255-AA255)</f>
        <v/>
      </c>
    </row>
    <row r="256" customFormat="false" ht="15" hidden="false" customHeight="false" outlineLevel="0" collapsed="false">
      <c r="B256" s="38"/>
      <c r="C256" s="39" t="str">
        <f aca="false">IF(B256="","",INT((B256-Inputs!$F$8)/7)+1)</f>
        <v/>
      </c>
      <c r="D256" s="39" t="str">
        <f aca="false">IF(B256="","",COUNTIF(B$7:B256,B256))</f>
        <v/>
      </c>
      <c r="E256" s="34"/>
      <c r="F256" s="34"/>
      <c r="G256" s="34"/>
      <c r="H256" s="34"/>
      <c r="I256" s="34"/>
      <c r="J256" s="35"/>
      <c r="K256" s="35"/>
      <c r="L256" s="40" t="str">
        <f aca="false">IF(OR(J256="",K256=""),"",IF(G256="Long",J256+Inputs!$F$15*(J256-K256),J256-Inputs!$F$15*(K256-J256)))</f>
        <v/>
      </c>
      <c r="M256" s="35"/>
      <c r="N256" s="34"/>
      <c r="O256" s="35"/>
      <c r="P256" s="34"/>
      <c r="Q256" s="41"/>
      <c r="R256" s="36" t="str">
        <f aca="false">IF(OR(M256="",J256="",K256="",J256=K256),"",ROUND(IF(G256="Long",(M256-J256)/(J256-K256),(J256-M256)/(K256-J256)),2))</f>
        <v/>
      </c>
      <c r="S256" s="39" t="str">
        <f aca="false">IF(B256="","",IF(AND(I256="Y",OR(P256="None",P256="")),"Yes","No"))</f>
        <v/>
      </c>
      <c r="T256" s="36" t="str">
        <f aca="false">IF(OR(O256="",J256="",K256="",J256=K256),"",ROUND(IF(G256="Long",(O256-J256)/(J256-K256),(J256-O256)/(K256-J256)),2))</f>
        <v/>
      </c>
      <c r="U256" s="36" t="str">
        <f aca="false">IF(OR(R256="",T256=""),"",IF(T256&gt;=2,2,IF(N256="Target",-1,R256)))</f>
        <v/>
      </c>
      <c r="V256" s="36" t="str">
        <f aca="false">IF(OR(R256="",T256=""),"",IF(T256&gt;=3,3,IF(N256="Target",-1,R256)))</f>
        <v/>
      </c>
      <c r="W256" s="42" t="str">
        <f aca="false">IF(R256="","",ROUND(R256*(Inputs!$F$9+SUM(W$6:W255))*Inputs!$F$10,2))</f>
        <v/>
      </c>
      <c r="X256" s="42" t="str">
        <f aca="false">IF(R256="","",Inputs!$F$9+SUM(W$7:W256))</f>
        <v/>
      </c>
      <c r="Y256" s="43" t="str">
        <f aca="false">IF(S256="Yes",R256,"")</f>
        <v/>
      </c>
      <c r="Z256" s="43" t="str">
        <f aca="false">IF(Y256="","",SUM(Y$7:Y256))</f>
        <v/>
      </c>
      <c r="AA256" s="43" t="str">
        <f aca="false">IF(Y256="","",MAX(0,MAX(Z$7:Z256)))</f>
        <v/>
      </c>
      <c r="AB256" s="43" t="str">
        <f aca="false">IF(Y256="","",Z256-AA256)</f>
        <v/>
      </c>
    </row>
    <row r="257" customFormat="false" ht="15" hidden="false" customHeight="false" outlineLevel="0" collapsed="false">
      <c r="B257" s="38"/>
      <c r="C257" s="39" t="str">
        <f aca="false">IF(B257="","",INT((B257-Inputs!$F$8)/7)+1)</f>
        <v/>
      </c>
      <c r="D257" s="39" t="str">
        <f aca="false">IF(B257="","",COUNTIF(B$7:B257,B257))</f>
        <v/>
      </c>
      <c r="E257" s="34"/>
      <c r="F257" s="34"/>
      <c r="G257" s="34"/>
      <c r="H257" s="34"/>
      <c r="I257" s="34"/>
      <c r="J257" s="35"/>
      <c r="K257" s="35"/>
      <c r="L257" s="40" t="str">
        <f aca="false">IF(OR(J257="",K257=""),"",IF(G257="Long",J257+Inputs!$F$15*(J257-K257),J257-Inputs!$F$15*(K257-J257)))</f>
        <v/>
      </c>
      <c r="M257" s="35"/>
      <c r="N257" s="34"/>
      <c r="O257" s="35"/>
      <c r="P257" s="34"/>
      <c r="Q257" s="41"/>
      <c r="R257" s="36" t="str">
        <f aca="false">IF(OR(M257="",J257="",K257="",J257=K257),"",ROUND(IF(G257="Long",(M257-J257)/(J257-K257),(J257-M257)/(K257-J257)),2))</f>
        <v/>
      </c>
      <c r="S257" s="39" t="str">
        <f aca="false">IF(B257="","",IF(AND(I257="Y",OR(P257="None",P257="")),"Yes","No"))</f>
        <v/>
      </c>
      <c r="T257" s="36" t="str">
        <f aca="false">IF(OR(O257="",J257="",K257="",J257=K257),"",ROUND(IF(G257="Long",(O257-J257)/(J257-K257),(J257-O257)/(K257-J257)),2))</f>
        <v/>
      </c>
      <c r="U257" s="36" t="str">
        <f aca="false">IF(OR(R257="",T257=""),"",IF(T257&gt;=2,2,IF(N257="Target",-1,R257)))</f>
        <v/>
      </c>
      <c r="V257" s="36" t="str">
        <f aca="false">IF(OR(R257="",T257=""),"",IF(T257&gt;=3,3,IF(N257="Target",-1,R257)))</f>
        <v/>
      </c>
      <c r="W257" s="42" t="str">
        <f aca="false">IF(R257="","",ROUND(R257*(Inputs!$F$9+SUM(W$6:W256))*Inputs!$F$10,2))</f>
        <v/>
      </c>
      <c r="X257" s="42" t="str">
        <f aca="false">IF(R257="","",Inputs!$F$9+SUM(W$7:W257))</f>
        <v/>
      </c>
      <c r="Y257" s="43" t="str">
        <f aca="false">IF(S257="Yes",R257,"")</f>
        <v/>
      </c>
      <c r="Z257" s="43" t="str">
        <f aca="false">IF(Y257="","",SUM(Y$7:Y257))</f>
        <v/>
      </c>
      <c r="AA257" s="43" t="str">
        <f aca="false">IF(Y257="","",MAX(0,MAX(Z$7:Z257)))</f>
        <v/>
      </c>
      <c r="AB257" s="43" t="str">
        <f aca="false">IF(Y257="","",Z257-AA257)</f>
        <v/>
      </c>
    </row>
    <row r="258" customFormat="false" ht="15" hidden="false" customHeight="false" outlineLevel="0" collapsed="false">
      <c r="B258" s="38"/>
      <c r="C258" s="39" t="str">
        <f aca="false">IF(B258="","",INT((B258-Inputs!$F$8)/7)+1)</f>
        <v/>
      </c>
      <c r="D258" s="39" t="str">
        <f aca="false">IF(B258="","",COUNTIF(B$7:B258,B258))</f>
        <v/>
      </c>
      <c r="E258" s="34"/>
      <c r="F258" s="34"/>
      <c r="G258" s="34"/>
      <c r="H258" s="34"/>
      <c r="I258" s="34"/>
      <c r="J258" s="35"/>
      <c r="K258" s="35"/>
      <c r="L258" s="40" t="str">
        <f aca="false">IF(OR(J258="",K258=""),"",IF(G258="Long",J258+Inputs!$F$15*(J258-K258),J258-Inputs!$F$15*(K258-J258)))</f>
        <v/>
      </c>
      <c r="M258" s="35"/>
      <c r="N258" s="34"/>
      <c r="O258" s="35"/>
      <c r="P258" s="34"/>
      <c r="Q258" s="41"/>
      <c r="R258" s="36" t="str">
        <f aca="false">IF(OR(M258="",J258="",K258="",J258=K258),"",ROUND(IF(G258="Long",(M258-J258)/(J258-K258),(J258-M258)/(K258-J258)),2))</f>
        <v/>
      </c>
      <c r="S258" s="39" t="str">
        <f aca="false">IF(B258="","",IF(AND(I258="Y",OR(P258="None",P258="")),"Yes","No"))</f>
        <v/>
      </c>
      <c r="T258" s="36" t="str">
        <f aca="false">IF(OR(O258="",J258="",K258="",J258=K258),"",ROUND(IF(G258="Long",(O258-J258)/(J258-K258),(J258-O258)/(K258-J258)),2))</f>
        <v/>
      </c>
      <c r="U258" s="36" t="str">
        <f aca="false">IF(OR(R258="",T258=""),"",IF(T258&gt;=2,2,IF(N258="Target",-1,R258)))</f>
        <v/>
      </c>
      <c r="V258" s="36" t="str">
        <f aca="false">IF(OR(R258="",T258=""),"",IF(T258&gt;=3,3,IF(N258="Target",-1,R258)))</f>
        <v/>
      </c>
      <c r="W258" s="42" t="str">
        <f aca="false">IF(R258="","",ROUND(R258*(Inputs!$F$9+SUM(W$6:W257))*Inputs!$F$10,2))</f>
        <v/>
      </c>
      <c r="X258" s="42" t="str">
        <f aca="false">IF(R258="","",Inputs!$F$9+SUM(W$7:W258))</f>
        <v/>
      </c>
      <c r="Y258" s="43" t="str">
        <f aca="false">IF(S258="Yes",R258,"")</f>
        <v/>
      </c>
      <c r="Z258" s="43" t="str">
        <f aca="false">IF(Y258="","",SUM(Y$7:Y258))</f>
        <v/>
      </c>
      <c r="AA258" s="43" t="str">
        <f aca="false">IF(Y258="","",MAX(0,MAX(Z$7:Z258)))</f>
        <v/>
      </c>
      <c r="AB258" s="43" t="str">
        <f aca="false">IF(Y258="","",Z258-AA258)</f>
        <v/>
      </c>
    </row>
    <row r="259" customFormat="false" ht="15" hidden="false" customHeight="false" outlineLevel="0" collapsed="false">
      <c r="B259" s="38"/>
      <c r="C259" s="39" t="str">
        <f aca="false">IF(B259="","",INT((B259-Inputs!$F$8)/7)+1)</f>
        <v/>
      </c>
      <c r="D259" s="39" t="str">
        <f aca="false">IF(B259="","",COUNTIF(B$7:B259,B259))</f>
        <v/>
      </c>
      <c r="E259" s="34"/>
      <c r="F259" s="34"/>
      <c r="G259" s="34"/>
      <c r="H259" s="34"/>
      <c r="I259" s="34"/>
      <c r="J259" s="35"/>
      <c r="K259" s="35"/>
      <c r="L259" s="40" t="str">
        <f aca="false">IF(OR(J259="",K259=""),"",IF(G259="Long",J259+Inputs!$F$15*(J259-K259),J259-Inputs!$F$15*(K259-J259)))</f>
        <v/>
      </c>
      <c r="M259" s="35"/>
      <c r="N259" s="34"/>
      <c r="O259" s="35"/>
      <c r="P259" s="34"/>
      <c r="Q259" s="41"/>
      <c r="R259" s="36" t="str">
        <f aca="false">IF(OR(M259="",J259="",K259="",J259=K259),"",ROUND(IF(G259="Long",(M259-J259)/(J259-K259),(J259-M259)/(K259-J259)),2))</f>
        <v/>
      </c>
      <c r="S259" s="39" t="str">
        <f aca="false">IF(B259="","",IF(AND(I259="Y",OR(P259="None",P259="")),"Yes","No"))</f>
        <v/>
      </c>
      <c r="T259" s="36" t="str">
        <f aca="false">IF(OR(O259="",J259="",K259="",J259=K259),"",ROUND(IF(G259="Long",(O259-J259)/(J259-K259),(J259-O259)/(K259-J259)),2))</f>
        <v/>
      </c>
      <c r="U259" s="36" t="str">
        <f aca="false">IF(OR(R259="",T259=""),"",IF(T259&gt;=2,2,IF(N259="Target",-1,R259)))</f>
        <v/>
      </c>
      <c r="V259" s="36" t="str">
        <f aca="false">IF(OR(R259="",T259=""),"",IF(T259&gt;=3,3,IF(N259="Target",-1,R259)))</f>
        <v/>
      </c>
      <c r="W259" s="42" t="str">
        <f aca="false">IF(R259="","",ROUND(R259*(Inputs!$F$9+SUM(W$6:W258))*Inputs!$F$10,2))</f>
        <v/>
      </c>
      <c r="X259" s="42" t="str">
        <f aca="false">IF(R259="","",Inputs!$F$9+SUM(W$7:W259))</f>
        <v/>
      </c>
      <c r="Y259" s="43" t="str">
        <f aca="false">IF(S259="Yes",R259,"")</f>
        <v/>
      </c>
      <c r="Z259" s="43" t="str">
        <f aca="false">IF(Y259="","",SUM(Y$7:Y259))</f>
        <v/>
      </c>
      <c r="AA259" s="43" t="str">
        <f aca="false">IF(Y259="","",MAX(0,MAX(Z$7:Z259)))</f>
        <v/>
      </c>
      <c r="AB259" s="43" t="str">
        <f aca="false">IF(Y259="","",Z259-AA259)</f>
        <v/>
      </c>
    </row>
    <row r="260" customFormat="false" ht="15" hidden="false" customHeight="false" outlineLevel="0" collapsed="false">
      <c r="B260" s="38"/>
      <c r="C260" s="39" t="str">
        <f aca="false">IF(B260="","",INT((B260-Inputs!$F$8)/7)+1)</f>
        <v/>
      </c>
      <c r="D260" s="39" t="str">
        <f aca="false">IF(B260="","",COUNTIF(B$7:B260,B260))</f>
        <v/>
      </c>
      <c r="E260" s="34"/>
      <c r="F260" s="34"/>
      <c r="G260" s="34"/>
      <c r="H260" s="34"/>
      <c r="I260" s="34"/>
      <c r="J260" s="35"/>
      <c r="K260" s="35"/>
      <c r="L260" s="40" t="str">
        <f aca="false">IF(OR(J260="",K260=""),"",IF(G260="Long",J260+Inputs!$F$15*(J260-K260),J260-Inputs!$F$15*(K260-J260)))</f>
        <v/>
      </c>
      <c r="M260" s="35"/>
      <c r="N260" s="34"/>
      <c r="O260" s="35"/>
      <c r="P260" s="34"/>
      <c r="Q260" s="41"/>
      <c r="R260" s="36" t="str">
        <f aca="false">IF(OR(M260="",J260="",K260="",J260=K260),"",ROUND(IF(G260="Long",(M260-J260)/(J260-K260),(J260-M260)/(K260-J260)),2))</f>
        <v/>
      </c>
      <c r="S260" s="39" t="str">
        <f aca="false">IF(B260="","",IF(AND(I260="Y",OR(P260="None",P260="")),"Yes","No"))</f>
        <v/>
      </c>
      <c r="T260" s="36" t="str">
        <f aca="false">IF(OR(O260="",J260="",K260="",J260=K260),"",ROUND(IF(G260="Long",(O260-J260)/(J260-K260),(J260-O260)/(K260-J260)),2))</f>
        <v/>
      </c>
      <c r="U260" s="36" t="str">
        <f aca="false">IF(OR(R260="",T260=""),"",IF(T260&gt;=2,2,IF(N260="Target",-1,R260)))</f>
        <v/>
      </c>
      <c r="V260" s="36" t="str">
        <f aca="false">IF(OR(R260="",T260=""),"",IF(T260&gt;=3,3,IF(N260="Target",-1,R260)))</f>
        <v/>
      </c>
      <c r="W260" s="42" t="str">
        <f aca="false">IF(R260="","",ROUND(R260*(Inputs!$F$9+SUM(W$6:W259))*Inputs!$F$10,2))</f>
        <v/>
      </c>
      <c r="X260" s="42" t="str">
        <f aca="false">IF(R260="","",Inputs!$F$9+SUM(W$7:W260))</f>
        <v/>
      </c>
      <c r="Y260" s="43" t="str">
        <f aca="false">IF(S260="Yes",R260,"")</f>
        <v/>
      </c>
      <c r="Z260" s="43" t="str">
        <f aca="false">IF(Y260="","",SUM(Y$7:Y260))</f>
        <v/>
      </c>
      <c r="AA260" s="43" t="str">
        <f aca="false">IF(Y260="","",MAX(0,MAX(Z$7:Z260)))</f>
        <v/>
      </c>
      <c r="AB260" s="43" t="str">
        <f aca="false">IF(Y260="","",Z260-AA260)</f>
        <v/>
      </c>
    </row>
    <row r="261" customFormat="false" ht="15" hidden="false" customHeight="false" outlineLevel="0" collapsed="false">
      <c r="B261" s="38"/>
      <c r="C261" s="39" t="str">
        <f aca="false">IF(B261="","",INT((B261-Inputs!$F$8)/7)+1)</f>
        <v/>
      </c>
      <c r="D261" s="39" t="str">
        <f aca="false">IF(B261="","",COUNTIF(B$7:B261,B261))</f>
        <v/>
      </c>
      <c r="E261" s="34"/>
      <c r="F261" s="34"/>
      <c r="G261" s="34"/>
      <c r="H261" s="34"/>
      <c r="I261" s="34"/>
      <c r="J261" s="35"/>
      <c r="K261" s="35"/>
      <c r="L261" s="40" t="str">
        <f aca="false">IF(OR(J261="",K261=""),"",IF(G261="Long",J261+Inputs!$F$15*(J261-K261),J261-Inputs!$F$15*(K261-J261)))</f>
        <v/>
      </c>
      <c r="M261" s="35"/>
      <c r="N261" s="34"/>
      <c r="O261" s="35"/>
      <c r="P261" s="34"/>
      <c r="Q261" s="41"/>
      <c r="R261" s="36" t="str">
        <f aca="false">IF(OR(M261="",J261="",K261="",J261=K261),"",ROUND(IF(G261="Long",(M261-J261)/(J261-K261),(J261-M261)/(K261-J261)),2))</f>
        <v/>
      </c>
      <c r="S261" s="39" t="str">
        <f aca="false">IF(B261="","",IF(AND(I261="Y",OR(P261="None",P261="")),"Yes","No"))</f>
        <v/>
      </c>
      <c r="T261" s="36" t="str">
        <f aca="false">IF(OR(O261="",J261="",K261="",J261=K261),"",ROUND(IF(G261="Long",(O261-J261)/(J261-K261),(J261-O261)/(K261-J261)),2))</f>
        <v/>
      </c>
      <c r="U261" s="36" t="str">
        <f aca="false">IF(OR(R261="",T261=""),"",IF(T261&gt;=2,2,IF(N261="Target",-1,R261)))</f>
        <v/>
      </c>
      <c r="V261" s="36" t="str">
        <f aca="false">IF(OR(R261="",T261=""),"",IF(T261&gt;=3,3,IF(N261="Target",-1,R261)))</f>
        <v/>
      </c>
      <c r="W261" s="42" t="str">
        <f aca="false">IF(R261="","",ROUND(R261*(Inputs!$F$9+SUM(W$6:W260))*Inputs!$F$10,2))</f>
        <v/>
      </c>
      <c r="X261" s="42" t="str">
        <f aca="false">IF(R261="","",Inputs!$F$9+SUM(W$7:W261))</f>
        <v/>
      </c>
      <c r="Y261" s="43" t="str">
        <f aca="false">IF(S261="Yes",R261,"")</f>
        <v/>
      </c>
      <c r="Z261" s="43" t="str">
        <f aca="false">IF(Y261="","",SUM(Y$7:Y261))</f>
        <v/>
      </c>
      <c r="AA261" s="43" t="str">
        <f aca="false">IF(Y261="","",MAX(0,MAX(Z$7:Z261)))</f>
        <v/>
      </c>
      <c r="AB261" s="43" t="str">
        <f aca="false">IF(Y261="","",Z261-AA261)</f>
        <v/>
      </c>
    </row>
    <row r="262" customFormat="false" ht="15" hidden="false" customHeight="false" outlineLevel="0" collapsed="false">
      <c r="B262" s="38"/>
      <c r="C262" s="39" t="str">
        <f aca="false">IF(B262="","",INT((B262-Inputs!$F$8)/7)+1)</f>
        <v/>
      </c>
      <c r="D262" s="39" t="str">
        <f aca="false">IF(B262="","",COUNTIF(B$7:B262,B262))</f>
        <v/>
      </c>
      <c r="E262" s="34"/>
      <c r="F262" s="34"/>
      <c r="G262" s="34"/>
      <c r="H262" s="34"/>
      <c r="I262" s="34"/>
      <c r="J262" s="35"/>
      <c r="K262" s="35"/>
      <c r="L262" s="40" t="str">
        <f aca="false">IF(OR(J262="",K262=""),"",IF(G262="Long",J262+Inputs!$F$15*(J262-K262),J262-Inputs!$F$15*(K262-J262)))</f>
        <v/>
      </c>
      <c r="M262" s="35"/>
      <c r="N262" s="34"/>
      <c r="O262" s="35"/>
      <c r="P262" s="34"/>
      <c r="Q262" s="41"/>
      <c r="R262" s="36" t="str">
        <f aca="false">IF(OR(M262="",J262="",K262="",J262=K262),"",ROUND(IF(G262="Long",(M262-J262)/(J262-K262),(J262-M262)/(K262-J262)),2))</f>
        <v/>
      </c>
      <c r="S262" s="39" t="str">
        <f aca="false">IF(B262="","",IF(AND(I262="Y",OR(P262="None",P262="")),"Yes","No"))</f>
        <v/>
      </c>
      <c r="T262" s="36" t="str">
        <f aca="false">IF(OR(O262="",J262="",K262="",J262=K262),"",ROUND(IF(G262="Long",(O262-J262)/(J262-K262),(J262-O262)/(K262-J262)),2))</f>
        <v/>
      </c>
      <c r="U262" s="36" t="str">
        <f aca="false">IF(OR(R262="",T262=""),"",IF(T262&gt;=2,2,IF(N262="Target",-1,R262)))</f>
        <v/>
      </c>
      <c r="V262" s="36" t="str">
        <f aca="false">IF(OR(R262="",T262=""),"",IF(T262&gt;=3,3,IF(N262="Target",-1,R262)))</f>
        <v/>
      </c>
      <c r="W262" s="42" t="str">
        <f aca="false">IF(R262="","",ROUND(R262*(Inputs!$F$9+SUM(W$6:W261))*Inputs!$F$10,2))</f>
        <v/>
      </c>
      <c r="X262" s="42" t="str">
        <f aca="false">IF(R262="","",Inputs!$F$9+SUM(W$7:W262))</f>
        <v/>
      </c>
      <c r="Y262" s="43" t="str">
        <f aca="false">IF(S262="Yes",R262,"")</f>
        <v/>
      </c>
      <c r="Z262" s="43" t="str">
        <f aca="false">IF(Y262="","",SUM(Y$7:Y262))</f>
        <v/>
      </c>
      <c r="AA262" s="43" t="str">
        <f aca="false">IF(Y262="","",MAX(0,MAX(Z$7:Z262)))</f>
        <v/>
      </c>
      <c r="AB262" s="43" t="str">
        <f aca="false">IF(Y262="","",Z262-AA262)</f>
        <v/>
      </c>
    </row>
    <row r="263" customFormat="false" ht="15" hidden="false" customHeight="false" outlineLevel="0" collapsed="false">
      <c r="B263" s="38"/>
      <c r="C263" s="39" t="str">
        <f aca="false">IF(B263="","",INT((B263-Inputs!$F$8)/7)+1)</f>
        <v/>
      </c>
      <c r="D263" s="39" t="str">
        <f aca="false">IF(B263="","",COUNTIF(B$7:B263,B263))</f>
        <v/>
      </c>
      <c r="E263" s="34"/>
      <c r="F263" s="34"/>
      <c r="G263" s="34"/>
      <c r="H263" s="34"/>
      <c r="I263" s="34"/>
      <c r="J263" s="35"/>
      <c r="K263" s="35"/>
      <c r="L263" s="40" t="str">
        <f aca="false">IF(OR(J263="",K263=""),"",IF(G263="Long",J263+Inputs!$F$15*(J263-K263),J263-Inputs!$F$15*(K263-J263)))</f>
        <v/>
      </c>
      <c r="M263" s="35"/>
      <c r="N263" s="34"/>
      <c r="O263" s="35"/>
      <c r="P263" s="34"/>
      <c r="Q263" s="41"/>
      <c r="R263" s="36" t="str">
        <f aca="false">IF(OR(M263="",J263="",K263="",J263=K263),"",ROUND(IF(G263="Long",(M263-J263)/(J263-K263),(J263-M263)/(K263-J263)),2))</f>
        <v/>
      </c>
      <c r="S263" s="39" t="str">
        <f aca="false">IF(B263="","",IF(AND(I263="Y",OR(P263="None",P263="")),"Yes","No"))</f>
        <v/>
      </c>
      <c r="T263" s="36" t="str">
        <f aca="false">IF(OR(O263="",J263="",K263="",J263=K263),"",ROUND(IF(G263="Long",(O263-J263)/(J263-K263),(J263-O263)/(K263-J263)),2))</f>
        <v/>
      </c>
      <c r="U263" s="36" t="str">
        <f aca="false">IF(OR(R263="",T263=""),"",IF(T263&gt;=2,2,IF(N263="Target",-1,R263)))</f>
        <v/>
      </c>
      <c r="V263" s="36" t="str">
        <f aca="false">IF(OR(R263="",T263=""),"",IF(T263&gt;=3,3,IF(N263="Target",-1,R263)))</f>
        <v/>
      </c>
      <c r="W263" s="42" t="str">
        <f aca="false">IF(R263="","",ROUND(R263*(Inputs!$F$9+SUM(W$6:W262))*Inputs!$F$10,2))</f>
        <v/>
      </c>
      <c r="X263" s="42" t="str">
        <f aca="false">IF(R263="","",Inputs!$F$9+SUM(W$7:W263))</f>
        <v/>
      </c>
      <c r="Y263" s="43" t="str">
        <f aca="false">IF(S263="Yes",R263,"")</f>
        <v/>
      </c>
      <c r="Z263" s="43" t="str">
        <f aca="false">IF(Y263="","",SUM(Y$7:Y263))</f>
        <v/>
      </c>
      <c r="AA263" s="43" t="str">
        <f aca="false">IF(Y263="","",MAX(0,MAX(Z$7:Z263)))</f>
        <v/>
      </c>
      <c r="AB263" s="43" t="str">
        <f aca="false">IF(Y263="","",Z263-AA263)</f>
        <v/>
      </c>
    </row>
    <row r="264" customFormat="false" ht="15" hidden="false" customHeight="false" outlineLevel="0" collapsed="false">
      <c r="B264" s="38"/>
      <c r="C264" s="39" t="str">
        <f aca="false">IF(B264="","",INT((B264-Inputs!$F$8)/7)+1)</f>
        <v/>
      </c>
      <c r="D264" s="39" t="str">
        <f aca="false">IF(B264="","",COUNTIF(B$7:B264,B264))</f>
        <v/>
      </c>
      <c r="E264" s="34"/>
      <c r="F264" s="34"/>
      <c r="G264" s="34"/>
      <c r="H264" s="34"/>
      <c r="I264" s="34"/>
      <c r="J264" s="35"/>
      <c r="K264" s="35"/>
      <c r="L264" s="40" t="str">
        <f aca="false">IF(OR(J264="",K264=""),"",IF(G264="Long",J264+Inputs!$F$15*(J264-K264),J264-Inputs!$F$15*(K264-J264)))</f>
        <v/>
      </c>
      <c r="M264" s="35"/>
      <c r="N264" s="34"/>
      <c r="O264" s="35"/>
      <c r="P264" s="34"/>
      <c r="Q264" s="41"/>
      <c r="R264" s="36" t="str">
        <f aca="false">IF(OR(M264="",J264="",K264="",J264=K264),"",ROUND(IF(G264="Long",(M264-J264)/(J264-K264),(J264-M264)/(K264-J264)),2))</f>
        <v/>
      </c>
      <c r="S264" s="39" t="str">
        <f aca="false">IF(B264="","",IF(AND(I264="Y",OR(P264="None",P264="")),"Yes","No"))</f>
        <v/>
      </c>
      <c r="T264" s="36" t="str">
        <f aca="false">IF(OR(O264="",J264="",K264="",J264=K264),"",ROUND(IF(G264="Long",(O264-J264)/(J264-K264),(J264-O264)/(K264-J264)),2))</f>
        <v/>
      </c>
      <c r="U264" s="36" t="str">
        <f aca="false">IF(OR(R264="",T264=""),"",IF(T264&gt;=2,2,IF(N264="Target",-1,R264)))</f>
        <v/>
      </c>
      <c r="V264" s="36" t="str">
        <f aca="false">IF(OR(R264="",T264=""),"",IF(T264&gt;=3,3,IF(N264="Target",-1,R264)))</f>
        <v/>
      </c>
      <c r="W264" s="42" t="str">
        <f aca="false">IF(R264="","",ROUND(R264*(Inputs!$F$9+SUM(W$6:W263))*Inputs!$F$10,2))</f>
        <v/>
      </c>
      <c r="X264" s="42" t="str">
        <f aca="false">IF(R264="","",Inputs!$F$9+SUM(W$7:W264))</f>
        <v/>
      </c>
      <c r="Y264" s="43" t="str">
        <f aca="false">IF(S264="Yes",R264,"")</f>
        <v/>
      </c>
      <c r="Z264" s="43" t="str">
        <f aca="false">IF(Y264="","",SUM(Y$7:Y264))</f>
        <v/>
      </c>
      <c r="AA264" s="43" t="str">
        <f aca="false">IF(Y264="","",MAX(0,MAX(Z$7:Z264)))</f>
        <v/>
      </c>
      <c r="AB264" s="43" t="str">
        <f aca="false">IF(Y264="","",Z264-AA264)</f>
        <v/>
      </c>
    </row>
    <row r="265" customFormat="false" ht="15" hidden="false" customHeight="false" outlineLevel="0" collapsed="false">
      <c r="B265" s="38"/>
      <c r="C265" s="39" t="str">
        <f aca="false">IF(B265="","",INT((B265-Inputs!$F$8)/7)+1)</f>
        <v/>
      </c>
      <c r="D265" s="39" t="str">
        <f aca="false">IF(B265="","",COUNTIF(B$7:B265,B265))</f>
        <v/>
      </c>
      <c r="E265" s="34"/>
      <c r="F265" s="34"/>
      <c r="G265" s="34"/>
      <c r="H265" s="34"/>
      <c r="I265" s="34"/>
      <c r="J265" s="35"/>
      <c r="K265" s="35"/>
      <c r="L265" s="40" t="str">
        <f aca="false">IF(OR(J265="",K265=""),"",IF(G265="Long",J265+Inputs!$F$15*(J265-K265),J265-Inputs!$F$15*(K265-J265)))</f>
        <v/>
      </c>
      <c r="M265" s="35"/>
      <c r="N265" s="34"/>
      <c r="O265" s="35"/>
      <c r="P265" s="34"/>
      <c r="Q265" s="41"/>
      <c r="R265" s="36" t="str">
        <f aca="false">IF(OR(M265="",J265="",K265="",J265=K265),"",ROUND(IF(G265="Long",(M265-J265)/(J265-K265),(J265-M265)/(K265-J265)),2))</f>
        <v/>
      </c>
      <c r="S265" s="39" t="str">
        <f aca="false">IF(B265="","",IF(AND(I265="Y",OR(P265="None",P265="")),"Yes","No"))</f>
        <v/>
      </c>
      <c r="T265" s="36" t="str">
        <f aca="false">IF(OR(O265="",J265="",K265="",J265=K265),"",ROUND(IF(G265="Long",(O265-J265)/(J265-K265),(J265-O265)/(K265-J265)),2))</f>
        <v/>
      </c>
      <c r="U265" s="36" t="str">
        <f aca="false">IF(OR(R265="",T265=""),"",IF(T265&gt;=2,2,IF(N265="Target",-1,R265)))</f>
        <v/>
      </c>
      <c r="V265" s="36" t="str">
        <f aca="false">IF(OR(R265="",T265=""),"",IF(T265&gt;=3,3,IF(N265="Target",-1,R265)))</f>
        <v/>
      </c>
      <c r="W265" s="42" t="str">
        <f aca="false">IF(R265="","",ROUND(R265*(Inputs!$F$9+SUM(W$6:W264))*Inputs!$F$10,2))</f>
        <v/>
      </c>
      <c r="X265" s="42" t="str">
        <f aca="false">IF(R265="","",Inputs!$F$9+SUM(W$7:W265))</f>
        <v/>
      </c>
      <c r="Y265" s="43" t="str">
        <f aca="false">IF(S265="Yes",R265,"")</f>
        <v/>
      </c>
      <c r="Z265" s="43" t="str">
        <f aca="false">IF(Y265="","",SUM(Y$7:Y265))</f>
        <v/>
      </c>
      <c r="AA265" s="43" t="str">
        <f aca="false">IF(Y265="","",MAX(0,MAX(Z$7:Z265)))</f>
        <v/>
      </c>
      <c r="AB265" s="43" t="str">
        <f aca="false">IF(Y265="","",Z265-AA265)</f>
        <v/>
      </c>
    </row>
    <row r="266" customFormat="false" ht="15" hidden="false" customHeight="false" outlineLevel="0" collapsed="false">
      <c r="B266" s="38"/>
      <c r="C266" s="39" t="str">
        <f aca="false">IF(B266="","",INT((B266-Inputs!$F$8)/7)+1)</f>
        <v/>
      </c>
      <c r="D266" s="39" t="str">
        <f aca="false">IF(B266="","",COUNTIF(B$7:B266,B266))</f>
        <v/>
      </c>
      <c r="E266" s="34"/>
      <c r="F266" s="34"/>
      <c r="G266" s="34"/>
      <c r="H266" s="34"/>
      <c r="I266" s="34"/>
      <c r="J266" s="35"/>
      <c r="K266" s="35"/>
      <c r="L266" s="40" t="str">
        <f aca="false">IF(OR(J266="",K266=""),"",IF(G266="Long",J266+Inputs!$F$15*(J266-K266),J266-Inputs!$F$15*(K266-J266)))</f>
        <v/>
      </c>
      <c r="M266" s="35"/>
      <c r="N266" s="34"/>
      <c r="O266" s="35"/>
      <c r="P266" s="34"/>
      <c r="Q266" s="41"/>
      <c r="R266" s="36" t="str">
        <f aca="false">IF(OR(M266="",J266="",K266="",J266=K266),"",ROUND(IF(G266="Long",(M266-J266)/(J266-K266),(J266-M266)/(K266-J266)),2))</f>
        <v/>
      </c>
      <c r="S266" s="39" t="str">
        <f aca="false">IF(B266="","",IF(AND(I266="Y",OR(P266="None",P266="")),"Yes","No"))</f>
        <v/>
      </c>
      <c r="T266" s="36" t="str">
        <f aca="false">IF(OR(O266="",J266="",K266="",J266=K266),"",ROUND(IF(G266="Long",(O266-J266)/(J266-K266),(J266-O266)/(K266-J266)),2))</f>
        <v/>
      </c>
      <c r="U266" s="36" t="str">
        <f aca="false">IF(OR(R266="",T266=""),"",IF(T266&gt;=2,2,IF(N266="Target",-1,R266)))</f>
        <v/>
      </c>
      <c r="V266" s="36" t="str">
        <f aca="false">IF(OR(R266="",T266=""),"",IF(T266&gt;=3,3,IF(N266="Target",-1,R266)))</f>
        <v/>
      </c>
      <c r="W266" s="42" t="str">
        <f aca="false">IF(R266="","",ROUND(R266*(Inputs!$F$9+SUM(W$6:W265))*Inputs!$F$10,2))</f>
        <v/>
      </c>
      <c r="X266" s="42" t="str">
        <f aca="false">IF(R266="","",Inputs!$F$9+SUM(W$7:W266))</f>
        <v/>
      </c>
      <c r="Y266" s="43" t="str">
        <f aca="false">IF(S266="Yes",R266,"")</f>
        <v/>
      </c>
      <c r="Z266" s="43" t="str">
        <f aca="false">IF(Y266="","",SUM(Y$7:Y266))</f>
        <v/>
      </c>
      <c r="AA266" s="43" t="str">
        <f aca="false">IF(Y266="","",MAX(0,MAX(Z$7:Z266)))</f>
        <v/>
      </c>
      <c r="AB266" s="43" t="str">
        <f aca="false">IF(Y266="","",Z266-AA266)</f>
        <v/>
      </c>
    </row>
    <row r="267" customFormat="false" ht="15" hidden="false" customHeight="false" outlineLevel="0" collapsed="false">
      <c r="B267" s="38"/>
      <c r="C267" s="39" t="str">
        <f aca="false">IF(B267="","",INT((B267-Inputs!$F$8)/7)+1)</f>
        <v/>
      </c>
      <c r="D267" s="39" t="str">
        <f aca="false">IF(B267="","",COUNTIF(B$7:B267,B267))</f>
        <v/>
      </c>
      <c r="E267" s="34"/>
      <c r="F267" s="34"/>
      <c r="G267" s="34"/>
      <c r="H267" s="34"/>
      <c r="I267" s="34"/>
      <c r="J267" s="35"/>
      <c r="K267" s="35"/>
      <c r="L267" s="40" t="str">
        <f aca="false">IF(OR(J267="",K267=""),"",IF(G267="Long",J267+Inputs!$F$15*(J267-K267),J267-Inputs!$F$15*(K267-J267)))</f>
        <v/>
      </c>
      <c r="M267" s="35"/>
      <c r="N267" s="34"/>
      <c r="O267" s="35"/>
      <c r="P267" s="34"/>
      <c r="Q267" s="41"/>
      <c r="R267" s="36" t="str">
        <f aca="false">IF(OR(M267="",J267="",K267="",J267=K267),"",ROUND(IF(G267="Long",(M267-J267)/(J267-K267),(J267-M267)/(K267-J267)),2))</f>
        <v/>
      </c>
      <c r="S267" s="39" t="str">
        <f aca="false">IF(B267="","",IF(AND(I267="Y",OR(P267="None",P267="")),"Yes","No"))</f>
        <v/>
      </c>
      <c r="T267" s="36" t="str">
        <f aca="false">IF(OR(O267="",J267="",K267="",J267=K267),"",ROUND(IF(G267="Long",(O267-J267)/(J267-K267),(J267-O267)/(K267-J267)),2))</f>
        <v/>
      </c>
      <c r="U267" s="36" t="str">
        <f aca="false">IF(OR(R267="",T267=""),"",IF(T267&gt;=2,2,IF(N267="Target",-1,R267)))</f>
        <v/>
      </c>
      <c r="V267" s="36" t="str">
        <f aca="false">IF(OR(R267="",T267=""),"",IF(T267&gt;=3,3,IF(N267="Target",-1,R267)))</f>
        <v/>
      </c>
      <c r="W267" s="42" t="str">
        <f aca="false">IF(R267="","",ROUND(R267*(Inputs!$F$9+SUM(W$6:W266))*Inputs!$F$10,2))</f>
        <v/>
      </c>
      <c r="X267" s="42" t="str">
        <f aca="false">IF(R267="","",Inputs!$F$9+SUM(W$7:W267))</f>
        <v/>
      </c>
      <c r="Y267" s="43" t="str">
        <f aca="false">IF(S267="Yes",R267,"")</f>
        <v/>
      </c>
      <c r="Z267" s="43" t="str">
        <f aca="false">IF(Y267="","",SUM(Y$7:Y267))</f>
        <v/>
      </c>
      <c r="AA267" s="43" t="str">
        <f aca="false">IF(Y267="","",MAX(0,MAX(Z$7:Z267)))</f>
        <v/>
      </c>
      <c r="AB267" s="43" t="str">
        <f aca="false">IF(Y267="","",Z267-AA267)</f>
        <v/>
      </c>
    </row>
    <row r="268" customFormat="false" ht="15" hidden="false" customHeight="false" outlineLevel="0" collapsed="false">
      <c r="B268" s="38"/>
      <c r="C268" s="39" t="str">
        <f aca="false">IF(B268="","",INT((B268-Inputs!$F$8)/7)+1)</f>
        <v/>
      </c>
      <c r="D268" s="39" t="str">
        <f aca="false">IF(B268="","",COUNTIF(B$7:B268,B268))</f>
        <v/>
      </c>
      <c r="E268" s="34"/>
      <c r="F268" s="34"/>
      <c r="G268" s="34"/>
      <c r="H268" s="34"/>
      <c r="I268" s="34"/>
      <c r="J268" s="35"/>
      <c r="K268" s="35"/>
      <c r="L268" s="40" t="str">
        <f aca="false">IF(OR(J268="",K268=""),"",IF(G268="Long",J268+Inputs!$F$15*(J268-K268),J268-Inputs!$F$15*(K268-J268)))</f>
        <v/>
      </c>
      <c r="M268" s="35"/>
      <c r="N268" s="34"/>
      <c r="O268" s="35"/>
      <c r="P268" s="34"/>
      <c r="Q268" s="41"/>
      <c r="R268" s="36" t="str">
        <f aca="false">IF(OR(M268="",J268="",K268="",J268=K268),"",ROUND(IF(G268="Long",(M268-J268)/(J268-K268),(J268-M268)/(K268-J268)),2))</f>
        <v/>
      </c>
      <c r="S268" s="39" t="str">
        <f aca="false">IF(B268="","",IF(AND(I268="Y",OR(P268="None",P268="")),"Yes","No"))</f>
        <v/>
      </c>
      <c r="T268" s="36" t="str">
        <f aca="false">IF(OR(O268="",J268="",K268="",J268=K268),"",ROUND(IF(G268="Long",(O268-J268)/(J268-K268),(J268-O268)/(K268-J268)),2))</f>
        <v/>
      </c>
      <c r="U268" s="36" t="str">
        <f aca="false">IF(OR(R268="",T268=""),"",IF(T268&gt;=2,2,IF(N268="Target",-1,R268)))</f>
        <v/>
      </c>
      <c r="V268" s="36" t="str">
        <f aca="false">IF(OR(R268="",T268=""),"",IF(T268&gt;=3,3,IF(N268="Target",-1,R268)))</f>
        <v/>
      </c>
      <c r="W268" s="42" t="str">
        <f aca="false">IF(R268="","",ROUND(R268*(Inputs!$F$9+SUM(W$6:W267))*Inputs!$F$10,2))</f>
        <v/>
      </c>
      <c r="X268" s="42" t="str">
        <f aca="false">IF(R268="","",Inputs!$F$9+SUM(W$7:W268))</f>
        <v/>
      </c>
      <c r="Y268" s="43" t="str">
        <f aca="false">IF(S268="Yes",R268,"")</f>
        <v/>
      </c>
      <c r="Z268" s="43" t="str">
        <f aca="false">IF(Y268="","",SUM(Y$7:Y268))</f>
        <v/>
      </c>
      <c r="AA268" s="43" t="str">
        <f aca="false">IF(Y268="","",MAX(0,MAX(Z$7:Z268)))</f>
        <v/>
      </c>
      <c r="AB268" s="43" t="str">
        <f aca="false">IF(Y268="","",Z268-AA268)</f>
        <v/>
      </c>
    </row>
    <row r="269" customFormat="false" ht="15" hidden="false" customHeight="false" outlineLevel="0" collapsed="false">
      <c r="B269" s="38"/>
      <c r="C269" s="39" t="str">
        <f aca="false">IF(B269="","",INT((B269-Inputs!$F$8)/7)+1)</f>
        <v/>
      </c>
      <c r="D269" s="39" t="str">
        <f aca="false">IF(B269="","",COUNTIF(B$7:B269,B269))</f>
        <v/>
      </c>
      <c r="E269" s="34"/>
      <c r="F269" s="34"/>
      <c r="G269" s="34"/>
      <c r="H269" s="34"/>
      <c r="I269" s="34"/>
      <c r="J269" s="35"/>
      <c r="K269" s="35"/>
      <c r="L269" s="40" t="str">
        <f aca="false">IF(OR(J269="",K269=""),"",IF(G269="Long",J269+Inputs!$F$15*(J269-K269),J269-Inputs!$F$15*(K269-J269)))</f>
        <v/>
      </c>
      <c r="M269" s="35"/>
      <c r="N269" s="34"/>
      <c r="O269" s="35"/>
      <c r="P269" s="34"/>
      <c r="Q269" s="41"/>
      <c r="R269" s="36" t="str">
        <f aca="false">IF(OR(M269="",J269="",K269="",J269=K269),"",ROUND(IF(G269="Long",(M269-J269)/(J269-K269),(J269-M269)/(K269-J269)),2))</f>
        <v/>
      </c>
      <c r="S269" s="39" t="str">
        <f aca="false">IF(B269="","",IF(AND(I269="Y",OR(P269="None",P269="")),"Yes","No"))</f>
        <v/>
      </c>
      <c r="T269" s="36" t="str">
        <f aca="false">IF(OR(O269="",J269="",K269="",J269=K269),"",ROUND(IF(G269="Long",(O269-J269)/(J269-K269),(J269-O269)/(K269-J269)),2))</f>
        <v/>
      </c>
      <c r="U269" s="36" t="str">
        <f aca="false">IF(OR(R269="",T269=""),"",IF(T269&gt;=2,2,IF(N269="Target",-1,R269)))</f>
        <v/>
      </c>
      <c r="V269" s="36" t="str">
        <f aca="false">IF(OR(R269="",T269=""),"",IF(T269&gt;=3,3,IF(N269="Target",-1,R269)))</f>
        <v/>
      </c>
      <c r="W269" s="42" t="str">
        <f aca="false">IF(R269="","",ROUND(R269*(Inputs!$F$9+SUM(W$6:W268))*Inputs!$F$10,2))</f>
        <v/>
      </c>
      <c r="X269" s="42" t="str">
        <f aca="false">IF(R269="","",Inputs!$F$9+SUM(W$7:W269))</f>
        <v/>
      </c>
      <c r="Y269" s="43" t="str">
        <f aca="false">IF(S269="Yes",R269,"")</f>
        <v/>
      </c>
      <c r="Z269" s="43" t="str">
        <f aca="false">IF(Y269="","",SUM(Y$7:Y269))</f>
        <v/>
      </c>
      <c r="AA269" s="43" t="str">
        <f aca="false">IF(Y269="","",MAX(0,MAX(Z$7:Z269)))</f>
        <v/>
      </c>
      <c r="AB269" s="43" t="str">
        <f aca="false">IF(Y269="","",Z269-AA269)</f>
        <v/>
      </c>
    </row>
    <row r="270" customFormat="false" ht="15" hidden="false" customHeight="false" outlineLevel="0" collapsed="false">
      <c r="B270" s="38"/>
      <c r="C270" s="39" t="str">
        <f aca="false">IF(B270="","",INT((B270-Inputs!$F$8)/7)+1)</f>
        <v/>
      </c>
      <c r="D270" s="39" t="str">
        <f aca="false">IF(B270="","",COUNTIF(B$7:B270,B270))</f>
        <v/>
      </c>
      <c r="E270" s="34"/>
      <c r="F270" s="34"/>
      <c r="G270" s="34"/>
      <c r="H270" s="34"/>
      <c r="I270" s="34"/>
      <c r="J270" s="35"/>
      <c r="K270" s="35"/>
      <c r="L270" s="40" t="str">
        <f aca="false">IF(OR(J270="",K270=""),"",IF(G270="Long",J270+Inputs!$F$15*(J270-K270),J270-Inputs!$F$15*(K270-J270)))</f>
        <v/>
      </c>
      <c r="M270" s="35"/>
      <c r="N270" s="34"/>
      <c r="O270" s="35"/>
      <c r="P270" s="34"/>
      <c r="Q270" s="41"/>
      <c r="R270" s="36" t="str">
        <f aca="false">IF(OR(M270="",J270="",K270="",J270=K270),"",ROUND(IF(G270="Long",(M270-J270)/(J270-K270),(J270-M270)/(K270-J270)),2))</f>
        <v/>
      </c>
      <c r="S270" s="39" t="str">
        <f aca="false">IF(B270="","",IF(AND(I270="Y",OR(P270="None",P270="")),"Yes","No"))</f>
        <v/>
      </c>
      <c r="T270" s="36" t="str">
        <f aca="false">IF(OR(O270="",J270="",K270="",J270=K270),"",ROUND(IF(G270="Long",(O270-J270)/(J270-K270),(J270-O270)/(K270-J270)),2))</f>
        <v/>
      </c>
      <c r="U270" s="36" t="str">
        <f aca="false">IF(OR(R270="",T270=""),"",IF(T270&gt;=2,2,IF(N270="Target",-1,R270)))</f>
        <v/>
      </c>
      <c r="V270" s="36" t="str">
        <f aca="false">IF(OR(R270="",T270=""),"",IF(T270&gt;=3,3,IF(N270="Target",-1,R270)))</f>
        <v/>
      </c>
      <c r="W270" s="42" t="str">
        <f aca="false">IF(R270="","",ROUND(R270*(Inputs!$F$9+SUM(W$6:W269))*Inputs!$F$10,2))</f>
        <v/>
      </c>
      <c r="X270" s="42" t="str">
        <f aca="false">IF(R270="","",Inputs!$F$9+SUM(W$7:W270))</f>
        <v/>
      </c>
      <c r="Y270" s="43" t="str">
        <f aca="false">IF(S270="Yes",R270,"")</f>
        <v/>
      </c>
      <c r="Z270" s="43" t="str">
        <f aca="false">IF(Y270="","",SUM(Y$7:Y270))</f>
        <v/>
      </c>
      <c r="AA270" s="43" t="str">
        <f aca="false">IF(Y270="","",MAX(0,MAX(Z$7:Z270)))</f>
        <v/>
      </c>
      <c r="AB270" s="43" t="str">
        <f aca="false">IF(Y270="","",Z270-AA270)</f>
        <v/>
      </c>
    </row>
    <row r="271" customFormat="false" ht="15" hidden="false" customHeight="false" outlineLevel="0" collapsed="false">
      <c r="B271" s="38"/>
      <c r="C271" s="39" t="str">
        <f aca="false">IF(B271="","",INT((B271-Inputs!$F$8)/7)+1)</f>
        <v/>
      </c>
      <c r="D271" s="39" t="str">
        <f aca="false">IF(B271="","",COUNTIF(B$7:B271,B271))</f>
        <v/>
      </c>
      <c r="E271" s="34"/>
      <c r="F271" s="34"/>
      <c r="G271" s="34"/>
      <c r="H271" s="34"/>
      <c r="I271" s="34"/>
      <c r="J271" s="35"/>
      <c r="K271" s="35"/>
      <c r="L271" s="40" t="str">
        <f aca="false">IF(OR(J271="",K271=""),"",IF(G271="Long",J271+Inputs!$F$15*(J271-K271),J271-Inputs!$F$15*(K271-J271)))</f>
        <v/>
      </c>
      <c r="M271" s="35"/>
      <c r="N271" s="34"/>
      <c r="O271" s="35"/>
      <c r="P271" s="34"/>
      <c r="Q271" s="41"/>
      <c r="R271" s="36" t="str">
        <f aca="false">IF(OR(M271="",J271="",K271="",J271=K271),"",ROUND(IF(G271="Long",(M271-J271)/(J271-K271),(J271-M271)/(K271-J271)),2))</f>
        <v/>
      </c>
      <c r="S271" s="39" t="str">
        <f aca="false">IF(B271="","",IF(AND(I271="Y",OR(P271="None",P271="")),"Yes","No"))</f>
        <v/>
      </c>
      <c r="T271" s="36" t="str">
        <f aca="false">IF(OR(O271="",J271="",K271="",J271=K271),"",ROUND(IF(G271="Long",(O271-J271)/(J271-K271),(J271-O271)/(K271-J271)),2))</f>
        <v/>
      </c>
      <c r="U271" s="36" t="str">
        <f aca="false">IF(OR(R271="",T271=""),"",IF(T271&gt;=2,2,IF(N271="Target",-1,R271)))</f>
        <v/>
      </c>
      <c r="V271" s="36" t="str">
        <f aca="false">IF(OR(R271="",T271=""),"",IF(T271&gt;=3,3,IF(N271="Target",-1,R271)))</f>
        <v/>
      </c>
      <c r="W271" s="42" t="str">
        <f aca="false">IF(R271="","",ROUND(R271*(Inputs!$F$9+SUM(W$6:W270))*Inputs!$F$10,2))</f>
        <v/>
      </c>
      <c r="X271" s="42" t="str">
        <f aca="false">IF(R271="","",Inputs!$F$9+SUM(W$7:W271))</f>
        <v/>
      </c>
      <c r="Y271" s="43" t="str">
        <f aca="false">IF(S271="Yes",R271,"")</f>
        <v/>
      </c>
      <c r="Z271" s="43" t="str">
        <f aca="false">IF(Y271="","",SUM(Y$7:Y271))</f>
        <v/>
      </c>
      <c r="AA271" s="43" t="str">
        <f aca="false">IF(Y271="","",MAX(0,MAX(Z$7:Z271)))</f>
        <v/>
      </c>
      <c r="AB271" s="43" t="str">
        <f aca="false">IF(Y271="","",Z271-AA271)</f>
        <v/>
      </c>
    </row>
    <row r="272" customFormat="false" ht="15" hidden="false" customHeight="false" outlineLevel="0" collapsed="false">
      <c r="B272" s="38"/>
      <c r="C272" s="39" t="str">
        <f aca="false">IF(B272="","",INT((B272-Inputs!$F$8)/7)+1)</f>
        <v/>
      </c>
      <c r="D272" s="39" t="str">
        <f aca="false">IF(B272="","",COUNTIF(B$7:B272,B272))</f>
        <v/>
      </c>
      <c r="E272" s="34"/>
      <c r="F272" s="34"/>
      <c r="G272" s="34"/>
      <c r="H272" s="34"/>
      <c r="I272" s="34"/>
      <c r="J272" s="35"/>
      <c r="K272" s="35"/>
      <c r="L272" s="40" t="str">
        <f aca="false">IF(OR(J272="",K272=""),"",IF(G272="Long",J272+Inputs!$F$15*(J272-K272),J272-Inputs!$F$15*(K272-J272)))</f>
        <v/>
      </c>
      <c r="M272" s="35"/>
      <c r="N272" s="34"/>
      <c r="O272" s="35"/>
      <c r="P272" s="34"/>
      <c r="Q272" s="41"/>
      <c r="R272" s="36" t="str">
        <f aca="false">IF(OR(M272="",J272="",K272="",J272=K272),"",ROUND(IF(G272="Long",(M272-J272)/(J272-K272),(J272-M272)/(K272-J272)),2))</f>
        <v/>
      </c>
      <c r="S272" s="39" t="str">
        <f aca="false">IF(B272="","",IF(AND(I272="Y",OR(P272="None",P272="")),"Yes","No"))</f>
        <v/>
      </c>
      <c r="T272" s="36" t="str">
        <f aca="false">IF(OR(O272="",J272="",K272="",J272=K272),"",ROUND(IF(G272="Long",(O272-J272)/(J272-K272),(J272-O272)/(K272-J272)),2))</f>
        <v/>
      </c>
      <c r="U272" s="36" t="str">
        <f aca="false">IF(OR(R272="",T272=""),"",IF(T272&gt;=2,2,IF(N272="Target",-1,R272)))</f>
        <v/>
      </c>
      <c r="V272" s="36" t="str">
        <f aca="false">IF(OR(R272="",T272=""),"",IF(T272&gt;=3,3,IF(N272="Target",-1,R272)))</f>
        <v/>
      </c>
      <c r="W272" s="42" t="str">
        <f aca="false">IF(R272="","",ROUND(R272*(Inputs!$F$9+SUM(W$6:W271))*Inputs!$F$10,2))</f>
        <v/>
      </c>
      <c r="X272" s="42" t="str">
        <f aca="false">IF(R272="","",Inputs!$F$9+SUM(W$7:W272))</f>
        <v/>
      </c>
      <c r="Y272" s="43" t="str">
        <f aca="false">IF(S272="Yes",R272,"")</f>
        <v/>
      </c>
      <c r="Z272" s="43" t="str">
        <f aca="false">IF(Y272="","",SUM(Y$7:Y272))</f>
        <v/>
      </c>
      <c r="AA272" s="43" t="str">
        <f aca="false">IF(Y272="","",MAX(0,MAX(Z$7:Z272)))</f>
        <v/>
      </c>
      <c r="AB272" s="43" t="str">
        <f aca="false">IF(Y272="","",Z272-AA272)</f>
        <v/>
      </c>
    </row>
    <row r="273" customFormat="false" ht="15" hidden="false" customHeight="false" outlineLevel="0" collapsed="false">
      <c r="B273" s="38"/>
      <c r="C273" s="39" t="str">
        <f aca="false">IF(B273="","",INT((B273-Inputs!$F$8)/7)+1)</f>
        <v/>
      </c>
      <c r="D273" s="39" t="str">
        <f aca="false">IF(B273="","",COUNTIF(B$7:B273,B273))</f>
        <v/>
      </c>
      <c r="E273" s="34"/>
      <c r="F273" s="34"/>
      <c r="G273" s="34"/>
      <c r="H273" s="34"/>
      <c r="I273" s="34"/>
      <c r="J273" s="35"/>
      <c r="K273" s="35"/>
      <c r="L273" s="40" t="str">
        <f aca="false">IF(OR(J273="",K273=""),"",IF(G273="Long",J273+Inputs!$F$15*(J273-K273),J273-Inputs!$F$15*(K273-J273)))</f>
        <v/>
      </c>
      <c r="M273" s="35"/>
      <c r="N273" s="34"/>
      <c r="O273" s="35"/>
      <c r="P273" s="34"/>
      <c r="Q273" s="41"/>
      <c r="R273" s="36" t="str">
        <f aca="false">IF(OR(M273="",J273="",K273="",J273=K273),"",ROUND(IF(G273="Long",(M273-J273)/(J273-K273),(J273-M273)/(K273-J273)),2))</f>
        <v/>
      </c>
      <c r="S273" s="39" t="str">
        <f aca="false">IF(B273="","",IF(AND(I273="Y",OR(P273="None",P273="")),"Yes","No"))</f>
        <v/>
      </c>
      <c r="T273" s="36" t="str">
        <f aca="false">IF(OR(O273="",J273="",K273="",J273=K273),"",ROUND(IF(G273="Long",(O273-J273)/(J273-K273),(J273-O273)/(K273-J273)),2))</f>
        <v/>
      </c>
      <c r="U273" s="36" t="str">
        <f aca="false">IF(OR(R273="",T273=""),"",IF(T273&gt;=2,2,IF(N273="Target",-1,R273)))</f>
        <v/>
      </c>
      <c r="V273" s="36" t="str">
        <f aca="false">IF(OR(R273="",T273=""),"",IF(T273&gt;=3,3,IF(N273="Target",-1,R273)))</f>
        <v/>
      </c>
      <c r="W273" s="42" t="str">
        <f aca="false">IF(R273="","",ROUND(R273*(Inputs!$F$9+SUM(W$6:W272))*Inputs!$F$10,2))</f>
        <v/>
      </c>
      <c r="X273" s="42" t="str">
        <f aca="false">IF(R273="","",Inputs!$F$9+SUM(W$7:W273))</f>
        <v/>
      </c>
      <c r="Y273" s="43" t="str">
        <f aca="false">IF(S273="Yes",R273,"")</f>
        <v/>
      </c>
      <c r="Z273" s="43" t="str">
        <f aca="false">IF(Y273="","",SUM(Y$7:Y273))</f>
        <v/>
      </c>
      <c r="AA273" s="43" t="str">
        <f aca="false">IF(Y273="","",MAX(0,MAX(Z$7:Z273)))</f>
        <v/>
      </c>
      <c r="AB273" s="43" t="str">
        <f aca="false">IF(Y273="","",Z273-AA273)</f>
        <v/>
      </c>
    </row>
    <row r="274" customFormat="false" ht="15" hidden="false" customHeight="false" outlineLevel="0" collapsed="false">
      <c r="B274" s="38"/>
      <c r="C274" s="39" t="str">
        <f aca="false">IF(B274="","",INT((B274-Inputs!$F$8)/7)+1)</f>
        <v/>
      </c>
      <c r="D274" s="39" t="str">
        <f aca="false">IF(B274="","",COUNTIF(B$7:B274,B274))</f>
        <v/>
      </c>
      <c r="E274" s="34"/>
      <c r="F274" s="34"/>
      <c r="G274" s="34"/>
      <c r="H274" s="34"/>
      <c r="I274" s="34"/>
      <c r="J274" s="35"/>
      <c r="K274" s="35"/>
      <c r="L274" s="40" t="str">
        <f aca="false">IF(OR(J274="",K274=""),"",IF(G274="Long",J274+Inputs!$F$15*(J274-K274),J274-Inputs!$F$15*(K274-J274)))</f>
        <v/>
      </c>
      <c r="M274" s="35"/>
      <c r="N274" s="34"/>
      <c r="O274" s="35"/>
      <c r="P274" s="34"/>
      <c r="Q274" s="41"/>
      <c r="R274" s="36" t="str">
        <f aca="false">IF(OR(M274="",J274="",K274="",J274=K274),"",ROUND(IF(G274="Long",(M274-J274)/(J274-K274),(J274-M274)/(K274-J274)),2))</f>
        <v/>
      </c>
      <c r="S274" s="39" t="str">
        <f aca="false">IF(B274="","",IF(AND(I274="Y",OR(P274="None",P274="")),"Yes","No"))</f>
        <v/>
      </c>
      <c r="T274" s="36" t="str">
        <f aca="false">IF(OR(O274="",J274="",K274="",J274=K274),"",ROUND(IF(G274="Long",(O274-J274)/(J274-K274),(J274-O274)/(K274-J274)),2))</f>
        <v/>
      </c>
      <c r="U274" s="36" t="str">
        <f aca="false">IF(OR(R274="",T274=""),"",IF(T274&gt;=2,2,IF(N274="Target",-1,R274)))</f>
        <v/>
      </c>
      <c r="V274" s="36" t="str">
        <f aca="false">IF(OR(R274="",T274=""),"",IF(T274&gt;=3,3,IF(N274="Target",-1,R274)))</f>
        <v/>
      </c>
      <c r="W274" s="42" t="str">
        <f aca="false">IF(R274="","",ROUND(R274*(Inputs!$F$9+SUM(W$6:W273))*Inputs!$F$10,2))</f>
        <v/>
      </c>
      <c r="X274" s="42" t="str">
        <f aca="false">IF(R274="","",Inputs!$F$9+SUM(W$7:W274))</f>
        <v/>
      </c>
      <c r="Y274" s="43" t="str">
        <f aca="false">IF(S274="Yes",R274,"")</f>
        <v/>
      </c>
      <c r="Z274" s="43" t="str">
        <f aca="false">IF(Y274="","",SUM(Y$7:Y274))</f>
        <v/>
      </c>
      <c r="AA274" s="43" t="str">
        <f aca="false">IF(Y274="","",MAX(0,MAX(Z$7:Z274)))</f>
        <v/>
      </c>
      <c r="AB274" s="43" t="str">
        <f aca="false">IF(Y274="","",Z274-AA274)</f>
        <v/>
      </c>
    </row>
    <row r="275" customFormat="false" ht="15" hidden="false" customHeight="false" outlineLevel="0" collapsed="false">
      <c r="B275" s="38"/>
      <c r="C275" s="39" t="str">
        <f aca="false">IF(B275="","",INT((B275-Inputs!$F$8)/7)+1)</f>
        <v/>
      </c>
      <c r="D275" s="39" t="str">
        <f aca="false">IF(B275="","",COUNTIF(B$7:B275,B275))</f>
        <v/>
      </c>
      <c r="E275" s="34"/>
      <c r="F275" s="34"/>
      <c r="G275" s="34"/>
      <c r="H275" s="34"/>
      <c r="I275" s="34"/>
      <c r="J275" s="35"/>
      <c r="K275" s="35"/>
      <c r="L275" s="40" t="str">
        <f aca="false">IF(OR(J275="",K275=""),"",IF(G275="Long",J275+Inputs!$F$15*(J275-K275),J275-Inputs!$F$15*(K275-J275)))</f>
        <v/>
      </c>
      <c r="M275" s="35"/>
      <c r="N275" s="34"/>
      <c r="O275" s="35"/>
      <c r="P275" s="34"/>
      <c r="Q275" s="41"/>
      <c r="R275" s="36" t="str">
        <f aca="false">IF(OR(M275="",J275="",K275="",J275=K275),"",ROUND(IF(G275="Long",(M275-J275)/(J275-K275),(J275-M275)/(K275-J275)),2))</f>
        <v/>
      </c>
      <c r="S275" s="39" t="str">
        <f aca="false">IF(B275="","",IF(AND(I275="Y",OR(P275="None",P275="")),"Yes","No"))</f>
        <v/>
      </c>
      <c r="T275" s="36" t="str">
        <f aca="false">IF(OR(O275="",J275="",K275="",J275=K275),"",ROUND(IF(G275="Long",(O275-J275)/(J275-K275),(J275-O275)/(K275-J275)),2))</f>
        <v/>
      </c>
      <c r="U275" s="36" t="str">
        <f aca="false">IF(OR(R275="",T275=""),"",IF(T275&gt;=2,2,IF(N275="Target",-1,R275)))</f>
        <v/>
      </c>
      <c r="V275" s="36" t="str">
        <f aca="false">IF(OR(R275="",T275=""),"",IF(T275&gt;=3,3,IF(N275="Target",-1,R275)))</f>
        <v/>
      </c>
      <c r="W275" s="42" t="str">
        <f aca="false">IF(R275="","",ROUND(R275*(Inputs!$F$9+SUM(W$6:W274))*Inputs!$F$10,2))</f>
        <v/>
      </c>
      <c r="X275" s="42" t="str">
        <f aca="false">IF(R275="","",Inputs!$F$9+SUM(W$7:W275))</f>
        <v/>
      </c>
      <c r="Y275" s="43" t="str">
        <f aca="false">IF(S275="Yes",R275,"")</f>
        <v/>
      </c>
      <c r="Z275" s="43" t="str">
        <f aca="false">IF(Y275="","",SUM(Y$7:Y275))</f>
        <v/>
      </c>
      <c r="AA275" s="43" t="str">
        <f aca="false">IF(Y275="","",MAX(0,MAX(Z$7:Z275)))</f>
        <v/>
      </c>
      <c r="AB275" s="43" t="str">
        <f aca="false">IF(Y275="","",Z275-AA275)</f>
        <v/>
      </c>
    </row>
    <row r="276" customFormat="false" ht="15" hidden="false" customHeight="false" outlineLevel="0" collapsed="false">
      <c r="B276" s="38"/>
      <c r="C276" s="39" t="str">
        <f aca="false">IF(B276="","",INT((B276-Inputs!$F$8)/7)+1)</f>
        <v/>
      </c>
      <c r="D276" s="39" t="str">
        <f aca="false">IF(B276="","",COUNTIF(B$7:B276,B276))</f>
        <v/>
      </c>
      <c r="E276" s="34"/>
      <c r="F276" s="34"/>
      <c r="G276" s="34"/>
      <c r="H276" s="34"/>
      <c r="I276" s="34"/>
      <c r="J276" s="35"/>
      <c r="K276" s="35"/>
      <c r="L276" s="40" t="str">
        <f aca="false">IF(OR(J276="",K276=""),"",IF(G276="Long",J276+Inputs!$F$15*(J276-K276),J276-Inputs!$F$15*(K276-J276)))</f>
        <v/>
      </c>
      <c r="M276" s="35"/>
      <c r="N276" s="34"/>
      <c r="O276" s="35"/>
      <c r="P276" s="34"/>
      <c r="Q276" s="41"/>
      <c r="R276" s="36" t="str">
        <f aca="false">IF(OR(M276="",J276="",K276="",J276=K276),"",ROUND(IF(G276="Long",(M276-J276)/(J276-K276),(J276-M276)/(K276-J276)),2))</f>
        <v/>
      </c>
      <c r="S276" s="39" t="str">
        <f aca="false">IF(B276="","",IF(AND(I276="Y",OR(P276="None",P276="")),"Yes","No"))</f>
        <v/>
      </c>
      <c r="T276" s="36" t="str">
        <f aca="false">IF(OR(O276="",J276="",K276="",J276=K276),"",ROUND(IF(G276="Long",(O276-J276)/(J276-K276),(J276-O276)/(K276-J276)),2))</f>
        <v/>
      </c>
      <c r="U276" s="36" t="str">
        <f aca="false">IF(OR(R276="",T276=""),"",IF(T276&gt;=2,2,IF(N276="Target",-1,R276)))</f>
        <v/>
      </c>
      <c r="V276" s="36" t="str">
        <f aca="false">IF(OR(R276="",T276=""),"",IF(T276&gt;=3,3,IF(N276="Target",-1,R276)))</f>
        <v/>
      </c>
      <c r="W276" s="42" t="str">
        <f aca="false">IF(R276="","",ROUND(R276*(Inputs!$F$9+SUM(W$6:W275))*Inputs!$F$10,2))</f>
        <v/>
      </c>
      <c r="X276" s="42" t="str">
        <f aca="false">IF(R276="","",Inputs!$F$9+SUM(W$7:W276))</f>
        <v/>
      </c>
      <c r="Y276" s="43" t="str">
        <f aca="false">IF(S276="Yes",R276,"")</f>
        <v/>
      </c>
      <c r="Z276" s="43" t="str">
        <f aca="false">IF(Y276="","",SUM(Y$7:Y276))</f>
        <v/>
      </c>
      <c r="AA276" s="43" t="str">
        <f aca="false">IF(Y276="","",MAX(0,MAX(Z$7:Z276)))</f>
        <v/>
      </c>
      <c r="AB276" s="43" t="str">
        <f aca="false">IF(Y276="","",Z276-AA276)</f>
        <v/>
      </c>
    </row>
    <row r="277" customFormat="false" ht="15" hidden="false" customHeight="false" outlineLevel="0" collapsed="false">
      <c r="B277" s="38"/>
      <c r="C277" s="39" t="str">
        <f aca="false">IF(B277="","",INT((B277-Inputs!$F$8)/7)+1)</f>
        <v/>
      </c>
      <c r="D277" s="39" t="str">
        <f aca="false">IF(B277="","",COUNTIF(B$7:B277,B277))</f>
        <v/>
      </c>
      <c r="E277" s="34"/>
      <c r="F277" s="34"/>
      <c r="G277" s="34"/>
      <c r="H277" s="34"/>
      <c r="I277" s="34"/>
      <c r="J277" s="35"/>
      <c r="K277" s="35"/>
      <c r="L277" s="40" t="str">
        <f aca="false">IF(OR(J277="",K277=""),"",IF(G277="Long",J277+Inputs!$F$15*(J277-K277),J277-Inputs!$F$15*(K277-J277)))</f>
        <v/>
      </c>
      <c r="M277" s="35"/>
      <c r="N277" s="34"/>
      <c r="O277" s="35"/>
      <c r="P277" s="34"/>
      <c r="Q277" s="41"/>
      <c r="R277" s="36" t="str">
        <f aca="false">IF(OR(M277="",J277="",K277="",J277=K277),"",ROUND(IF(G277="Long",(M277-J277)/(J277-K277),(J277-M277)/(K277-J277)),2))</f>
        <v/>
      </c>
      <c r="S277" s="39" t="str">
        <f aca="false">IF(B277="","",IF(AND(I277="Y",OR(P277="None",P277="")),"Yes","No"))</f>
        <v/>
      </c>
      <c r="T277" s="36" t="str">
        <f aca="false">IF(OR(O277="",J277="",K277="",J277=K277),"",ROUND(IF(G277="Long",(O277-J277)/(J277-K277),(J277-O277)/(K277-J277)),2))</f>
        <v/>
      </c>
      <c r="U277" s="36" t="str">
        <f aca="false">IF(OR(R277="",T277=""),"",IF(T277&gt;=2,2,IF(N277="Target",-1,R277)))</f>
        <v/>
      </c>
      <c r="V277" s="36" t="str">
        <f aca="false">IF(OR(R277="",T277=""),"",IF(T277&gt;=3,3,IF(N277="Target",-1,R277)))</f>
        <v/>
      </c>
      <c r="W277" s="42" t="str">
        <f aca="false">IF(R277="","",ROUND(R277*(Inputs!$F$9+SUM(W$6:W276))*Inputs!$F$10,2))</f>
        <v/>
      </c>
      <c r="X277" s="42" t="str">
        <f aca="false">IF(R277="","",Inputs!$F$9+SUM(W$7:W277))</f>
        <v/>
      </c>
      <c r="Y277" s="43" t="str">
        <f aca="false">IF(S277="Yes",R277,"")</f>
        <v/>
      </c>
      <c r="Z277" s="43" t="str">
        <f aca="false">IF(Y277="","",SUM(Y$7:Y277))</f>
        <v/>
      </c>
      <c r="AA277" s="43" t="str">
        <f aca="false">IF(Y277="","",MAX(0,MAX(Z$7:Z277)))</f>
        <v/>
      </c>
      <c r="AB277" s="43" t="str">
        <f aca="false">IF(Y277="","",Z277-AA277)</f>
        <v/>
      </c>
    </row>
    <row r="278" customFormat="false" ht="15" hidden="false" customHeight="false" outlineLevel="0" collapsed="false">
      <c r="B278" s="38"/>
      <c r="C278" s="39" t="str">
        <f aca="false">IF(B278="","",INT((B278-Inputs!$F$8)/7)+1)</f>
        <v/>
      </c>
      <c r="D278" s="39" t="str">
        <f aca="false">IF(B278="","",COUNTIF(B$7:B278,B278))</f>
        <v/>
      </c>
      <c r="E278" s="34"/>
      <c r="F278" s="34"/>
      <c r="G278" s="34"/>
      <c r="H278" s="34"/>
      <c r="I278" s="34"/>
      <c r="J278" s="35"/>
      <c r="K278" s="35"/>
      <c r="L278" s="40" t="str">
        <f aca="false">IF(OR(J278="",K278=""),"",IF(G278="Long",J278+Inputs!$F$15*(J278-K278),J278-Inputs!$F$15*(K278-J278)))</f>
        <v/>
      </c>
      <c r="M278" s="35"/>
      <c r="N278" s="34"/>
      <c r="O278" s="35"/>
      <c r="P278" s="34"/>
      <c r="Q278" s="41"/>
      <c r="R278" s="36" t="str">
        <f aca="false">IF(OR(M278="",J278="",K278="",J278=K278),"",ROUND(IF(G278="Long",(M278-J278)/(J278-K278),(J278-M278)/(K278-J278)),2))</f>
        <v/>
      </c>
      <c r="S278" s="39" t="str">
        <f aca="false">IF(B278="","",IF(AND(I278="Y",OR(P278="None",P278="")),"Yes","No"))</f>
        <v/>
      </c>
      <c r="T278" s="36" t="str">
        <f aca="false">IF(OR(O278="",J278="",K278="",J278=K278),"",ROUND(IF(G278="Long",(O278-J278)/(J278-K278),(J278-O278)/(K278-J278)),2))</f>
        <v/>
      </c>
      <c r="U278" s="36" t="str">
        <f aca="false">IF(OR(R278="",T278=""),"",IF(T278&gt;=2,2,IF(N278="Target",-1,R278)))</f>
        <v/>
      </c>
      <c r="V278" s="36" t="str">
        <f aca="false">IF(OR(R278="",T278=""),"",IF(T278&gt;=3,3,IF(N278="Target",-1,R278)))</f>
        <v/>
      </c>
      <c r="W278" s="42" t="str">
        <f aca="false">IF(R278="","",ROUND(R278*(Inputs!$F$9+SUM(W$6:W277))*Inputs!$F$10,2))</f>
        <v/>
      </c>
      <c r="X278" s="42" t="str">
        <f aca="false">IF(R278="","",Inputs!$F$9+SUM(W$7:W278))</f>
        <v/>
      </c>
      <c r="Y278" s="43" t="str">
        <f aca="false">IF(S278="Yes",R278,"")</f>
        <v/>
      </c>
      <c r="Z278" s="43" t="str">
        <f aca="false">IF(Y278="","",SUM(Y$7:Y278))</f>
        <v/>
      </c>
      <c r="AA278" s="43" t="str">
        <f aca="false">IF(Y278="","",MAX(0,MAX(Z$7:Z278)))</f>
        <v/>
      </c>
      <c r="AB278" s="43" t="str">
        <f aca="false">IF(Y278="","",Z278-AA278)</f>
        <v/>
      </c>
    </row>
    <row r="279" customFormat="false" ht="15" hidden="false" customHeight="false" outlineLevel="0" collapsed="false">
      <c r="B279" s="38"/>
      <c r="C279" s="39" t="str">
        <f aca="false">IF(B279="","",INT((B279-Inputs!$F$8)/7)+1)</f>
        <v/>
      </c>
      <c r="D279" s="39" t="str">
        <f aca="false">IF(B279="","",COUNTIF(B$7:B279,B279))</f>
        <v/>
      </c>
      <c r="E279" s="34"/>
      <c r="F279" s="34"/>
      <c r="G279" s="34"/>
      <c r="H279" s="34"/>
      <c r="I279" s="34"/>
      <c r="J279" s="35"/>
      <c r="K279" s="35"/>
      <c r="L279" s="40" t="str">
        <f aca="false">IF(OR(J279="",K279=""),"",IF(G279="Long",J279+Inputs!$F$15*(J279-K279),J279-Inputs!$F$15*(K279-J279)))</f>
        <v/>
      </c>
      <c r="M279" s="35"/>
      <c r="N279" s="34"/>
      <c r="O279" s="35"/>
      <c r="P279" s="34"/>
      <c r="Q279" s="41"/>
      <c r="R279" s="36" t="str">
        <f aca="false">IF(OR(M279="",J279="",K279="",J279=K279),"",ROUND(IF(G279="Long",(M279-J279)/(J279-K279),(J279-M279)/(K279-J279)),2))</f>
        <v/>
      </c>
      <c r="S279" s="39" t="str">
        <f aca="false">IF(B279="","",IF(AND(I279="Y",OR(P279="None",P279="")),"Yes","No"))</f>
        <v/>
      </c>
      <c r="T279" s="36" t="str">
        <f aca="false">IF(OR(O279="",J279="",K279="",J279=K279),"",ROUND(IF(G279="Long",(O279-J279)/(J279-K279),(J279-O279)/(K279-J279)),2))</f>
        <v/>
      </c>
      <c r="U279" s="36" t="str">
        <f aca="false">IF(OR(R279="",T279=""),"",IF(T279&gt;=2,2,IF(N279="Target",-1,R279)))</f>
        <v/>
      </c>
      <c r="V279" s="36" t="str">
        <f aca="false">IF(OR(R279="",T279=""),"",IF(T279&gt;=3,3,IF(N279="Target",-1,R279)))</f>
        <v/>
      </c>
      <c r="W279" s="42" t="str">
        <f aca="false">IF(R279="","",ROUND(R279*(Inputs!$F$9+SUM(W$6:W278))*Inputs!$F$10,2))</f>
        <v/>
      </c>
      <c r="X279" s="42" t="str">
        <f aca="false">IF(R279="","",Inputs!$F$9+SUM(W$7:W279))</f>
        <v/>
      </c>
      <c r="Y279" s="43" t="str">
        <f aca="false">IF(S279="Yes",R279,"")</f>
        <v/>
      </c>
      <c r="Z279" s="43" t="str">
        <f aca="false">IF(Y279="","",SUM(Y$7:Y279))</f>
        <v/>
      </c>
      <c r="AA279" s="43" t="str">
        <f aca="false">IF(Y279="","",MAX(0,MAX(Z$7:Z279)))</f>
        <v/>
      </c>
      <c r="AB279" s="43" t="str">
        <f aca="false">IF(Y279="","",Z279-AA279)</f>
        <v/>
      </c>
    </row>
    <row r="280" customFormat="false" ht="15" hidden="false" customHeight="false" outlineLevel="0" collapsed="false">
      <c r="B280" s="38"/>
      <c r="C280" s="39" t="str">
        <f aca="false">IF(B280="","",INT((B280-Inputs!$F$8)/7)+1)</f>
        <v/>
      </c>
      <c r="D280" s="39" t="str">
        <f aca="false">IF(B280="","",COUNTIF(B$7:B280,B280))</f>
        <v/>
      </c>
      <c r="E280" s="34"/>
      <c r="F280" s="34"/>
      <c r="G280" s="34"/>
      <c r="H280" s="34"/>
      <c r="I280" s="34"/>
      <c r="J280" s="35"/>
      <c r="K280" s="35"/>
      <c r="L280" s="40" t="str">
        <f aca="false">IF(OR(J280="",K280=""),"",IF(G280="Long",J280+Inputs!$F$15*(J280-K280),J280-Inputs!$F$15*(K280-J280)))</f>
        <v/>
      </c>
      <c r="M280" s="35"/>
      <c r="N280" s="34"/>
      <c r="O280" s="35"/>
      <c r="P280" s="34"/>
      <c r="Q280" s="41"/>
      <c r="R280" s="36" t="str">
        <f aca="false">IF(OR(M280="",J280="",K280="",J280=K280),"",ROUND(IF(G280="Long",(M280-J280)/(J280-K280),(J280-M280)/(K280-J280)),2))</f>
        <v/>
      </c>
      <c r="S280" s="39" t="str">
        <f aca="false">IF(B280="","",IF(AND(I280="Y",OR(P280="None",P280="")),"Yes","No"))</f>
        <v/>
      </c>
      <c r="T280" s="36" t="str">
        <f aca="false">IF(OR(O280="",J280="",K280="",J280=K280),"",ROUND(IF(G280="Long",(O280-J280)/(J280-K280),(J280-O280)/(K280-J280)),2))</f>
        <v/>
      </c>
      <c r="U280" s="36" t="str">
        <f aca="false">IF(OR(R280="",T280=""),"",IF(T280&gt;=2,2,IF(N280="Target",-1,R280)))</f>
        <v/>
      </c>
      <c r="V280" s="36" t="str">
        <f aca="false">IF(OR(R280="",T280=""),"",IF(T280&gt;=3,3,IF(N280="Target",-1,R280)))</f>
        <v/>
      </c>
      <c r="W280" s="42" t="str">
        <f aca="false">IF(R280="","",ROUND(R280*(Inputs!$F$9+SUM(W$6:W279))*Inputs!$F$10,2))</f>
        <v/>
      </c>
      <c r="X280" s="42" t="str">
        <f aca="false">IF(R280="","",Inputs!$F$9+SUM(W$7:W280))</f>
        <v/>
      </c>
      <c r="Y280" s="43" t="str">
        <f aca="false">IF(S280="Yes",R280,"")</f>
        <v/>
      </c>
      <c r="Z280" s="43" t="str">
        <f aca="false">IF(Y280="","",SUM(Y$7:Y280))</f>
        <v/>
      </c>
      <c r="AA280" s="43" t="str">
        <f aca="false">IF(Y280="","",MAX(0,MAX(Z$7:Z280)))</f>
        <v/>
      </c>
      <c r="AB280" s="43" t="str">
        <f aca="false">IF(Y280="","",Z280-AA280)</f>
        <v/>
      </c>
    </row>
    <row r="281" customFormat="false" ht="15" hidden="false" customHeight="false" outlineLevel="0" collapsed="false">
      <c r="B281" s="38"/>
      <c r="C281" s="39" t="str">
        <f aca="false">IF(B281="","",INT((B281-Inputs!$F$8)/7)+1)</f>
        <v/>
      </c>
      <c r="D281" s="39" t="str">
        <f aca="false">IF(B281="","",COUNTIF(B$7:B281,B281))</f>
        <v/>
      </c>
      <c r="E281" s="34"/>
      <c r="F281" s="34"/>
      <c r="G281" s="34"/>
      <c r="H281" s="34"/>
      <c r="I281" s="34"/>
      <c r="J281" s="35"/>
      <c r="K281" s="35"/>
      <c r="L281" s="40" t="str">
        <f aca="false">IF(OR(J281="",K281=""),"",IF(G281="Long",J281+Inputs!$F$15*(J281-K281),J281-Inputs!$F$15*(K281-J281)))</f>
        <v/>
      </c>
      <c r="M281" s="35"/>
      <c r="N281" s="34"/>
      <c r="O281" s="35"/>
      <c r="P281" s="34"/>
      <c r="Q281" s="41"/>
      <c r="R281" s="36" t="str">
        <f aca="false">IF(OR(M281="",J281="",K281="",J281=K281),"",ROUND(IF(G281="Long",(M281-J281)/(J281-K281),(J281-M281)/(K281-J281)),2))</f>
        <v/>
      </c>
      <c r="S281" s="39" t="str">
        <f aca="false">IF(B281="","",IF(AND(I281="Y",OR(P281="None",P281="")),"Yes","No"))</f>
        <v/>
      </c>
      <c r="T281" s="36" t="str">
        <f aca="false">IF(OR(O281="",J281="",K281="",J281=K281),"",ROUND(IF(G281="Long",(O281-J281)/(J281-K281),(J281-O281)/(K281-J281)),2))</f>
        <v/>
      </c>
      <c r="U281" s="36" t="str">
        <f aca="false">IF(OR(R281="",T281=""),"",IF(T281&gt;=2,2,IF(N281="Target",-1,R281)))</f>
        <v/>
      </c>
      <c r="V281" s="36" t="str">
        <f aca="false">IF(OR(R281="",T281=""),"",IF(T281&gt;=3,3,IF(N281="Target",-1,R281)))</f>
        <v/>
      </c>
      <c r="W281" s="42" t="str">
        <f aca="false">IF(R281="","",ROUND(R281*(Inputs!$F$9+SUM(W$6:W280))*Inputs!$F$10,2))</f>
        <v/>
      </c>
      <c r="X281" s="42" t="str">
        <f aca="false">IF(R281="","",Inputs!$F$9+SUM(W$7:W281))</f>
        <v/>
      </c>
      <c r="Y281" s="43" t="str">
        <f aca="false">IF(S281="Yes",R281,"")</f>
        <v/>
      </c>
      <c r="Z281" s="43" t="str">
        <f aca="false">IF(Y281="","",SUM(Y$7:Y281))</f>
        <v/>
      </c>
      <c r="AA281" s="43" t="str">
        <f aca="false">IF(Y281="","",MAX(0,MAX(Z$7:Z281)))</f>
        <v/>
      </c>
      <c r="AB281" s="43" t="str">
        <f aca="false">IF(Y281="","",Z281-AA281)</f>
        <v/>
      </c>
    </row>
    <row r="282" customFormat="false" ht="15" hidden="false" customHeight="false" outlineLevel="0" collapsed="false">
      <c r="B282" s="38"/>
      <c r="C282" s="39" t="str">
        <f aca="false">IF(B282="","",INT((B282-Inputs!$F$8)/7)+1)</f>
        <v/>
      </c>
      <c r="D282" s="39" t="str">
        <f aca="false">IF(B282="","",COUNTIF(B$7:B282,B282))</f>
        <v/>
      </c>
      <c r="E282" s="34"/>
      <c r="F282" s="34"/>
      <c r="G282" s="34"/>
      <c r="H282" s="34"/>
      <c r="I282" s="34"/>
      <c r="J282" s="35"/>
      <c r="K282" s="35"/>
      <c r="L282" s="40" t="str">
        <f aca="false">IF(OR(J282="",K282=""),"",IF(G282="Long",J282+Inputs!$F$15*(J282-K282),J282-Inputs!$F$15*(K282-J282)))</f>
        <v/>
      </c>
      <c r="M282" s="35"/>
      <c r="N282" s="34"/>
      <c r="O282" s="35"/>
      <c r="P282" s="34"/>
      <c r="Q282" s="41"/>
      <c r="R282" s="36" t="str">
        <f aca="false">IF(OR(M282="",J282="",K282="",J282=K282),"",ROUND(IF(G282="Long",(M282-J282)/(J282-K282),(J282-M282)/(K282-J282)),2))</f>
        <v/>
      </c>
      <c r="S282" s="39" t="str">
        <f aca="false">IF(B282="","",IF(AND(I282="Y",OR(P282="None",P282="")),"Yes","No"))</f>
        <v/>
      </c>
      <c r="T282" s="36" t="str">
        <f aca="false">IF(OR(O282="",J282="",K282="",J282=K282),"",ROUND(IF(G282="Long",(O282-J282)/(J282-K282),(J282-O282)/(K282-J282)),2))</f>
        <v/>
      </c>
      <c r="U282" s="36" t="str">
        <f aca="false">IF(OR(R282="",T282=""),"",IF(T282&gt;=2,2,IF(N282="Target",-1,R282)))</f>
        <v/>
      </c>
      <c r="V282" s="36" t="str">
        <f aca="false">IF(OR(R282="",T282=""),"",IF(T282&gt;=3,3,IF(N282="Target",-1,R282)))</f>
        <v/>
      </c>
      <c r="W282" s="42" t="str">
        <f aca="false">IF(R282="","",ROUND(R282*(Inputs!$F$9+SUM(W$6:W281))*Inputs!$F$10,2))</f>
        <v/>
      </c>
      <c r="X282" s="42" t="str">
        <f aca="false">IF(R282="","",Inputs!$F$9+SUM(W$7:W282))</f>
        <v/>
      </c>
      <c r="Y282" s="43" t="str">
        <f aca="false">IF(S282="Yes",R282,"")</f>
        <v/>
      </c>
      <c r="Z282" s="43" t="str">
        <f aca="false">IF(Y282="","",SUM(Y$7:Y282))</f>
        <v/>
      </c>
      <c r="AA282" s="43" t="str">
        <f aca="false">IF(Y282="","",MAX(0,MAX(Z$7:Z282)))</f>
        <v/>
      </c>
      <c r="AB282" s="43" t="str">
        <f aca="false">IF(Y282="","",Z282-AA282)</f>
        <v/>
      </c>
    </row>
    <row r="283" customFormat="false" ht="15" hidden="false" customHeight="false" outlineLevel="0" collapsed="false">
      <c r="B283" s="38"/>
      <c r="C283" s="39" t="str">
        <f aca="false">IF(B283="","",INT((B283-Inputs!$F$8)/7)+1)</f>
        <v/>
      </c>
      <c r="D283" s="39" t="str">
        <f aca="false">IF(B283="","",COUNTIF(B$7:B283,B283))</f>
        <v/>
      </c>
      <c r="E283" s="34"/>
      <c r="F283" s="34"/>
      <c r="G283" s="34"/>
      <c r="H283" s="34"/>
      <c r="I283" s="34"/>
      <c r="J283" s="35"/>
      <c r="K283" s="35"/>
      <c r="L283" s="40" t="str">
        <f aca="false">IF(OR(J283="",K283=""),"",IF(G283="Long",J283+Inputs!$F$15*(J283-K283),J283-Inputs!$F$15*(K283-J283)))</f>
        <v/>
      </c>
      <c r="M283" s="35"/>
      <c r="N283" s="34"/>
      <c r="O283" s="35"/>
      <c r="P283" s="34"/>
      <c r="Q283" s="41"/>
      <c r="R283" s="36" t="str">
        <f aca="false">IF(OR(M283="",J283="",K283="",J283=K283),"",ROUND(IF(G283="Long",(M283-J283)/(J283-K283),(J283-M283)/(K283-J283)),2))</f>
        <v/>
      </c>
      <c r="S283" s="39" t="str">
        <f aca="false">IF(B283="","",IF(AND(I283="Y",OR(P283="None",P283="")),"Yes","No"))</f>
        <v/>
      </c>
      <c r="T283" s="36" t="str">
        <f aca="false">IF(OR(O283="",J283="",K283="",J283=K283),"",ROUND(IF(G283="Long",(O283-J283)/(J283-K283),(J283-O283)/(K283-J283)),2))</f>
        <v/>
      </c>
      <c r="U283" s="36" t="str">
        <f aca="false">IF(OR(R283="",T283=""),"",IF(T283&gt;=2,2,IF(N283="Target",-1,R283)))</f>
        <v/>
      </c>
      <c r="V283" s="36" t="str">
        <f aca="false">IF(OR(R283="",T283=""),"",IF(T283&gt;=3,3,IF(N283="Target",-1,R283)))</f>
        <v/>
      </c>
      <c r="W283" s="42" t="str">
        <f aca="false">IF(R283="","",ROUND(R283*(Inputs!$F$9+SUM(W$6:W282))*Inputs!$F$10,2))</f>
        <v/>
      </c>
      <c r="X283" s="42" t="str">
        <f aca="false">IF(R283="","",Inputs!$F$9+SUM(W$7:W283))</f>
        <v/>
      </c>
      <c r="Y283" s="43" t="str">
        <f aca="false">IF(S283="Yes",R283,"")</f>
        <v/>
      </c>
      <c r="Z283" s="43" t="str">
        <f aca="false">IF(Y283="","",SUM(Y$7:Y283))</f>
        <v/>
      </c>
      <c r="AA283" s="43" t="str">
        <f aca="false">IF(Y283="","",MAX(0,MAX(Z$7:Z283)))</f>
        <v/>
      </c>
      <c r="AB283" s="43" t="str">
        <f aca="false">IF(Y283="","",Z283-AA283)</f>
        <v/>
      </c>
    </row>
    <row r="284" customFormat="false" ht="15" hidden="false" customHeight="false" outlineLevel="0" collapsed="false">
      <c r="B284" s="38"/>
      <c r="C284" s="39" t="str">
        <f aca="false">IF(B284="","",INT((B284-Inputs!$F$8)/7)+1)</f>
        <v/>
      </c>
      <c r="D284" s="39" t="str">
        <f aca="false">IF(B284="","",COUNTIF(B$7:B284,B284))</f>
        <v/>
      </c>
      <c r="E284" s="34"/>
      <c r="F284" s="34"/>
      <c r="G284" s="34"/>
      <c r="H284" s="34"/>
      <c r="I284" s="34"/>
      <c r="J284" s="35"/>
      <c r="K284" s="35"/>
      <c r="L284" s="40" t="str">
        <f aca="false">IF(OR(J284="",K284=""),"",IF(G284="Long",J284+Inputs!$F$15*(J284-K284),J284-Inputs!$F$15*(K284-J284)))</f>
        <v/>
      </c>
      <c r="M284" s="35"/>
      <c r="N284" s="34"/>
      <c r="O284" s="35"/>
      <c r="P284" s="34"/>
      <c r="Q284" s="41"/>
      <c r="R284" s="36" t="str">
        <f aca="false">IF(OR(M284="",J284="",K284="",J284=K284),"",ROUND(IF(G284="Long",(M284-J284)/(J284-K284),(J284-M284)/(K284-J284)),2))</f>
        <v/>
      </c>
      <c r="S284" s="39" t="str">
        <f aca="false">IF(B284="","",IF(AND(I284="Y",OR(P284="None",P284="")),"Yes","No"))</f>
        <v/>
      </c>
      <c r="T284" s="36" t="str">
        <f aca="false">IF(OR(O284="",J284="",K284="",J284=K284),"",ROUND(IF(G284="Long",(O284-J284)/(J284-K284),(J284-O284)/(K284-J284)),2))</f>
        <v/>
      </c>
      <c r="U284" s="36" t="str">
        <f aca="false">IF(OR(R284="",T284=""),"",IF(T284&gt;=2,2,IF(N284="Target",-1,R284)))</f>
        <v/>
      </c>
      <c r="V284" s="36" t="str">
        <f aca="false">IF(OR(R284="",T284=""),"",IF(T284&gt;=3,3,IF(N284="Target",-1,R284)))</f>
        <v/>
      </c>
      <c r="W284" s="42" t="str">
        <f aca="false">IF(R284="","",ROUND(R284*(Inputs!$F$9+SUM(W$6:W283))*Inputs!$F$10,2))</f>
        <v/>
      </c>
      <c r="X284" s="42" t="str">
        <f aca="false">IF(R284="","",Inputs!$F$9+SUM(W$7:W284))</f>
        <v/>
      </c>
      <c r="Y284" s="43" t="str">
        <f aca="false">IF(S284="Yes",R284,"")</f>
        <v/>
      </c>
      <c r="Z284" s="43" t="str">
        <f aca="false">IF(Y284="","",SUM(Y$7:Y284))</f>
        <v/>
      </c>
      <c r="AA284" s="43" t="str">
        <f aca="false">IF(Y284="","",MAX(0,MAX(Z$7:Z284)))</f>
        <v/>
      </c>
      <c r="AB284" s="43" t="str">
        <f aca="false">IF(Y284="","",Z284-AA284)</f>
        <v/>
      </c>
    </row>
    <row r="285" customFormat="false" ht="15" hidden="false" customHeight="false" outlineLevel="0" collapsed="false">
      <c r="B285" s="38"/>
      <c r="C285" s="39" t="str">
        <f aca="false">IF(B285="","",INT((B285-Inputs!$F$8)/7)+1)</f>
        <v/>
      </c>
      <c r="D285" s="39" t="str">
        <f aca="false">IF(B285="","",COUNTIF(B$7:B285,B285))</f>
        <v/>
      </c>
      <c r="E285" s="34"/>
      <c r="F285" s="34"/>
      <c r="G285" s="34"/>
      <c r="H285" s="34"/>
      <c r="I285" s="34"/>
      <c r="J285" s="35"/>
      <c r="K285" s="35"/>
      <c r="L285" s="40" t="str">
        <f aca="false">IF(OR(J285="",K285=""),"",IF(G285="Long",J285+Inputs!$F$15*(J285-K285),J285-Inputs!$F$15*(K285-J285)))</f>
        <v/>
      </c>
      <c r="M285" s="35"/>
      <c r="N285" s="34"/>
      <c r="O285" s="35"/>
      <c r="P285" s="34"/>
      <c r="Q285" s="41"/>
      <c r="R285" s="36" t="str">
        <f aca="false">IF(OR(M285="",J285="",K285="",J285=K285),"",ROUND(IF(G285="Long",(M285-J285)/(J285-K285),(J285-M285)/(K285-J285)),2))</f>
        <v/>
      </c>
      <c r="S285" s="39" t="str">
        <f aca="false">IF(B285="","",IF(AND(I285="Y",OR(P285="None",P285="")),"Yes","No"))</f>
        <v/>
      </c>
      <c r="T285" s="36" t="str">
        <f aca="false">IF(OR(O285="",J285="",K285="",J285=K285),"",ROUND(IF(G285="Long",(O285-J285)/(J285-K285),(J285-O285)/(K285-J285)),2))</f>
        <v/>
      </c>
      <c r="U285" s="36" t="str">
        <f aca="false">IF(OR(R285="",T285=""),"",IF(T285&gt;=2,2,IF(N285="Target",-1,R285)))</f>
        <v/>
      </c>
      <c r="V285" s="36" t="str">
        <f aca="false">IF(OR(R285="",T285=""),"",IF(T285&gt;=3,3,IF(N285="Target",-1,R285)))</f>
        <v/>
      </c>
      <c r="W285" s="42" t="str">
        <f aca="false">IF(R285="","",ROUND(R285*(Inputs!$F$9+SUM(W$6:W284))*Inputs!$F$10,2))</f>
        <v/>
      </c>
      <c r="X285" s="42" t="str">
        <f aca="false">IF(R285="","",Inputs!$F$9+SUM(W$7:W285))</f>
        <v/>
      </c>
      <c r="Y285" s="43" t="str">
        <f aca="false">IF(S285="Yes",R285,"")</f>
        <v/>
      </c>
      <c r="Z285" s="43" t="str">
        <f aca="false">IF(Y285="","",SUM(Y$7:Y285))</f>
        <v/>
      </c>
      <c r="AA285" s="43" t="str">
        <f aca="false">IF(Y285="","",MAX(0,MAX(Z$7:Z285)))</f>
        <v/>
      </c>
      <c r="AB285" s="43" t="str">
        <f aca="false">IF(Y285="","",Z285-AA285)</f>
        <v/>
      </c>
    </row>
    <row r="286" customFormat="false" ht="15" hidden="false" customHeight="false" outlineLevel="0" collapsed="false">
      <c r="B286" s="38"/>
      <c r="C286" s="39" t="str">
        <f aca="false">IF(B286="","",INT((B286-Inputs!$F$8)/7)+1)</f>
        <v/>
      </c>
      <c r="D286" s="39" t="str">
        <f aca="false">IF(B286="","",COUNTIF(B$7:B286,B286))</f>
        <v/>
      </c>
      <c r="E286" s="34"/>
      <c r="F286" s="34"/>
      <c r="G286" s="34"/>
      <c r="H286" s="34"/>
      <c r="I286" s="34"/>
      <c r="J286" s="35"/>
      <c r="K286" s="35"/>
      <c r="L286" s="40" t="str">
        <f aca="false">IF(OR(J286="",K286=""),"",IF(G286="Long",J286+Inputs!$F$15*(J286-K286),J286-Inputs!$F$15*(K286-J286)))</f>
        <v/>
      </c>
      <c r="M286" s="35"/>
      <c r="N286" s="34"/>
      <c r="O286" s="35"/>
      <c r="P286" s="34"/>
      <c r="Q286" s="41"/>
      <c r="R286" s="36" t="str">
        <f aca="false">IF(OR(M286="",J286="",K286="",J286=K286),"",ROUND(IF(G286="Long",(M286-J286)/(J286-K286),(J286-M286)/(K286-J286)),2))</f>
        <v/>
      </c>
      <c r="S286" s="39" t="str">
        <f aca="false">IF(B286="","",IF(AND(I286="Y",OR(P286="None",P286="")),"Yes","No"))</f>
        <v/>
      </c>
      <c r="T286" s="36" t="str">
        <f aca="false">IF(OR(O286="",J286="",K286="",J286=K286),"",ROUND(IF(G286="Long",(O286-J286)/(J286-K286),(J286-O286)/(K286-J286)),2))</f>
        <v/>
      </c>
      <c r="U286" s="36" t="str">
        <f aca="false">IF(OR(R286="",T286=""),"",IF(T286&gt;=2,2,IF(N286="Target",-1,R286)))</f>
        <v/>
      </c>
      <c r="V286" s="36" t="str">
        <f aca="false">IF(OR(R286="",T286=""),"",IF(T286&gt;=3,3,IF(N286="Target",-1,R286)))</f>
        <v/>
      </c>
      <c r="W286" s="42" t="str">
        <f aca="false">IF(R286="","",ROUND(R286*(Inputs!$F$9+SUM(W$6:W285))*Inputs!$F$10,2))</f>
        <v/>
      </c>
      <c r="X286" s="42" t="str">
        <f aca="false">IF(R286="","",Inputs!$F$9+SUM(W$7:W286))</f>
        <v/>
      </c>
      <c r="Y286" s="43" t="str">
        <f aca="false">IF(S286="Yes",R286,"")</f>
        <v/>
      </c>
      <c r="Z286" s="43" t="str">
        <f aca="false">IF(Y286="","",SUM(Y$7:Y286))</f>
        <v/>
      </c>
      <c r="AA286" s="43" t="str">
        <f aca="false">IF(Y286="","",MAX(0,MAX(Z$7:Z286)))</f>
        <v/>
      </c>
      <c r="AB286" s="43" t="str">
        <f aca="false">IF(Y286="","",Z286-AA286)</f>
        <v/>
      </c>
    </row>
    <row r="287" customFormat="false" ht="15" hidden="false" customHeight="false" outlineLevel="0" collapsed="false">
      <c r="B287" s="38"/>
      <c r="C287" s="39" t="str">
        <f aca="false">IF(B287="","",INT((B287-Inputs!$F$8)/7)+1)</f>
        <v/>
      </c>
      <c r="D287" s="39" t="str">
        <f aca="false">IF(B287="","",COUNTIF(B$7:B287,B287))</f>
        <v/>
      </c>
      <c r="E287" s="34"/>
      <c r="F287" s="34"/>
      <c r="G287" s="34"/>
      <c r="H287" s="34"/>
      <c r="I287" s="34"/>
      <c r="J287" s="35"/>
      <c r="K287" s="35"/>
      <c r="L287" s="40" t="str">
        <f aca="false">IF(OR(J287="",K287=""),"",IF(G287="Long",J287+Inputs!$F$15*(J287-K287),J287-Inputs!$F$15*(K287-J287)))</f>
        <v/>
      </c>
      <c r="M287" s="35"/>
      <c r="N287" s="34"/>
      <c r="O287" s="35"/>
      <c r="P287" s="34"/>
      <c r="Q287" s="41"/>
      <c r="R287" s="36" t="str">
        <f aca="false">IF(OR(M287="",J287="",K287="",J287=K287),"",ROUND(IF(G287="Long",(M287-J287)/(J287-K287),(J287-M287)/(K287-J287)),2))</f>
        <v/>
      </c>
      <c r="S287" s="39" t="str">
        <f aca="false">IF(B287="","",IF(AND(I287="Y",OR(P287="None",P287="")),"Yes","No"))</f>
        <v/>
      </c>
      <c r="T287" s="36" t="str">
        <f aca="false">IF(OR(O287="",J287="",K287="",J287=K287),"",ROUND(IF(G287="Long",(O287-J287)/(J287-K287),(J287-O287)/(K287-J287)),2))</f>
        <v/>
      </c>
      <c r="U287" s="36" t="str">
        <f aca="false">IF(OR(R287="",T287=""),"",IF(T287&gt;=2,2,IF(N287="Target",-1,R287)))</f>
        <v/>
      </c>
      <c r="V287" s="36" t="str">
        <f aca="false">IF(OR(R287="",T287=""),"",IF(T287&gt;=3,3,IF(N287="Target",-1,R287)))</f>
        <v/>
      </c>
      <c r="W287" s="42" t="str">
        <f aca="false">IF(R287="","",ROUND(R287*(Inputs!$F$9+SUM(W$6:W286))*Inputs!$F$10,2))</f>
        <v/>
      </c>
      <c r="X287" s="42" t="str">
        <f aca="false">IF(R287="","",Inputs!$F$9+SUM(W$7:W287))</f>
        <v/>
      </c>
      <c r="Y287" s="43" t="str">
        <f aca="false">IF(S287="Yes",R287,"")</f>
        <v/>
      </c>
      <c r="Z287" s="43" t="str">
        <f aca="false">IF(Y287="","",SUM(Y$7:Y287))</f>
        <v/>
      </c>
      <c r="AA287" s="43" t="str">
        <f aca="false">IF(Y287="","",MAX(0,MAX(Z$7:Z287)))</f>
        <v/>
      </c>
      <c r="AB287" s="43" t="str">
        <f aca="false">IF(Y287="","",Z287-AA287)</f>
        <v/>
      </c>
    </row>
    <row r="288" customFormat="false" ht="15" hidden="false" customHeight="false" outlineLevel="0" collapsed="false">
      <c r="B288" s="38"/>
      <c r="C288" s="39" t="str">
        <f aca="false">IF(B288="","",INT((B288-Inputs!$F$8)/7)+1)</f>
        <v/>
      </c>
      <c r="D288" s="39" t="str">
        <f aca="false">IF(B288="","",COUNTIF(B$7:B288,B288))</f>
        <v/>
      </c>
      <c r="E288" s="34"/>
      <c r="F288" s="34"/>
      <c r="G288" s="34"/>
      <c r="H288" s="34"/>
      <c r="I288" s="34"/>
      <c r="J288" s="35"/>
      <c r="K288" s="35"/>
      <c r="L288" s="40" t="str">
        <f aca="false">IF(OR(J288="",K288=""),"",IF(G288="Long",J288+Inputs!$F$15*(J288-K288),J288-Inputs!$F$15*(K288-J288)))</f>
        <v/>
      </c>
      <c r="M288" s="35"/>
      <c r="N288" s="34"/>
      <c r="O288" s="35"/>
      <c r="P288" s="34"/>
      <c r="Q288" s="41"/>
      <c r="R288" s="36" t="str">
        <f aca="false">IF(OR(M288="",J288="",K288="",J288=K288),"",ROUND(IF(G288="Long",(M288-J288)/(J288-K288),(J288-M288)/(K288-J288)),2))</f>
        <v/>
      </c>
      <c r="S288" s="39" t="str">
        <f aca="false">IF(B288="","",IF(AND(I288="Y",OR(P288="None",P288="")),"Yes","No"))</f>
        <v/>
      </c>
      <c r="T288" s="36" t="str">
        <f aca="false">IF(OR(O288="",J288="",K288="",J288=K288),"",ROUND(IF(G288="Long",(O288-J288)/(J288-K288),(J288-O288)/(K288-J288)),2))</f>
        <v/>
      </c>
      <c r="U288" s="36" t="str">
        <f aca="false">IF(OR(R288="",T288=""),"",IF(T288&gt;=2,2,IF(N288="Target",-1,R288)))</f>
        <v/>
      </c>
      <c r="V288" s="36" t="str">
        <f aca="false">IF(OR(R288="",T288=""),"",IF(T288&gt;=3,3,IF(N288="Target",-1,R288)))</f>
        <v/>
      </c>
      <c r="W288" s="42" t="str">
        <f aca="false">IF(R288="","",ROUND(R288*(Inputs!$F$9+SUM(W$6:W287))*Inputs!$F$10,2))</f>
        <v/>
      </c>
      <c r="X288" s="42" t="str">
        <f aca="false">IF(R288="","",Inputs!$F$9+SUM(W$7:W288))</f>
        <v/>
      </c>
      <c r="Y288" s="43" t="str">
        <f aca="false">IF(S288="Yes",R288,"")</f>
        <v/>
      </c>
      <c r="Z288" s="43" t="str">
        <f aca="false">IF(Y288="","",SUM(Y$7:Y288))</f>
        <v/>
      </c>
      <c r="AA288" s="43" t="str">
        <f aca="false">IF(Y288="","",MAX(0,MAX(Z$7:Z288)))</f>
        <v/>
      </c>
      <c r="AB288" s="43" t="str">
        <f aca="false">IF(Y288="","",Z288-AA288)</f>
        <v/>
      </c>
    </row>
    <row r="289" customFormat="false" ht="15" hidden="false" customHeight="false" outlineLevel="0" collapsed="false">
      <c r="B289" s="38"/>
      <c r="C289" s="39" t="str">
        <f aca="false">IF(B289="","",INT((B289-Inputs!$F$8)/7)+1)</f>
        <v/>
      </c>
      <c r="D289" s="39" t="str">
        <f aca="false">IF(B289="","",COUNTIF(B$7:B289,B289))</f>
        <v/>
      </c>
      <c r="E289" s="34"/>
      <c r="F289" s="34"/>
      <c r="G289" s="34"/>
      <c r="H289" s="34"/>
      <c r="I289" s="34"/>
      <c r="J289" s="35"/>
      <c r="K289" s="35"/>
      <c r="L289" s="40" t="str">
        <f aca="false">IF(OR(J289="",K289=""),"",IF(G289="Long",J289+Inputs!$F$15*(J289-K289),J289-Inputs!$F$15*(K289-J289)))</f>
        <v/>
      </c>
      <c r="M289" s="35"/>
      <c r="N289" s="34"/>
      <c r="O289" s="35"/>
      <c r="P289" s="34"/>
      <c r="Q289" s="41"/>
      <c r="R289" s="36" t="str">
        <f aca="false">IF(OR(M289="",J289="",K289="",J289=K289),"",ROUND(IF(G289="Long",(M289-J289)/(J289-K289),(J289-M289)/(K289-J289)),2))</f>
        <v/>
      </c>
      <c r="S289" s="39" t="str">
        <f aca="false">IF(B289="","",IF(AND(I289="Y",OR(P289="None",P289="")),"Yes","No"))</f>
        <v/>
      </c>
      <c r="T289" s="36" t="str">
        <f aca="false">IF(OR(O289="",J289="",K289="",J289=K289),"",ROUND(IF(G289="Long",(O289-J289)/(J289-K289),(J289-O289)/(K289-J289)),2))</f>
        <v/>
      </c>
      <c r="U289" s="36" t="str">
        <f aca="false">IF(OR(R289="",T289=""),"",IF(T289&gt;=2,2,IF(N289="Target",-1,R289)))</f>
        <v/>
      </c>
      <c r="V289" s="36" t="str">
        <f aca="false">IF(OR(R289="",T289=""),"",IF(T289&gt;=3,3,IF(N289="Target",-1,R289)))</f>
        <v/>
      </c>
      <c r="W289" s="42" t="str">
        <f aca="false">IF(R289="","",ROUND(R289*(Inputs!$F$9+SUM(W$6:W288))*Inputs!$F$10,2))</f>
        <v/>
      </c>
      <c r="X289" s="42" t="str">
        <f aca="false">IF(R289="","",Inputs!$F$9+SUM(W$7:W289))</f>
        <v/>
      </c>
      <c r="Y289" s="43" t="str">
        <f aca="false">IF(S289="Yes",R289,"")</f>
        <v/>
      </c>
      <c r="Z289" s="43" t="str">
        <f aca="false">IF(Y289="","",SUM(Y$7:Y289))</f>
        <v/>
      </c>
      <c r="AA289" s="43" t="str">
        <f aca="false">IF(Y289="","",MAX(0,MAX(Z$7:Z289)))</f>
        <v/>
      </c>
      <c r="AB289" s="43" t="str">
        <f aca="false">IF(Y289="","",Z289-AA289)</f>
        <v/>
      </c>
    </row>
    <row r="290" customFormat="false" ht="15" hidden="false" customHeight="false" outlineLevel="0" collapsed="false">
      <c r="B290" s="38"/>
      <c r="C290" s="39" t="str">
        <f aca="false">IF(B290="","",INT((B290-Inputs!$F$8)/7)+1)</f>
        <v/>
      </c>
      <c r="D290" s="39" t="str">
        <f aca="false">IF(B290="","",COUNTIF(B$7:B290,B290))</f>
        <v/>
      </c>
      <c r="E290" s="34"/>
      <c r="F290" s="34"/>
      <c r="G290" s="34"/>
      <c r="H290" s="34"/>
      <c r="I290" s="34"/>
      <c r="J290" s="35"/>
      <c r="K290" s="35"/>
      <c r="L290" s="40" t="str">
        <f aca="false">IF(OR(J290="",K290=""),"",IF(G290="Long",J290+Inputs!$F$15*(J290-K290),J290-Inputs!$F$15*(K290-J290)))</f>
        <v/>
      </c>
      <c r="M290" s="35"/>
      <c r="N290" s="34"/>
      <c r="O290" s="35"/>
      <c r="P290" s="34"/>
      <c r="Q290" s="41"/>
      <c r="R290" s="36" t="str">
        <f aca="false">IF(OR(M290="",J290="",K290="",J290=K290),"",ROUND(IF(G290="Long",(M290-J290)/(J290-K290),(J290-M290)/(K290-J290)),2))</f>
        <v/>
      </c>
      <c r="S290" s="39" t="str">
        <f aca="false">IF(B290="","",IF(AND(I290="Y",OR(P290="None",P290="")),"Yes","No"))</f>
        <v/>
      </c>
      <c r="T290" s="36" t="str">
        <f aca="false">IF(OR(O290="",J290="",K290="",J290=K290),"",ROUND(IF(G290="Long",(O290-J290)/(J290-K290),(J290-O290)/(K290-J290)),2))</f>
        <v/>
      </c>
      <c r="U290" s="36" t="str">
        <f aca="false">IF(OR(R290="",T290=""),"",IF(T290&gt;=2,2,IF(N290="Target",-1,R290)))</f>
        <v/>
      </c>
      <c r="V290" s="36" t="str">
        <f aca="false">IF(OR(R290="",T290=""),"",IF(T290&gt;=3,3,IF(N290="Target",-1,R290)))</f>
        <v/>
      </c>
      <c r="W290" s="42" t="str">
        <f aca="false">IF(R290="","",ROUND(R290*(Inputs!$F$9+SUM(W$6:W289))*Inputs!$F$10,2))</f>
        <v/>
      </c>
      <c r="X290" s="42" t="str">
        <f aca="false">IF(R290="","",Inputs!$F$9+SUM(W$7:W290))</f>
        <v/>
      </c>
      <c r="Y290" s="43" t="str">
        <f aca="false">IF(S290="Yes",R290,"")</f>
        <v/>
      </c>
      <c r="Z290" s="43" t="str">
        <f aca="false">IF(Y290="","",SUM(Y$7:Y290))</f>
        <v/>
      </c>
      <c r="AA290" s="43" t="str">
        <f aca="false">IF(Y290="","",MAX(0,MAX(Z$7:Z290)))</f>
        <v/>
      </c>
      <c r="AB290" s="43" t="str">
        <f aca="false">IF(Y290="","",Z290-AA290)</f>
        <v/>
      </c>
    </row>
    <row r="291" customFormat="false" ht="15" hidden="false" customHeight="false" outlineLevel="0" collapsed="false">
      <c r="B291" s="38"/>
      <c r="C291" s="39" t="str">
        <f aca="false">IF(B291="","",INT((B291-Inputs!$F$8)/7)+1)</f>
        <v/>
      </c>
      <c r="D291" s="39" t="str">
        <f aca="false">IF(B291="","",COUNTIF(B$7:B291,B291))</f>
        <v/>
      </c>
      <c r="E291" s="34"/>
      <c r="F291" s="34"/>
      <c r="G291" s="34"/>
      <c r="H291" s="34"/>
      <c r="I291" s="34"/>
      <c r="J291" s="35"/>
      <c r="K291" s="35"/>
      <c r="L291" s="40" t="str">
        <f aca="false">IF(OR(J291="",K291=""),"",IF(G291="Long",J291+Inputs!$F$15*(J291-K291),J291-Inputs!$F$15*(K291-J291)))</f>
        <v/>
      </c>
      <c r="M291" s="35"/>
      <c r="N291" s="34"/>
      <c r="O291" s="35"/>
      <c r="P291" s="34"/>
      <c r="Q291" s="41"/>
      <c r="R291" s="36" t="str">
        <f aca="false">IF(OR(M291="",J291="",K291="",J291=K291),"",ROUND(IF(G291="Long",(M291-J291)/(J291-K291),(J291-M291)/(K291-J291)),2))</f>
        <v/>
      </c>
      <c r="S291" s="39" t="str">
        <f aca="false">IF(B291="","",IF(AND(I291="Y",OR(P291="None",P291="")),"Yes","No"))</f>
        <v/>
      </c>
      <c r="T291" s="36" t="str">
        <f aca="false">IF(OR(O291="",J291="",K291="",J291=K291),"",ROUND(IF(G291="Long",(O291-J291)/(J291-K291),(J291-O291)/(K291-J291)),2))</f>
        <v/>
      </c>
      <c r="U291" s="36" t="str">
        <f aca="false">IF(OR(R291="",T291=""),"",IF(T291&gt;=2,2,IF(N291="Target",-1,R291)))</f>
        <v/>
      </c>
      <c r="V291" s="36" t="str">
        <f aca="false">IF(OR(R291="",T291=""),"",IF(T291&gt;=3,3,IF(N291="Target",-1,R291)))</f>
        <v/>
      </c>
      <c r="W291" s="42" t="str">
        <f aca="false">IF(R291="","",ROUND(R291*(Inputs!$F$9+SUM(W$6:W290))*Inputs!$F$10,2))</f>
        <v/>
      </c>
      <c r="X291" s="42" t="str">
        <f aca="false">IF(R291="","",Inputs!$F$9+SUM(W$7:W291))</f>
        <v/>
      </c>
      <c r="Y291" s="43" t="str">
        <f aca="false">IF(S291="Yes",R291,"")</f>
        <v/>
      </c>
      <c r="Z291" s="43" t="str">
        <f aca="false">IF(Y291="","",SUM(Y$7:Y291))</f>
        <v/>
      </c>
      <c r="AA291" s="43" t="str">
        <f aca="false">IF(Y291="","",MAX(0,MAX(Z$7:Z291)))</f>
        <v/>
      </c>
      <c r="AB291" s="43" t="str">
        <f aca="false">IF(Y291="","",Z291-AA291)</f>
        <v/>
      </c>
    </row>
    <row r="292" customFormat="false" ht="15" hidden="false" customHeight="false" outlineLevel="0" collapsed="false">
      <c r="B292" s="38"/>
      <c r="C292" s="39" t="str">
        <f aca="false">IF(B292="","",INT((B292-Inputs!$F$8)/7)+1)</f>
        <v/>
      </c>
      <c r="D292" s="39" t="str">
        <f aca="false">IF(B292="","",COUNTIF(B$7:B292,B292))</f>
        <v/>
      </c>
      <c r="E292" s="34"/>
      <c r="F292" s="34"/>
      <c r="G292" s="34"/>
      <c r="H292" s="34"/>
      <c r="I292" s="34"/>
      <c r="J292" s="35"/>
      <c r="K292" s="35"/>
      <c r="L292" s="40" t="str">
        <f aca="false">IF(OR(J292="",K292=""),"",IF(G292="Long",J292+Inputs!$F$15*(J292-K292),J292-Inputs!$F$15*(K292-J292)))</f>
        <v/>
      </c>
      <c r="M292" s="35"/>
      <c r="N292" s="34"/>
      <c r="O292" s="35"/>
      <c r="P292" s="34"/>
      <c r="Q292" s="41"/>
      <c r="R292" s="36" t="str">
        <f aca="false">IF(OR(M292="",J292="",K292="",J292=K292),"",ROUND(IF(G292="Long",(M292-J292)/(J292-K292),(J292-M292)/(K292-J292)),2))</f>
        <v/>
      </c>
      <c r="S292" s="39" t="str">
        <f aca="false">IF(B292="","",IF(AND(I292="Y",OR(P292="None",P292="")),"Yes","No"))</f>
        <v/>
      </c>
      <c r="T292" s="36" t="str">
        <f aca="false">IF(OR(O292="",J292="",K292="",J292=K292),"",ROUND(IF(G292="Long",(O292-J292)/(J292-K292),(J292-O292)/(K292-J292)),2))</f>
        <v/>
      </c>
      <c r="U292" s="36" t="str">
        <f aca="false">IF(OR(R292="",T292=""),"",IF(T292&gt;=2,2,IF(N292="Target",-1,R292)))</f>
        <v/>
      </c>
      <c r="V292" s="36" t="str">
        <f aca="false">IF(OR(R292="",T292=""),"",IF(T292&gt;=3,3,IF(N292="Target",-1,R292)))</f>
        <v/>
      </c>
      <c r="W292" s="42" t="str">
        <f aca="false">IF(R292="","",ROUND(R292*(Inputs!$F$9+SUM(W$6:W291))*Inputs!$F$10,2))</f>
        <v/>
      </c>
      <c r="X292" s="42" t="str">
        <f aca="false">IF(R292="","",Inputs!$F$9+SUM(W$7:W292))</f>
        <v/>
      </c>
      <c r="Y292" s="43" t="str">
        <f aca="false">IF(S292="Yes",R292,"")</f>
        <v/>
      </c>
      <c r="Z292" s="43" t="str">
        <f aca="false">IF(Y292="","",SUM(Y$7:Y292))</f>
        <v/>
      </c>
      <c r="AA292" s="43" t="str">
        <f aca="false">IF(Y292="","",MAX(0,MAX(Z$7:Z292)))</f>
        <v/>
      </c>
      <c r="AB292" s="43" t="str">
        <f aca="false">IF(Y292="","",Z292-AA292)</f>
        <v/>
      </c>
    </row>
    <row r="293" customFormat="false" ht="15" hidden="false" customHeight="false" outlineLevel="0" collapsed="false">
      <c r="B293" s="38"/>
      <c r="C293" s="39" t="str">
        <f aca="false">IF(B293="","",INT((B293-Inputs!$F$8)/7)+1)</f>
        <v/>
      </c>
      <c r="D293" s="39" t="str">
        <f aca="false">IF(B293="","",COUNTIF(B$7:B293,B293))</f>
        <v/>
      </c>
      <c r="E293" s="34"/>
      <c r="F293" s="34"/>
      <c r="G293" s="34"/>
      <c r="H293" s="34"/>
      <c r="I293" s="34"/>
      <c r="J293" s="35"/>
      <c r="K293" s="35"/>
      <c r="L293" s="40" t="str">
        <f aca="false">IF(OR(J293="",K293=""),"",IF(G293="Long",J293+Inputs!$F$15*(J293-K293),J293-Inputs!$F$15*(K293-J293)))</f>
        <v/>
      </c>
      <c r="M293" s="35"/>
      <c r="N293" s="34"/>
      <c r="O293" s="35"/>
      <c r="P293" s="34"/>
      <c r="Q293" s="41"/>
      <c r="R293" s="36" t="str">
        <f aca="false">IF(OR(M293="",J293="",K293="",J293=K293),"",ROUND(IF(G293="Long",(M293-J293)/(J293-K293),(J293-M293)/(K293-J293)),2))</f>
        <v/>
      </c>
      <c r="S293" s="39" t="str">
        <f aca="false">IF(B293="","",IF(AND(I293="Y",OR(P293="None",P293="")),"Yes","No"))</f>
        <v/>
      </c>
      <c r="T293" s="36" t="str">
        <f aca="false">IF(OR(O293="",J293="",K293="",J293=K293),"",ROUND(IF(G293="Long",(O293-J293)/(J293-K293),(J293-O293)/(K293-J293)),2))</f>
        <v/>
      </c>
      <c r="U293" s="36" t="str">
        <f aca="false">IF(OR(R293="",T293=""),"",IF(T293&gt;=2,2,IF(N293="Target",-1,R293)))</f>
        <v/>
      </c>
      <c r="V293" s="36" t="str">
        <f aca="false">IF(OR(R293="",T293=""),"",IF(T293&gt;=3,3,IF(N293="Target",-1,R293)))</f>
        <v/>
      </c>
      <c r="W293" s="42" t="str">
        <f aca="false">IF(R293="","",ROUND(R293*(Inputs!$F$9+SUM(W$6:W292))*Inputs!$F$10,2))</f>
        <v/>
      </c>
      <c r="X293" s="42" t="str">
        <f aca="false">IF(R293="","",Inputs!$F$9+SUM(W$7:W293))</f>
        <v/>
      </c>
      <c r="Y293" s="43" t="str">
        <f aca="false">IF(S293="Yes",R293,"")</f>
        <v/>
      </c>
      <c r="Z293" s="43" t="str">
        <f aca="false">IF(Y293="","",SUM(Y$7:Y293))</f>
        <v/>
      </c>
      <c r="AA293" s="43" t="str">
        <f aca="false">IF(Y293="","",MAX(0,MAX(Z$7:Z293)))</f>
        <v/>
      </c>
      <c r="AB293" s="43" t="str">
        <f aca="false">IF(Y293="","",Z293-AA293)</f>
        <v/>
      </c>
    </row>
    <row r="294" customFormat="false" ht="15" hidden="false" customHeight="false" outlineLevel="0" collapsed="false">
      <c r="B294" s="38"/>
      <c r="C294" s="39" t="str">
        <f aca="false">IF(B294="","",INT((B294-Inputs!$F$8)/7)+1)</f>
        <v/>
      </c>
      <c r="D294" s="39" t="str">
        <f aca="false">IF(B294="","",COUNTIF(B$7:B294,B294))</f>
        <v/>
      </c>
      <c r="E294" s="34"/>
      <c r="F294" s="34"/>
      <c r="G294" s="34"/>
      <c r="H294" s="34"/>
      <c r="I294" s="34"/>
      <c r="J294" s="35"/>
      <c r="K294" s="35"/>
      <c r="L294" s="40" t="str">
        <f aca="false">IF(OR(J294="",K294=""),"",IF(G294="Long",J294+Inputs!$F$15*(J294-K294),J294-Inputs!$F$15*(K294-J294)))</f>
        <v/>
      </c>
      <c r="M294" s="35"/>
      <c r="N294" s="34"/>
      <c r="O294" s="35"/>
      <c r="P294" s="34"/>
      <c r="Q294" s="41"/>
      <c r="R294" s="36" t="str">
        <f aca="false">IF(OR(M294="",J294="",K294="",J294=K294),"",ROUND(IF(G294="Long",(M294-J294)/(J294-K294),(J294-M294)/(K294-J294)),2))</f>
        <v/>
      </c>
      <c r="S294" s="39" t="str">
        <f aca="false">IF(B294="","",IF(AND(I294="Y",OR(P294="None",P294="")),"Yes","No"))</f>
        <v/>
      </c>
      <c r="T294" s="36" t="str">
        <f aca="false">IF(OR(O294="",J294="",K294="",J294=K294),"",ROUND(IF(G294="Long",(O294-J294)/(J294-K294),(J294-O294)/(K294-J294)),2))</f>
        <v/>
      </c>
      <c r="U294" s="36" t="str">
        <f aca="false">IF(OR(R294="",T294=""),"",IF(T294&gt;=2,2,IF(N294="Target",-1,R294)))</f>
        <v/>
      </c>
      <c r="V294" s="36" t="str">
        <f aca="false">IF(OR(R294="",T294=""),"",IF(T294&gt;=3,3,IF(N294="Target",-1,R294)))</f>
        <v/>
      </c>
      <c r="W294" s="42" t="str">
        <f aca="false">IF(R294="","",ROUND(R294*(Inputs!$F$9+SUM(W$6:W293))*Inputs!$F$10,2))</f>
        <v/>
      </c>
      <c r="X294" s="42" t="str">
        <f aca="false">IF(R294="","",Inputs!$F$9+SUM(W$7:W294))</f>
        <v/>
      </c>
      <c r="Y294" s="43" t="str">
        <f aca="false">IF(S294="Yes",R294,"")</f>
        <v/>
      </c>
      <c r="Z294" s="43" t="str">
        <f aca="false">IF(Y294="","",SUM(Y$7:Y294))</f>
        <v/>
      </c>
      <c r="AA294" s="43" t="str">
        <f aca="false">IF(Y294="","",MAX(0,MAX(Z$7:Z294)))</f>
        <v/>
      </c>
      <c r="AB294" s="43" t="str">
        <f aca="false">IF(Y294="","",Z294-AA294)</f>
        <v/>
      </c>
    </row>
    <row r="295" customFormat="false" ht="15" hidden="false" customHeight="false" outlineLevel="0" collapsed="false">
      <c r="B295" s="38"/>
      <c r="C295" s="39" t="str">
        <f aca="false">IF(B295="","",INT((B295-Inputs!$F$8)/7)+1)</f>
        <v/>
      </c>
      <c r="D295" s="39" t="str">
        <f aca="false">IF(B295="","",COUNTIF(B$7:B295,B295))</f>
        <v/>
      </c>
      <c r="E295" s="34"/>
      <c r="F295" s="34"/>
      <c r="G295" s="34"/>
      <c r="H295" s="34"/>
      <c r="I295" s="34"/>
      <c r="J295" s="35"/>
      <c r="K295" s="35"/>
      <c r="L295" s="40" t="str">
        <f aca="false">IF(OR(J295="",K295=""),"",IF(G295="Long",J295+Inputs!$F$15*(J295-K295),J295-Inputs!$F$15*(K295-J295)))</f>
        <v/>
      </c>
      <c r="M295" s="35"/>
      <c r="N295" s="34"/>
      <c r="O295" s="35"/>
      <c r="P295" s="34"/>
      <c r="Q295" s="41"/>
      <c r="R295" s="36" t="str">
        <f aca="false">IF(OR(M295="",J295="",K295="",J295=K295),"",ROUND(IF(G295="Long",(M295-J295)/(J295-K295),(J295-M295)/(K295-J295)),2))</f>
        <v/>
      </c>
      <c r="S295" s="39" t="str">
        <f aca="false">IF(B295="","",IF(AND(I295="Y",OR(P295="None",P295="")),"Yes","No"))</f>
        <v/>
      </c>
      <c r="T295" s="36" t="str">
        <f aca="false">IF(OR(O295="",J295="",K295="",J295=K295),"",ROUND(IF(G295="Long",(O295-J295)/(J295-K295),(J295-O295)/(K295-J295)),2))</f>
        <v/>
      </c>
      <c r="U295" s="36" t="str">
        <f aca="false">IF(OR(R295="",T295=""),"",IF(T295&gt;=2,2,IF(N295="Target",-1,R295)))</f>
        <v/>
      </c>
      <c r="V295" s="36" t="str">
        <f aca="false">IF(OR(R295="",T295=""),"",IF(T295&gt;=3,3,IF(N295="Target",-1,R295)))</f>
        <v/>
      </c>
      <c r="W295" s="42" t="str">
        <f aca="false">IF(R295="","",ROUND(R295*(Inputs!$F$9+SUM(W$6:W294))*Inputs!$F$10,2))</f>
        <v/>
      </c>
      <c r="X295" s="42" t="str">
        <f aca="false">IF(R295="","",Inputs!$F$9+SUM(W$7:W295))</f>
        <v/>
      </c>
      <c r="Y295" s="43" t="str">
        <f aca="false">IF(S295="Yes",R295,"")</f>
        <v/>
      </c>
      <c r="Z295" s="43" t="str">
        <f aca="false">IF(Y295="","",SUM(Y$7:Y295))</f>
        <v/>
      </c>
      <c r="AA295" s="43" t="str">
        <f aca="false">IF(Y295="","",MAX(0,MAX(Z$7:Z295)))</f>
        <v/>
      </c>
      <c r="AB295" s="43" t="str">
        <f aca="false">IF(Y295="","",Z295-AA295)</f>
        <v/>
      </c>
    </row>
    <row r="296" customFormat="false" ht="15" hidden="false" customHeight="false" outlineLevel="0" collapsed="false">
      <c r="B296" s="38"/>
      <c r="C296" s="39" t="str">
        <f aca="false">IF(B296="","",INT((B296-Inputs!$F$8)/7)+1)</f>
        <v/>
      </c>
      <c r="D296" s="39" t="str">
        <f aca="false">IF(B296="","",COUNTIF(B$7:B296,B296))</f>
        <v/>
      </c>
      <c r="E296" s="34"/>
      <c r="F296" s="34"/>
      <c r="G296" s="34"/>
      <c r="H296" s="34"/>
      <c r="I296" s="34"/>
      <c r="J296" s="35"/>
      <c r="K296" s="35"/>
      <c r="L296" s="40" t="str">
        <f aca="false">IF(OR(J296="",K296=""),"",IF(G296="Long",J296+Inputs!$F$15*(J296-K296),J296-Inputs!$F$15*(K296-J296)))</f>
        <v/>
      </c>
      <c r="M296" s="35"/>
      <c r="N296" s="34"/>
      <c r="O296" s="35"/>
      <c r="P296" s="34"/>
      <c r="Q296" s="41"/>
      <c r="R296" s="36" t="str">
        <f aca="false">IF(OR(M296="",J296="",K296="",J296=K296),"",ROUND(IF(G296="Long",(M296-J296)/(J296-K296),(J296-M296)/(K296-J296)),2))</f>
        <v/>
      </c>
      <c r="S296" s="39" t="str">
        <f aca="false">IF(B296="","",IF(AND(I296="Y",OR(P296="None",P296="")),"Yes","No"))</f>
        <v/>
      </c>
      <c r="T296" s="36" t="str">
        <f aca="false">IF(OR(O296="",J296="",K296="",J296=K296),"",ROUND(IF(G296="Long",(O296-J296)/(J296-K296),(J296-O296)/(K296-J296)),2))</f>
        <v/>
      </c>
      <c r="U296" s="36" t="str">
        <f aca="false">IF(OR(R296="",T296=""),"",IF(T296&gt;=2,2,IF(N296="Target",-1,R296)))</f>
        <v/>
      </c>
      <c r="V296" s="36" t="str">
        <f aca="false">IF(OR(R296="",T296=""),"",IF(T296&gt;=3,3,IF(N296="Target",-1,R296)))</f>
        <v/>
      </c>
      <c r="W296" s="42" t="str">
        <f aca="false">IF(R296="","",ROUND(R296*(Inputs!$F$9+SUM(W$6:W295))*Inputs!$F$10,2))</f>
        <v/>
      </c>
      <c r="X296" s="42" t="str">
        <f aca="false">IF(R296="","",Inputs!$F$9+SUM(W$7:W296))</f>
        <v/>
      </c>
      <c r="Y296" s="43" t="str">
        <f aca="false">IF(S296="Yes",R296,"")</f>
        <v/>
      </c>
      <c r="Z296" s="43" t="str">
        <f aca="false">IF(Y296="","",SUM(Y$7:Y296))</f>
        <v/>
      </c>
      <c r="AA296" s="43" t="str">
        <f aca="false">IF(Y296="","",MAX(0,MAX(Z$7:Z296)))</f>
        <v/>
      </c>
      <c r="AB296" s="43" t="str">
        <f aca="false">IF(Y296="","",Z296-AA296)</f>
        <v/>
      </c>
    </row>
    <row r="297" customFormat="false" ht="15" hidden="false" customHeight="false" outlineLevel="0" collapsed="false">
      <c r="B297" s="38"/>
      <c r="C297" s="39" t="str">
        <f aca="false">IF(B297="","",INT((B297-Inputs!$F$8)/7)+1)</f>
        <v/>
      </c>
      <c r="D297" s="39" t="str">
        <f aca="false">IF(B297="","",COUNTIF(B$7:B297,B297))</f>
        <v/>
      </c>
      <c r="E297" s="34"/>
      <c r="F297" s="34"/>
      <c r="G297" s="34"/>
      <c r="H297" s="34"/>
      <c r="I297" s="34"/>
      <c r="J297" s="35"/>
      <c r="K297" s="35"/>
      <c r="L297" s="40" t="str">
        <f aca="false">IF(OR(J297="",K297=""),"",IF(G297="Long",J297+Inputs!$F$15*(J297-K297),J297-Inputs!$F$15*(K297-J297)))</f>
        <v/>
      </c>
      <c r="M297" s="35"/>
      <c r="N297" s="34"/>
      <c r="O297" s="35"/>
      <c r="P297" s="34"/>
      <c r="Q297" s="41"/>
      <c r="R297" s="36" t="str">
        <f aca="false">IF(OR(M297="",J297="",K297="",J297=K297),"",ROUND(IF(G297="Long",(M297-J297)/(J297-K297),(J297-M297)/(K297-J297)),2))</f>
        <v/>
      </c>
      <c r="S297" s="39" t="str">
        <f aca="false">IF(B297="","",IF(AND(I297="Y",OR(P297="None",P297="")),"Yes","No"))</f>
        <v/>
      </c>
      <c r="T297" s="36" t="str">
        <f aca="false">IF(OR(O297="",J297="",K297="",J297=K297),"",ROUND(IF(G297="Long",(O297-J297)/(J297-K297),(J297-O297)/(K297-J297)),2))</f>
        <v/>
      </c>
      <c r="U297" s="36" t="str">
        <f aca="false">IF(OR(R297="",T297=""),"",IF(T297&gt;=2,2,IF(N297="Target",-1,R297)))</f>
        <v/>
      </c>
      <c r="V297" s="36" t="str">
        <f aca="false">IF(OR(R297="",T297=""),"",IF(T297&gt;=3,3,IF(N297="Target",-1,R297)))</f>
        <v/>
      </c>
      <c r="W297" s="42" t="str">
        <f aca="false">IF(R297="","",ROUND(R297*(Inputs!$F$9+SUM(W$6:W296))*Inputs!$F$10,2))</f>
        <v/>
      </c>
      <c r="X297" s="42" t="str">
        <f aca="false">IF(R297="","",Inputs!$F$9+SUM(W$7:W297))</f>
        <v/>
      </c>
      <c r="Y297" s="43" t="str">
        <f aca="false">IF(S297="Yes",R297,"")</f>
        <v/>
      </c>
      <c r="Z297" s="43" t="str">
        <f aca="false">IF(Y297="","",SUM(Y$7:Y297))</f>
        <v/>
      </c>
      <c r="AA297" s="43" t="str">
        <f aca="false">IF(Y297="","",MAX(0,MAX(Z$7:Z297)))</f>
        <v/>
      </c>
      <c r="AB297" s="43" t="str">
        <f aca="false">IF(Y297="","",Z297-AA297)</f>
        <v/>
      </c>
    </row>
    <row r="298" customFormat="false" ht="15" hidden="false" customHeight="false" outlineLevel="0" collapsed="false">
      <c r="B298" s="38"/>
      <c r="C298" s="39" t="str">
        <f aca="false">IF(B298="","",INT((B298-Inputs!$F$8)/7)+1)</f>
        <v/>
      </c>
      <c r="D298" s="39" t="str">
        <f aca="false">IF(B298="","",COUNTIF(B$7:B298,B298))</f>
        <v/>
      </c>
      <c r="E298" s="34"/>
      <c r="F298" s="34"/>
      <c r="G298" s="34"/>
      <c r="H298" s="34"/>
      <c r="I298" s="34"/>
      <c r="J298" s="35"/>
      <c r="K298" s="35"/>
      <c r="L298" s="40" t="str">
        <f aca="false">IF(OR(J298="",K298=""),"",IF(G298="Long",J298+Inputs!$F$15*(J298-K298),J298-Inputs!$F$15*(K298-J298)))</f>
        <v/>
      </c>
      <c r="M298" s="35"/>
      <c r="N298" s="34"/>
      <c r="O298" s="35"/>
      <c r="P298" s="34"/>
      <c r="Q298" s="41"/>
      <c r="R298" s="36" t="str">
        <f aca="false">IF(OR(M298="",J298="",K298="",J298=K298),"",ROUND(IF(G298="Long",(M298-J298)/(J298-K298),(J298-M298)/(K298-J298)),2))</f>
        <v/>
      </c>
      <c r="S298" s="39" t="str">
        <f aca="false">IF(B298="","",IF(AND(I298="Y",OR(P298="None",P298="")),"Yes","No"))</f>
        <v/>
      </c>
      <c r="T298" s="36" t="str">
        <f aca="false">IF(OR(O298="",J298="",K298="",J298=K298),"",ROUND(IF(G298="Long",(O298-J298)/(J298-K298),(J298-O298)/(K298-J298)),2))</f>
        <v/>
      </c>
      <c r="U298" s="36" t="str">
        <f aca="false">IF(OR(R298="",T298=""),"",IF(T298&gt;=2,2,IF(N298="Target",-1,R298)))</f>
        <v/>
      </c>
      <c r="V298" s="36" t="str">
        <f aca="false">IF(OR(R298="",T298=""),"",IF(T298&gt;=3,3,IF(N298="Target",-1,R298)))</f>
        <v/>
      </c>
      <c r="W298" s="42" t="str">
        <f aca="false">IF(R298="","",ROUND(R298*(Inputs!$F$9+SUM(W$6:W297))*Inputs!$F$10,2))</f>
        <v/>
      </c>
      <c r="X298" s="42" t="str">
        <f aca="false">IF(R298="","",Inputs!$F$9+SUM(W$7:W298))</f>
        <v/>
      </c>
      <c r="Y298" s="43" t="str">
        <f aca="false">IF(S298="Yes",R298,"")</f>
        <v/>
      </c>
      <c r="Z298" s="43" t="str">
        <f aca="false">IF(Y298="","",SUM(Y$7:Y298))</f>
        <v/>
      </c>
      <c r="AA298" s="43" t="str">
        <f aca="false">IF(Y298="","",MAX(0,MAX(Z$7:Z298)))</f>
        <v/>
      </c>
      <c r="AB298" s="43" t="str">
        <f aca="false">IF(Y298="","",Z298-AA298)</f>
        <v/>
      </c>
    </row>
    <row r="299" customFormat="false" ht="15" hidden="false" customHeight="false" outlineLevel="0" collapsed="false">
      <c r="B299" s="38"/>
      <c r="C299" s="39" t="str">
        <f aca="false">IF(B299="","",INT((B299-Inputs!$F$8)/7)+1)</f>
        <v/>
      </c>
      <c r="D299" s="39" t="str">
        <f aca="false">IF(B299="","",COUNTIF(B$7:B299,B299))</f>
        <v/>
      </c>
      <c r="E299" s="34"/>
      <c r="F299" s="34"/>
      <c r="G299" s="34"/>
      <c r="H299" s="34"/>
      <c r="I299" s="34"/>
      <c r="J299" s="35"/>
      <c r="K299" s="35"/>
      <c r="L299" s="40" t="str">
        <f aca="false">IF(OR(J299="",K299=""),"",IF(G299="Long",J299+Inputs!$F$15*(J299-K299),J299-Inputs!$F$15*(K299-J299)))</f>
        <v/>
      </c>
      <c r="M299" s="35"/>
      <c r="N299" s="34"/>
      <c r="O299" s="35"/>
      <c r="P299" s="34"/>
      <c r="Q299" s="41"/>
      <c r="R299" s="36" t="str">
        <f aca="false">IF(OR(M299="",J299="",K299="",J299=K299),"",ROUND(IF(G299="Long",(M299-J299)/(J299-K299),(J299-M299)/(K299-J299)),2))</f>
        <v/>
      </c>
      <c r="S299" s="39" t="str">
        <f aca="false">IF(B299="","",IF(AND(I299="Y",OR(P299="None",P299="")),"Yes","No"))</f>
        <v/>
      </c>
      <c r="T299" s="36" t="str">
        <f aca="false">IF(OR(O299="",J299="",K299="",J299=K299),"",ROUND(IF(G299="Long",(O299-J299)/(J299-K299),(J299-O299)/(K299-J299)),2))</f>
        <v/>
      </c>
      <c r="U299" s="36" t="str">
        <f aca="false">IF(OR(R299="",T299=""),"",IF(T299&gt;=2,2,IF(N299="Target",-1,R299)))</f>
        <v/>
      </c>
      <c r="V299" s="36" t="str">
        <f aca="false">IF(OR(R299="",T299=""),"",IF(T299&gt;=3,3,IF(N299="Target",-1,R299)))</f>
        <v/>
      </c>
      <c r="W299" s="42" t="str">
        <f aca="false">IF(R299="","",ROUND(R299*(Inputs!$F$9+SUM(W$6:W298))*Inputs!$F$10,2))</f>
        <v/>
      </c>
      <c r="X299" s="42" t="str">
        <f aca="false">IF(R299="","",Inputs!$F$9+SUM(W$7:W299))</f>
        <v/>
      </c>
      <c r="Y299" s="43" t="str">
        <f aca="false">IF(S299="Yes",R299,"")</f>
        <v/>
      </c>
      <c r="Z299" s="43" t="str">
        <f aca="false">IF(Y299="","",SUM(Y$7:Y299))</f>
        <v/>
      </c>
      <c r="AA299" s="43" t="str">
        <f aca="false">IF(Y299="","",MAX(0,MAX(Z$7:Z299)))</f>
        <v/>
      </c>
      <c r="AB299" s="43" t="str">
        <f aca="false">IF(Y299="","",Z299-AA299)</f>
        <v/>
      </c>
    </row>
    <row r="300" customFormat="false" ht="15" hidden="false" customHeight="false" outlineLevel="0" collapsed="false">
      <c r="B300" s="38"/>
      <c r="C300" s="39" t="str">
        <f aca="false">IF(B300="","",INT((B300-Inputs!$F$8)/7)+1)</f>
        <v/>
      </c>
      <c r="D300" s="39" t="str">
        <f aca="false">IF(B300="","",COUNTIF(B$7:B300,B300))</f>
        <v/>
      </c>
      <c r="E300" s="34"/>
      <c r="F300" s="34"/>
      <c r="G300" s="34"/>
      <c r="H300" s="34"/>
      <c r="I300" s="34"/>
      <c r="J300" s="35"/>
      <c r="K300" s="35"/>
      <c r="L300" s="40" t="str">
        <f aca="false">IF(OR(J300="",K300=""),"",IF(G300="Long",J300+Inputs!$F$15*(J300-K300),J300-Inputs!$F$15*(K300-J300)))</f>
        <v/>
      </c>
      <c r="M300" s="35"/>
      <c r="N300" s="34"/>
      <c r="O300" s="35"/>
      <c r="P300" s="34"/>
      <c r="Q300" s="41"/>
      <c r="R300" s="36" t="str">
        <f aca="false">IF(OR(M300="",J300="",K300="",J300=K300),"",ROUND(IF(G300="Long",(M300-J300)/(J300-K300),(J300-M300)/(K300-J300)),2))</f>
        <v/>
      </c>
      <c r="S300" s="39" t="str">
        <f aca="false">IF(B300="","",IF(AND(I300="Y",OR(P300="None",P300="")),"Yes","No"))</f>
        <v/>
      </c>
      <c r="T300" s="36" t="str">
        <f aca="false">IF(OR(O300="",J300="",K300="",J300=K300),"",ROUND(IF(G300="Long",(O300-J300)/(J300-K300),(J300-O300)/(K300-J300)),2))</f>
        <v/>
      </c>
      <c r="U300" s="36" t="str">
        <f aca="false">IF(OR(R300="",T300=""),"",IF(T300&gt;=2,2,IF(N300="Target",-1,R300)))</f>
        <v/>
      </c>
      <c r="V300" s="36" t="str">
        <f aca="false">IF(OR(R300="",T300=""),"",IF(T300&gt;=3,3,IF(N300="Target",-1,R300)))</f>
        <v/>
      </c>
      <c r="W300" s="42" t="str">
        <f aca="false">IF(R300="","",ROUND(R300*(Inputs!$F$9+SUM(W$6:W299))*Inputs!$F$10,2))</f>
        <v/>
      </c>
      <c r="X300" s="42" t="str">
        <f aca="false">IF(R300="","",Inputs!$F$9+SUM(W$7:W300))</f>
        <v/>
      </c>
      <c r="Y300" s="43" t="str">
        <f aca="false">IF(S300="Yes",R300,"")</f>
        <v/>
      </c>
      <c r="Z300" s="43" t="str">
        <f aca="false">IF(Y300="","",SUM(Y$7:Y300))</f>
        <v/>
      </c>
      <c r="AA300" s="43" t="str">
        <f aca="false">IF(Y300="","",MAX(0,MAX(Z$7:Z300)))</f>
        <v/>
      </c>
      <c r="AB300" s="43" t="str">
        <f aca="false">IF(Y300="","",Z300-AA300)</f>
        <v/>
      </c>
    </row>
    <row r="301" customFormat="false" ht="15" hidden="false" customHeight="false" outlineLevel="0" collapsed="false">
      <c r="B301" s="38"/>
      <c r="C301" s="39" t="str">
        <f aca="false">IF(B301="","",INT((B301-Inputs!$F$8)/7)+1)</f>
        <v/>
      </c>
      <c r="D301" s="39" t="str">
        <f aca="false">IF(B301="","",COUNTIF(B$7:B301,B301))</f>
        <v/>
      </c>
      <c r="E301" s="34"/>
      <c r="F301" s="34"/>
      <c r="G301" s="34"/>
      <c r="H301" s="34"/>
      <c r="I301" s="34"/>
      <c r="J301" s="35"/>
      <c r="K301" s="35"/>
      <c r="L301" s="40" t="str">
        <f aca="false">IF(OR(J301="",K301=""),"",IF(G301="Long",J301+Inputs!$F$15*(J301-K301),J301-Inputs!$F$15*(K301-J301)))</f>
        <v/>
      </c>
      <c r="M301" s="35"/>
      <c r="N301" s="34"/>
      <c r="O301" s="35"/>
      <c r="P301" s="34"/>
      <c r="Q301" s="41"/>
      <c r="R301" s="36" t="str">
        <f aca="false">IF(OR(M301="",J301="",K301="",J301=K301),"",ROUND(IF(G301="Long",(M301-J301)/(J301-K301),(J301-M301)/(K301-J301)),2))</f>
        <v/>
      </c>
      <c r="S301" s="39" t="str">
        <f aca="false">IF(B301="","",IF(AND(I301="Y",OR(P301="None",P301="")),"Yes","No"))</f>
        <v/>
      </c>
      <c r="T301" s="36" t="str">
        <f aca="false">IF(OR(O301="",J301="",K301="",J301=K301),"",ROUND(IF(G301="Long",(O301-J301)/(J301-K301),(J301-O301)/(K301-J301)),2))</f>
        <v/>
      </c>
      <c r="U301" s="36" t="str">
        <f aca="false">IF(OR(R301="",T301=""),"",IF(T301&gt;=2,2,IF(N301="Target",-1,R301)))</f>
        <v/>
      </c>
      <c r="V301" s="36" t="str">
        <f aca="false">IF(OR(R301="",T301=""),"",IF(T301&gt;=3,3,IF(N301="Target",-1,R301)))</f>
        <v/>
      </c>
      <c r="W301" s="42" t="str">
        <f aca="false">IF(R301="","",ROUND(R301*(Inputs!$F$9+SUM(W$6:W300))*Inputs!$F$10,2))</f>
        <v/>
      </c>
      <c r="X301" s="42" t="str">
        <f aca="false">IF(R301="","",Inputs!$F$9+SUM(W$7:W301))</f>
        <v/>
      </c>
      <c r="Y301" s="43" t="str">
        <f aca="false">IF(S301="Yes",R301,"")</f>
        <v/>
      </c>
      <c r="Z301" s="43" t="str">
        <f aca="false">IF(Y301="","",SUM(Y$7:Y301))</f>
        <v/>
      </c>
      <c r="AA301" s="43" t="str">
        <f aca="false">IF(Y301="","",MAX(0,MAX(Z$7:Z301)))</f>
        <v/>
      </c>
      <c r="AB301" s="43" t="str">
        <f aca="false">IF(Y301="","",Z301-AA301)</f>
        <v/>
      </c>
    </row>
    <row r="302" customFormat="false" ht="15" hidden="false" customHeight="false" outlineLevel="0" collapsed="false">
      <c r="B302" s="38"/>
      <c r="C302" s="39" t="str">
        <f aca="false">IF(B302="","",INT((B302-Inputs!$F$8)/7)+1)</f>
        <v/>
      </c>
      <c r="D302" s="39" t="str">
        <f aca="false">IF(B302="","",COUNTIF(B$7:B302,B302))</f>
        <v/>
      </c>
      <c r="E302" s="34"/>
      <c r="F302" s="34"/>
      <c r="G302" s="34"/>
      <c r="H302" s="34"/>
      <c r="I302" s="34"/>
      <c r="J302" s="35"/>
      <c r="K302" s="35"/>
      <c r="L302" s="40" t="str">
        <f aca="false">IF(OR(J302="",K302=""),"",IF(G302="Long",J302+Inputs!$F$15*(J302-K302),J302-Inputs!$F$15*(K302-J302)))</f>
        <v/>
      </c>
      <c r="M302" s="35"/>
      <c r="N302" s="34"/>
      <c r="O302" s="35"/>
      <c r="P302" s="34"/>
      <c r="Q302" s="41"/>
      <c r="R302" s="36" t="str">
        <f aca="false">IF(OR(M302="",J302="",K302="",J302=K302),"",ROUND(IF(G302="Long",(M302-J302)/(J302-K302),(J302-M302)/(K302-J302)),2))</f>
        <v/>
      </c>
      <c r="S302" s="39" t="str">
        <f aca="false">IF(B302="","",IF(AND(I302="Y",OR(P302="None",P302="")),"Yes","No"))</f>
        <v/>
      </c>
      <c r="T302" s="36" t="str">
        <f aca="false">IF(OR(O302="",J302="",K302="",J302=K302),"",ROUND(IF(G302="Long",(O302-J302)/(J302-K302),(J302-O302)/(K302-J302)),2))</f>
        <v/>
      </c>
      <c r="U302" s="36" t="str">
        <f aca="false">IF(OR(R302="",T302=""),"",IF(T302&gt;=2,2,IF(N302="Target",-1,R302)))</f>
        <v/>
      </c>
      <c r="V302" s="36" t="str">
        <f aca="false">IF(OR(R302="",T302=""),"",IF(T302&gt;=3,3,IF(N302="Target",-1,R302)))</f>
        <v/>
      </c>
      <c r="W302" s="42" t="str">
        <f aca="false">IF(R302="","",ROUND(R302*(Inputs!$F$9+SUM(W$6:W301))*Inputs!$F$10,2))</f>
        <v/>
      </c>
      <c r="X302" s="42" t="str">
        <f aca="false">IF(R302="","",Inputs!$F$9+SUM(W$7:W302))</f>
        <v/>
      </c>
      <c r="Y302" s="43" t="str">
        <f aca="false">IF(S302="Yes",R302,"")</f>
        <v/>
      </c>
      <c r="Z302" s="43" t="str">
        <f aca="false">IF(Y302="","",SUM(Y$7:Y302))</f>
        <v/>
      </c>
      <c r="AA302" s="43" t="str">
        <f aca="false">IF(Y302="","",MAX(0,MAX(Z$7:Z302)))</f>
        <v/>
      </c>
      <c r="AB302" s="43" t="str">
        <f aca="false">IF(Y302="","",Z302-AA302)</f>
        <v/>
      </c>
    </row>
    <row r="303" customFormat="false" ht="15" hidden="false" customHeight="false" outlineLevel="0" collapsed="false">
      <c r="B303" s="38"/>
      <c r="C303" s="39" t="str">
        <f aca="false">IF(B303="","",INT((B303-Inputs!$F$8)/7)+1)</f>
        <v/>
      </c>
      <c r="D303" s="39" t="str">
        <f aca="false">IF(B303="","",COUNTIF(B$7:B303,B303))</f>
        <v/>
      </c>
      <c r="E303" s="34"/>
      <c r="F303" s="34"/>
      <c r="G303" s="34"/>
      <c r="H303" s="34"/>
      <c r="I303" s="34"/>
      <c r="J303" s="35"/>
      <c r="K303" s="35"/>
      <c r="L303" s="40" t="str">
        <f aca="false">IF(OR(J303="",K303=""),"",IF(G303="Long",J303+Inputs!$F$15*(J303-K303),J303-Inputs!$F$15*(K303-J303)))</f>
        <v/>
      </c>
      <c r="M303" s="35"/>
      <c r="N303" s="34"/>
      <c r="O303" s="35"/>
      <c r="P303" s="34"/>
      <c r="Q303" s="41"/>
      <c r="R303" s="36" t="str">
        <f aca="false">IF(OR(M303="",J303="",K303="",J303=K303),"",ROUND(IF(G303="Long",(M303-J303)/(J303-K303),(J303-M303)/(K303-J303)),2))</f>
        <v/>
      </c>
      <c r="S303" s="39" t="str">
        <f aca="false">IF(B303="","",IF(AND(I303="Y",OR(P303="None",P303="")),"Yes","No"))</f>
        <v/>
      </c>
      <c r="T303" s="36" t="str">
        <f aca="false">IF(OR(O303="",J303="",K303="",J303=K303),"",ROUND(IF(G303="Long",(O303-J303)/(J303-K303),(J303-O303)/(K303-J303)),2))</f>
        <v/>
      </c>
      <c r="U303" s="36" t="str">
        <f aca="false">IF(OR(R303="",T303=""),"",IF(T303&gt;=2,2,IF(N303="Target",-1,R303)))</f>
        <v/>
      </c>
      <c r="V303" s="36" t="str">
        <f aca="false">IF(OR(R303="",T303=""),"",IF(T303&gt;=3,3,IF(N303="Target",-1,R303)))</f>
        <v/>
      </c>
      <c r="W303" s="42" t="str">
        <f aca="false">IF(R303="","",ROUND(R303*(Inputs!$F$9+SUM(W$6:W302))*Inputs!$F$10,2))</f>
        <v/>
      </c>
      <c r="X303" s="42" t="str">
        <f aca="false">IF(R303="","",Inputs!$F$9+SUM(W$7:W303))</f>
        <v/>
      </c>
      <c r="Y303" s="43" t="str">
        <f aca="false">IF(S303="Yes",R303,"")</f>
        <v/>
      </c>
      <c r="Z303" s="43" t="str">
        <f aca="false">IF(Y303="","",SUM(Y$7:Y303))</f>
        <v/>
      </c>
      <c r="AA303" s="43" t="str">
        <f aca="false">IF(Y303="","",MAX(0,MAX(Z$7:Z303)))</f>
        <v/>
      </c>
      <c r="AB303" s="43" t="str">
        <f aca="false">IF(Y303="","",Z303-AA303)</f>
        <v/>
      </c>
    </row>
    <row r="304" customFormat="false" ht="15" hidden="false" customHeight="false" outlineLevel="0" collapsed="false">
      <c r="B304" s="38"/>
      <c r="C304" s="39" t="str">
        <f aca="false">IF(B304="","",INT((B304-Inputs!$F$8)/7)+1)</f>
        <v/>
      </c>
      <c r="D304" s="39" t="str">
        <f aca="false">IF(B304="","",COUNTIF(B$7:B304,B304))</f>
        <v/>
      </c>
      <c r="E304" s="34"/>
      <c r="F304" s="34"/>
      <c r="G304" s="34"/>
      <c r="H304" s="34"/>
      <c r="I304" s="34"/>
      <c r="J304" s="35"/>
      <c r="K304" s="35"/>
      <c r="L304" s="40" t="str">
        <f aca="false">IF(OR(J304="",K304=""),"",IF(G304="Long",J304+Inputs!$F$15*(J304-K304),J304-Inputs!$F$15*(K304-J304)))</f>
        <v/>
      </c>
      <c r="M304" s="35"/>
      <c r="N304" s="34"/>
      <c r="O304" s="35"/>
      <c r="P304" s="34"/>
      <c r="Q304" s="41"/>
      <c r="R304" s="36" t="str">
        <f aca="false">IF(OR(M304="",J304="",K304="",J304=K304),"",ROUND(IF(G304="Long",(M304-J304)/(J304-K304),(J304-M304)/(K304-J304)),2))</f>
        <v/>
      </c>
      <c r="S304" s="39" t="str">
        <f aca="false">IF(B304="","",IF(AND(I304="Y",OR(P304="None",P304="")),"Yes","No"))</f>
        <v/>
      </c>
      <c r="T304" s="36" t="str">
        <f aca="false">IF(OR(O304="",J304="",K304="",J304=K304),"",ROUND(IF(G304="Long",(O304-J304)/(J304-K304),(J304-O304)/(K304-J304)),2))</f>
        <v/>
      </c>
      <c r="U304" s="36" t="str">
        <f aca="false">IF(OR(R304="",T304=""),"",IF(T304&gt;=2,2,IF(N304="Target",-1,R304)))</f>
        <v/>
      </c>
      <c r="V304" s="36" t="str">
        <f aca="false">IF(OR(R304="",T304=""),"",IF(T304&gt;=3,3,IF(N304="Target",-1,R304)))</f>
        <v/>
      </c>
      <c r="W304" s="42" t="str">
        <f aca="false">IF(R304="","",ROUND(R304*(Inputs!$F$9+SUM(W$6:W303))*Inputs!$F$10,2))</f>
        <v/>
      </c>
      <c r="X304" s="42" t="str">
        <f aca="false">IF(R304="","",Inputs!$F$9+SUM(W$7:W304))</f>
        <v/>
      </c>
      <c r="Y304" s="43" t="str">
        <f aca="false">IF(S304="Yes",R304,"")</f>
        <v/>
      </c>
      <c r="Z304" s="43" t="str">
        <f aca="false">IF(Y304="","",SUM(Y$7:Y304))</f>
        <v/>
      </c>
      <c r="AA304" s="43" t="str">
        <f aca="false">IF(Y304="","",MAX(0,MAX(Z$7:Z304)))</f>
        <v/>
      </c>
      <c r="AB304" s="43" t="str">
        <f aca="false">IF(Y304="","",Z304-AA304)</f>
        <v/>
      </c>
    </row>
    <row r="305" customFormat="false" ht="15" hidden="false" customHeight="false" outlineLevel="0" collapsed="false">
      <c r="B305" s="38"/>
      <c r="C305" s="39" t="str">
        <f aca="false">IF(B305="","",INT((B305-Inputs!$F$8)/7)+1)</f>
        <v/>
      </c>
      <c r="D305" s="39" t="str">
        <f aca="false">IF(B305="","",COUNTIF(B$7:B305,B305))</f>
        <v/>
      </c>
      <c r="E305" s="34"/>
      <c r="F305" s="34"/>
      <c r="G305" s="34"/>
      <c r="H305" s="34"/>
      <c r="I305" s="34"/>
      <c r="J305" s="35"/>
      <c r="K305" s="35"/>
      <c r="L305" s="40" t="str">
        <f aca="false">IF(OR(J305="",K305=""),"",IF(G305="Long",J305+Inputs!$F$15*(J305-K305),J305-Inputs!$F$15*(K305-J305)))</f>
        <v/>
      </c>
      <c r="M305" s="35"/>
      <c r="N305" s="34"/>
      <c r="O305" s="35"/>
      <c r="P305" s="34"/>
      <c r="Q305" s="41"/>
      <c r="R305" s="36" t="str">
        <f aca="false">IF(OR(M305="",J305="",K305="",J305=K305),"",ROUND(IF(G305="Long",(M305-J305)/(J305-K305),(J305-M305)/(K305-J305)),2))</f>
        <v/>
      </c>
      <c r="S305" s="39" t="str">
        <f aca="false">IF(B305="","",IF(AND(I305="Y",OR(P305="None",P305="")),"Yes","No"))</f>
        <v/>
      </c>
      <c r="T305" s="36" t="str">
        <f aca="false">IF(OR(O305="",J305="",K305="",J305=K305),"",ROUND(IF(G305="Long",(O305-J305)/(J305-K305),(J305-O305)/(K305-J305)),2))</f>
        <v/>
      </c>
      <c r="U305" s="36" t="str">
        <f aca="false">IF(OR(R305="",T305=""),"",IF(T305&gt;=2,2,IF(N305="Target",-1,R305)))</f>
        <v/>
      </c>
      <c r="V305" s="36" t="str">
        <f aca="false">IF(OR(R305="",T305=""),"",IF(T305&gt;=3,3,IF(N305="Target",-1,R305)))</f>
        <v/>
      </c>
      <c r="W305" s="42" t="str">
        <f aca="false">IF(R305="","",ROUND(R305*(Inputs!$F$9+SUM(W$6:W304))*Inputs!$F$10,2))</f>
        <v/>
      </c>
      <c r="X305" s="42" t="str">
        <f aca="false">IF(R305="","",Inputs!$F$9+SUM(W$7:W305))</f>
        <v/>
      </c>
      <c r="Y305" s="43" t="str">
        <f aca="false">IF(S305="Yes",R305,"")</f>
        <v/>
      </c>
      <c r="Z305" s="43" t="str">
        <f aca="false">IF(Y305="","",SUM(Y$7:Y305))</f>
        <v/>
      </c>
      <c r="AA305" s="43" t="str">
        <f aca="false">IF(Y305="","",MAX(0,MAX(Z$7:Z305)))</f>
        <v/>
      </c>
      <c r="AB305" s="43" t="str">
        <f aca="false">IF(Y305="","",Z305-AA305)</f>
        <v/>
      </c>
    </row>
    <row r="306" customFormat="false" ht="15" hidden="false" customHeight="false" outlineLevel="0" collapsed="false">
      <c r="B306" s="38"/>
      <c r="C306" s="39" t="str">
        <f aca="false">IF(B306="","",INT((B306-Inputs!$F$8)/7)+1)</f>
        <v/>
      </c>
      <c r="D306" s="39" t="str">
        <f aca="false">IF(B306="","",COUNTIF(B$7:B306,B306))</f>
        <v/>
      </c>
      <c r="E306" s="34"/>
      <c r="F306" s="34"/>
      <c r="G306" s="34"/>
      <c r="H306" s="34"/>
      <c r="I306" s="34"/>
      <c r="J306" s="35"/>
      <c r="K306" s="35"/>
      <c r="L306" s="40" t="str">
        <f aca="false">IF(OR(J306="",K306=""),"",IF(G306="Long",J306+Inputs!$F$15*(J306-K306),J306-Inputs!$F$15*(K306-J306)))</f>
        <v/>
      </c>
      <c r="M306" s="35"/>
      <c r="N306" s="34"/>
      <c r="O306" s="35"/>
      <c r="P306" s="34"/>
      <c r="Q306" s="41"/>
      <c r="R306" s="36" t="str">
        <f aca="false">IF(OR(M306="",J306="",K306="",J306=K306),"",ROUND(IF(G306="Long",(M306-J306)/(J306-K306),(J306-M306)/(K306-J306)),2))</f>
        <v/>
      </c>
      <c r="S306" s="39" t="str">
        <f aca="false">IF(B306="","",IF(AND(I306="Y",OR(P306="None",P306="")),"Yes","No"))</f>
        <v/>
      </c>
      <c r="T306" s="36" t="str">
        <f aca="false">IF(OR(O306="",J306="",K306="",J306=K306),"",ROUND(IF(G306="Long",(O306-J306)/(J306-K306),(J306-O306)/(K306-J306)),2))</f>
        <v/>
      </c>
      <c r="U306" s="36" t="str">
        <f aca="false">IF(OR(R306="",T306=""),"",IF(T306&gt;=2,2,IF(N306="Target",-1,R306)))</f>
        <v/>
      </c>
      <c r="V306" s="36" t="str">
        <f aca="false">IF(OR(R306="",T306=""),"",IF(T306&gt;=3,3,IF(N306="Target",-1,R306)))</f>
        <v/>
      </c>
      <c r="W306" s="42" t="str">
        <f aca="false">IF(R306="","",ROUND(R306*(Inputs!$F$9+SUM(W$6:W305))*Inputs!$F$10,2))</f>
        <v/>
      </c>
      <c r="X306" s="42" t="str">
        <f aca="false">IF(R306="","",Inputs!$F$9+SUM(W$7:W306))</f>
        <v/>
      </c>
      <c r="Y306" s="43" t="str">
        <f aca="false">IF(S306="Yes",R306,"")</f>
        <v/>
      </c>
      <c r="Z306" s="43" t="str">
        <f aca="false">IF(Y306="","",SUM(Y$7:Y306))</f>
        <v/>
      </c>
      <c r="AA306" s="43" t="str">
        <f aca="false">IF(Y306="","",MAX(0,MAX(Z$7:Z306)))</f>
        <v/>
      </c>
      <c r="AB306" s="43" t="str">
        <f aca="false">IF(Y306="","",Z306-AA306)</f>
        <v/>
      </c>
    </row>
  </sheetData>
  <conditionalFormatting sqref="D7:D306">
    <cfRule type="cellIs" priority="2" operator="greaterThan" aboveAverage="0" equalAverage="0" bottom="0" percent="0" rank="0" text="" dxfId="0">
      <formula>Inputs!$F$17</formula>
    </cfRule>
  </conditionalFormatting>
  <conditionalFormatting sqref="S7:S306">
    <cfRule type="cellIs" priority="3" operator="equal" aboveAverage="0" equalAverage="0" bottom="0" percent="0" rank="0" text="" dxfId="0">
      <formula>"No"</formula>
    </cfRule>
  </conditionalFormatting>
  <dataValidations count="7">
    <dataValidation allowBlank="true" errorStyle="stop" operator="between" showDropDown="false" showErrorMessage="false" showInputMessage="false" sqref="E7:E306" type="list">
      <formula1>Inputs!$F$41:$G$41</formula1>
      <formula2>0</formula2>
    </dataValidation>
    <dataValidation allowBlank="true" errorStyle="stop" operator="between" showDropDown="false" showErrorMessage="false" showInputMessage="false" sqref="F7:F306" type="list">
      <formula1>Inputs!$F$42:$J$42</formula1>
      <formula2>0</formula2>
    </dataValidation>
    <dataValidation allowBlank="true" errorStyle="stop" operator="between" showDropDown="false" showErrorMessage="false" showInputMessage="false" sqref="G7:G306" type="list">
      <formula1>Inputs!$F$45:$G$45</formula1>
      <formula2>0</formula2>
    </dataValidation>
    <dataValidation allowBlank="true" errorStyle="stop" operator="between" showDropDown="false" showErrorMessage="false" showInputMessage="false" sqref="H7:H306" type="list">
      <formula1>Inputs!$F$46:$G$46</formula1>
      <formula2>0</formula2>
    </dataValidation>
    <dataValidation allowBlank="true" errorStyle="stop" operator="between" showDropDown="false" showErrorMessage="false" showInputMessage="false" sqref="I7:I306" type="list">
      <formula1>Inputs!$F$46:$G$46</formula1>
      <formula2>0</formula2>
    </dataValidation>
    <dataValidation allowBlank="true" errorStyle="stop" operator="between" showDropDown="false" showErrorMessage="false" showInputMessage="false" sqref="N7:N306" type="list">
      <formula1>Inputs!$F$47:$I$47</formula1>
      <formula2>0</formula2>
    </dataValidation>
    <dataValidation allowBlank="true" errorStyle="stop" operator="between" showDropDown="false" showErrorMessage="false" showInputMessage="false" sqref="P7:P306" type="list">
      <formula1>Inputs!$F$48:$O$48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34"/>
    <col collapsed="false" customWidth="true" hidden="false" outlineLevel="0" max="6" min="4" style="0" width="12"/>
    <col collapsed="false" customWidth="true" hidden="false" outlineLevel="0" max="7" min="7" style="0" width="3"/>
    <col collapsed="false" customWidth="true" hidden="false" outlineLevel="0" max="8" min="8" style="0" width="16"/>
    <col collapsed="false" customWidth="true" hidden="false" outlineLevel="0" max="10" min="9" style="0" width="10"/>
    <col collapsed="false" customWidth="true" hidden="false" outlineLevel="0" max="11" min="11" style="0" width="30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11</v>
      </c>
    </row>
    <row r="3" customFormat="false" ht="15" hidden="false" customHeight="false" outlineLevel="0" collapsed="false">
      <c r="B3" s="2" t="s">
        <v>223</v>
      </c>
    </row>
    <row r="5" customFormat="false" ht="21.75" hidden="false" customHeight="true" outlineLevel="0" collapsed="false">
      <c r="B5" s="3" t="s">
        <v>224</v>
      </c>
      <c r="C5" s="4"/>
      <c r="D5" s="4"/>
      <c r="E5" s="4"/>
      <c r="F5" s="4"/>
      <c r="G5" s="4"/>
      <c r="H5" s="4"/>
      <c r="I5" s="4"/>
      <c r="J5" s="4"/>
      <c r="K5" s="4"/>
    </row>
    <row r="6" customFormat="false" ht="16.4" hidden="false" customHeight="false" outlineLevel="0" collapsed="false">
      <c r="C6" s="6" t="s">
        <v>225</v>
      </c>
      <c r="D6" s="44" t="str">
        <f aca="false">IF(D10&lt;Inputs!$F$29,"Collecting data: "&amp;D10&amp;" of "&amp;Inputs!$F$22&amp;" trades",IF(D16&lt;=Inputs!$F$30,"STOP: review the setup",IF(D10&lt;Inputs!$F$22,"Collecting data: "&amp;D10&amp;" of "&amp;Inputs!$F$22&amp;" trades",IF(COUNTIF(D22:D27,"Pass")=6,"EDGE SUPPORTED: go live on the cent account at 0.5%",IF(D13&lt;=0,"NO EDGE: change one thing and start a new test",IF(D10&lt;Inputs!$F$23,"INCONCLUSIVE: continue to "&amp;Inputs!$F$23&amp;" trades, no rule changes","NO EDGE PROVEN at "&amp;Inputs!$F$23&amp;" trades"))))))</f>
        <v>Collecting data: 0 of 50 trades</v>
      </c>
    </row>
    <row r="8" customFormat="false" ht="21.75" hidden="false" customHeight="true" outlineLevel="0" collapsed="false">
      <c r="B8" s="3" t="s">
        <v>226</v>
      </c>
      <c r="C8" s="4"/>
      <c r="D8" s="4"/>
      <c r="E8" s="4"/>
      <c r="H8" s="3" t="s">
        <v>227</v>
      </c>
      <c r="I8" s="4"/>
      <c r="J8" s="4"/>
      <c r="K8" s="4"/>
    </row>
    <row r="9" customFormat="false" ht="15" hidden="false" customHeight="false" outlineLevel="0" collapsed="false">
      <c r="D9" s="9" t="s">
        <v>228</v>
      </c>
      <c r="H9" s="16" t="s">
        <v>168</v>
      </c>
      <c r="I9" s="16" t="s">
        <v>229</v>
      </c>
      <c r="J9" s="16" t="s">
        <v>177</v>
      </c>
      <c r="K9" s="16" t="s">
        <v>178</v>
      </c>
    </row>
    <row r="10" customFormat="false" ht="15" hidden="false" customHeight="false" outlineLevel="0" collapsed="false">
      <c r="C10" s="6" t="s">
        <v>230</v>
      </c>
      <c r="D10" s="26" t="n">
        <f aca="false">COUNT(Journal!$Y$7:$Y$306)</f>
        <v>0</v>
      </c>
      <c r="H10" s="6" t="s">
        <v>182</v>
      </c>
      <c r="I10" s="26" t="n">
        <f aca="false">COUNTIFS(Journal!$F$7:$F$306,H10,Journal!$Y$7:$Y$306,"&gt;-99")</f>
        <v>0</v>
      </c>
      <c r="J10" s="27" t="n">
        <f aca="false">IFERROR(COUNTIFS(Journal!$F$7:$F$306,H10,Journal!$Y$7:$Y$306,"&gt;0")/I10,0)</f>
        <v>0</v>
      </c>
      <c r="K10" s="28" t="n">
        <f aca="false">IFERROR(SUMIFS(Journal!$Y$7:$Y$306,Journal!$F$7:$F$306,H10)/I10,0)</f>
        <v>0</v>
      </c>
    </row>
    <row r="11" customFormat="false" ht="15" hidden="false" customHeight="false" outlineLevel="0" collapsed="false">
      <c r="C11" s="6" t="s">
        <v>177</v>
      </c>
      <c r="D11" s="27" t="n">
        <f aca="false">IFERROR(COUNTIF(Journal!$Y$7:$Y$306,"&gt;0")/D10,0)</f>
        <v>0</v>
      </c>
      <c r="H11" s="6" t="s">
        <v>183</v>
      </c>
      <c r="I11" s="26" t="n">
        <f aca="false">COUNTIFS(Journal!$F$7:$F$306,H11,Journal!$Y$7:$Y$306,"&gt;-99")</f>
        <v>0</v>
      </c>
      <c r="J11" s="27" t="n">
        <f aca="false">IFERROR(COUNTIFS(Journal!$F$7:$F$306,H11,Journal!$Y$7:$Y$306,"&gt;0")/I11,0)</f>
        <v>0</v>
      </c>
      <c r="K11" s="28" t="n">
        <f aca="false">IFERROR(SUMIFS(Journal!$Y$7:$Y$306,Journal!$F$7:$F$306,H11)/I11,0)</f>
        <v>0</v>
      </c>
    </row>
    <row r="12" customFormat="false" ht="15" hidden="false" customHeight="false" outlineLevel="0" collapsed="false">
      <c r="C12" s="6" t="s">
        <v>231</v>
      </c>
      <c r="D12" s="27" t="n">
        <f aca="false">1/(1+Inputs!$F$15)</f>
        <v>0.4</v>
      </c>
      <c r="H12" s="6" t="s">
        <v>184</v>
      </c>
      <c r="I12" s="26" t="n">
        <f aca="false">COUNTIFS(Journal!$F$7:$F$306,H12,Journal!$Y$7:$Y$306,"&gt;-99")</f>
        <v>0</v>
      </c>
      <c r="J12" s="27" t="n">
        <f aca="false">IFERROR(COUNTIFS(Journal!$F$7:$F$306,H12,Journal!$Y$7:$Y$306,"&gt;0")/I12,0)</f>
        <v>0</v>
      </c>
      <c r="K12" s="28" t="n">
        <f aca="false">IFERROR(SUMIFS(Journal!$Y$7:$Y$306,Journal!$F$7:$F$306,H12)/I12,0)</f>
        <v>0</v>
      </c>
    </row>
    <row r="13" customFormat="false" ht="15" hidden="false" customHeight="false" outlineLevel="0" collapsed="false">
      <c r="C13" s="6" t="s">
        <v>232</v>
      </c>
      <c r="D13" s="28" t="n">
        <f aca="false">IFERROR(AVERAGE(Journal!$Y$7:$Y$306),0)</f>
        <v>0</v>
      </c>
      <c r="H13" s="6" t="s">
        <v>185</v>
      </c>
      <c r="I13" s="26" t="n">
        <f aca="false">COUNTIFS(Journal!$F$7:$F$306,H13,Journal!$Y$7:$Y$306,"&gt;-99")</f>
        <v>0</v>
      </c>
      <c r="J13" s="27" t="n">
        <f aca="false">IFERROR(COUNTIFS(Journal!$F$7:$F$306,H13,Journal!$Y$7:$Y$306,"&gt;0")/I13,0)</f>
        <v>0</v>
      </c>
      <c r="K13" s="28" t="n">
        <f aca="false">IFERROR(SUMIFS(Journal!$Y$7:$Y$306,Journal!$F$7:$F$306,H13)/I13,0)</f>
        <v>0</v>
      </c>
    </row>
    <row r="14" customFormat="false" ht="15" hidden="false" customHeight="false" outlineLevel="0" collapsed="false">
      <c r="C14" s="6" t="s">
        <v>233</v>
      </c>
      <c r="D14" s="28" t="n">
        <f aca="false">IFERROR(STDEV(Journal!$Y$7:$Y$306),0)</f>
        <v>0</v>
      </c>
      <c r="H14" s="6" t="str">
        <f aca="false">Inputs!$F$12</f>
        <v>US500</v>
      </c>
      <c r="I14" s="26" t="n">
        <f aca="false">COUNTIFS(Journal!$F$7:$F$306,H14,Journal!$Y$7:$Y$306,"&gt;-99")</f>
        <v>0</v>
      </c>
      <c r="J14" s="27" t="n">
        <f aca="false">IFERROR(COUNTIFS(Journal!$F$7:$F$306,H14,Journal!$Y$7:$Y$306,"&gt;0")/I14,0)</f>
        <v>0</v>
      </c>
      <c r="K14" s="28" t="n">
        <f aca="false">IFERROR(SUMIFS(Journal!$Y$7:$Y$306,Journal!$F$7:$F$306,H14)/I14,0)</f>
        <v>0</v>
      </c>
    </row>
    <row r="15" customFormat="false" ht="15" hidden="false" customHeight="false" outlineLevel="0" collapsed="false">
      <c r="C15" s="6" t="s">
        <v>234</v>
      </c>
      <c r="D15" s="23" t="n">
        <f aca="false">IFERROR(D13/(D14/SQRT(D10)),0)</f>
        <v>0</v>
      </c>
    </row>
    <row r="16" customFormat="false" ht="21.75" hidden="false" customHeight="true" outlineLevel="0" collapsed="false">
      <c r="C16" s="6" t="s">
        <v>235</v>
      </c>
      <c r="D16" s="28" t="n">
        <f aca="false">SUM(Journal!$Y$7:$Y$306)</f>
        <v>0</v>
      </c>
      <c r="H16" s="3" t="s">
        <v>236</v>
      </c>
      <c r="I16" s="4"/>
      <c r="J16" s="4"/>
      <c r="K16" s="4"/>
    </row>
    <row r="17" customFormat="false" ht="15" hidden="false" customHeight="false" outlineLevel="0" collapsed="false">
      <c r="C17" s="6" t="s">
        <v>237</v>
      </c>
      <c r="D17" s="23" t="n">
        <f aca="false">IFERROR(SUMIF(Journal!$Y$7:$Y$306,"&gt;0")/-SUMIF(Journal!$Y$7:$Y$306,"&lt;0"),0)</f>
        <v>0</v>
      </c>
      <c r="H17" s="16" t="s">
        <v>203</v>
      </c>
      <c r="I17" s="16" t="s">
        <v>229</v>
      </c>
      <c r="J17" s="16" t="s">
        <v>177</v>
      </c>
      <c r="K17" s="16" t="s">
        <v>178</v>
      </c>
    </row>
    <row r="18" customFormat="false" ht="15" hidden="false" customHeight="false" outlineLevel="0" collapsed="false">
      <c r="C18" s="6" t="s">
        <v>238</v>
      </c>
      <c r="D18" s="23" t="n">
        <f aca="false">-MIN(0,MIN(Journal!$AB$7:$AB$306))</f>
        <v>-0</v>
      </c>
      <c r="H18" s="6" t="s">
        <v>239</v>
      </c>
      <c r="I18" s="26" t="n">
        <f aca="false">COUNTIFS(Journal!$E$7:$E$306,H18,Journal!$Y$7:$Y$306,"&gt;-99")</f>
        <v>0</v>
      </c>
      <c r="J18" s="27" t="n">
        <f aca="false">IFERROR(COUNTIFS(Journal!$E$7:$E$306,H18,Journal!$Y$7:$Y$306,"&gt;0")/I18,0)</f>
        <v>0</v>
      </c>
      <c r="K18" s="28" t="n">
        <f aca="false">IFERROR(SUMIFS(Journal!$Y$7:$Y$306,Journal!$E$7:$E$306,H18)/I18,0)</f>
        <v>0</v>
      </c>
    </row>
    <row r="19" customFormat="false" ht="15" hidden="false" customHeight="false" outlineLevel="0" collapsed="false">
      <c r="C19" s="6" t="s">
        <v>240</v>
      </c>
      <c r="D19" s="27" t="n">
        <f aca="false">IFERROR(COUNTIFS(Journal!$S$7:$S$306,"Yes",Journal!$R$7:$R$306,"&gt;-99")/COUNT(Journal!$R$7:$R$306),0)</f>
        <v>0</v>
      </c>
      <c r="H19" s="6" t="s">
        <v>241</v>
      </c>
      <c r="I19" s="26" t="n">
        <f aca="false">COUNTIFS(Journal!$E$7:$E$306,H19,Journal!$Y$7:$Y$306,"&gt;-99")</f>
        <v>0</v>
      </c>
      <c r="J19" s="27" t="n">
        <f aca="false">IFERROR(COUNTIFS(Journal!$E$7:$E$306,H19,Journal!$Y$7:$Y$306,"&gt;0")/I19,0)</f>
        <v>0</v>
      </c>
      <c r="K19" s="28" t="n">
        <f aca="false">IFERROR(SUMIFS(Journal!$Y$7:$Y$306,Journal!$E$7:$E$306,H19)/I19,0)</f>
        <v>0</v>
      </c>
    </row>
    <row r="20" customFormat="false" ht="21.75" hidden="false" customHeight="true" outlineLevel="0" collapsed="false">
      <c r="B20" s="3" t="s">
        <v>242</v>
      </c>
      <c r="C20" s="4"/>
      <c r="D20" s="4"/>
      <c r="E20" s="4"/>
    </row>
    <row r="21" customFormat="false" ht="21.75" hidden="false" customHeight="true" outlineLevel="0" collapsed="false">
      <c r="C21" s="16" t="s">
        <v>243</v>
      </c>
      <c r="D21" s="16" t="s">
        <v>244</v>
      </c>
      <c r="E21" s="16" t="s">
        <v>84</v>
      </c>
      <c r="H21" s="3" t="s">
        <v>245</v>
      </c>
      <c r="I21" s="4"/>
      <c r="J21" s="4"/>
      <c r="K21" s="4"/>
    </row>
    <row r="22" customFormat="false" ht="25.35" hidden="false" customHeight="false" outlineLevel="0" collapsed="false">
      <c r="C22" s="6" t="s">
        <v>246</v>
      </c>
      <c r="D22" s="25" t="str">
        <f aca="false">IF(D10&gt;=Inputs!$F$22,"Pass","Not yet")</f>
        <v>Not yet</v>
      </c>
      <c r="E22" s="26" t="n">
        <f aca="false">Inputs!$F$22</f>
        <v>50</v>
      </c>
      <c r="H22" s="16" t="s">
        <v>247</v>
      </c>
      <c r="I22" s="16" t="s">
        <v>248</v>
      </c>
      <c r="J22" s="16" t="s">
        <v>235</v>
      </c>
      <c r="K22" s="16" t="s">
        <v>207</v>
      </c>
    </row>
    <row r="23" customFormat="false" ht="15" hidden="false" customHeight="false" outlineLevel="0" collapsed="false">
      <c r="C23" s="6" t="s">
        <v>234</v>
      </c>
      <c r="D23" s="25" t="str">
        <f aca="false">IF(D15&gt;=Inputs!$F$24,"Pass","Not yet")</f>
        <v>Not yet</v>
      </c>
      <c r="E23" s="23" t="n">
        <f aca="false">Inputs!$F$24</f>
        <v>1.65</v>
      </c>
      <c r="H23" s="45" t="n">
        <f aca="false">Inputs!$F$8+0*7</f>
        <v>46314</v>
      </c>
      <c r="I23" s="26" t="n">
        <f aca="false">COUNTIFS(Journal!$C$7:$C$306,1,Journal!$Y$7:$Y$306,"&gt;-99")</f>
        <v>0</v>
      </c>
      <c r="J23" s="28" t="n">
        <f aca="false">SUMIFS(Journal!$Y$7:$Y$306,Journal!$C$7:$C$306,1)</f>
        <v>0</v>
      </c>
      <c r="K23" s="11"/>
    </row>
    <row r="24" customFormat="false" ht="15" hidden="false" customHeight="false" outlineLevel="0" collapsed="false">
      <c r="C24" s="6" t="s">
        <v>249</v>
      </c>
      <c r="D24" s="25" t="str">
        <f aca="false">IF(D13&gt;=Inputs!$F$25,"Pass","Not yet")</f>
        <v>Not yet</v>
      </c>
      <c r="E24" s="28" t="n">
        <f aca="false">Inputs!$F$25</f>
        <v>0.15</v>
      </c>
      <c r="H24" s="45" t="n">
        <f aca="false">Inputs!$F$8+1*7</f>
        <v>46321</v>
      </c>
      <c r="I24" s="26" t="n">
        <f aca="false">COUNTIFS(Journal!$C$7:$C$306,2,Journal!$Y$7:$Y$306,"&gt;-99")</f>
        <v>0</v>
      </c>
      <c r="J24" s="28" t="n">
        <f aca="false">SUMIFS(Journal!$Y$7:$Y$306,Journal!$C$7:$C$306,2)</f>
        <v>0</v>
      </c>
      <c r="K24" s="11"/>
    </row>
    <row r="25" customFormat="false" ht="15" hidden="false" customHeight="false" outlineLevel="0" collapsed="false">
      <c r="C25" s="6" t="s">
        <v>237</v>
      </c>
      <c r="D25" s="25" t="str">
        <f aca="false">IF(D17&gt;=Inputs!$F$26,"Pass","Not yet")</f>
        <v>Not yet</v>
      </c>
      <c r="E25" s="23" t="n">
        <f aca="false">Inputs!$F$26</f>
        <v>1.2</v>
      </c>
      <c r="H25" s="45" t="n">
        <f aca="false">Inputs!$F$8+2*7</f>
        <v>46328</v>
      </c>
      <c r="I25" s="26" t="n">
        <f aca="false">COUNTIFS(Journal!$C$7:$C$306,3,Journal!$Y$7:$Y$306,"&gt;-99")</f>
        <v>0</v>
      </c>
      <c r="J25" s="28" t="n">
        <f aca="false">SUMIFS(Journal!$Y$7:$Y$306,Journal!$C$7:$C$306,3)</f>
        <v>0</v>
      </c>
      <c r="K25" s="11"/>
    </row>
    <row r="26" customFormat="false" ht="15" hidden="false" customHeight="false" outlineLevel="0" collapsed="false">
      <c r="C26" s="6" t="s">
        <v>250</v>
      </c>
      <c r="D26" s="25" t="str">
        <f aca="false">IF(D18&lt;=Inputs!$F$27,"Pass","Not yet")</f>
        <v>Pass</v>
      </c>
      <c r="E26" s="8" t="n">
        <f aca="false">Inputs!$F$27</f>
        <v>10</v>
      </c>
      <c r="H26" s="45" t="n">
        <f aca="false">Inputs!$F$8+3*7</f>
        <v>46335</v>
      </c>
      <c r="I26" s="26" t="n">
        <f aca="false">COUNTIFS(Journal!$C$7:$C$306,4,Journal!$Y$7:$Y$306,"&gt;-99")</f>
        <v>0</v>
      </c>
      <c r="J26" s="28" t="n">
        <f aca="false">SUMIFS(Journal!$Y$7:$Y$306,Journal!$C$7:$C$306,4)</f>
        <v>0</v>
      </c>
      <c r="K26" s="11"/>
    </row>
    <row r="27" customFormat="false" ht="15" hidden="false" customHeight="false" outlineLevel="0" collapsed="false">
      <c r="C27" s="6" t="s">
        <v>251</v>
      </c>
      <c r="D27" s="25" t="str">
        <f aca="false">IF(D19&gt;=Inputs!$F$28,"Pass","Not yet")</f>
        <v>Not yet</v>
      </c>
      <c r="E27" s="27" t="n">
        <f aca="false">Inputs!$F$28</f>
        <v>0.9</v>
      </c>
      <c r="H27" s="45" t="n">
        <f aca="false">Inputs!$F$8+4*7</f>
        <v>46342</v>
      </c>
      <c r="I27" s="26" t="n">
        <f aca="false">COUNTIFS(Journal!$C$7:$C$306,5,Journal!$Y$7:$Y$306,"&gt;-99")</f>
        <v>0</v>
      </c>
      <c r="J27" s="28" t="n">
        <f aca="false">SUMIFS(Journal!$Y$7:$Y$306,Journal!$C$7:$C$306,5)</f>
        <v>0</v>
      </c>
      <c r="K27" s="11"/>
    </row>
    <row r="28" customFormat="false" ht="15" hidden="false" customHeight="false" outlineLevel="0" collapsed="false">
      <c r="H28" s="45" t="n">
        <f aca="false">Inputs!$F$8+5*7</f>
        <v>46349</v>
      </c>
      <c r="I28" s="26" t="n">
        <f aca="false">COUNTIFS(Journal!$C$7:$C$306,6,Journal!$Y$7:$Y$306,"&gt;-99")</f>
        <v>0</v>
      </c>
      <c r="J28" s="28" t="n">
        <f aca="false">SUMIFS(Journal!$Y$7:$Y$306,Journal!$C$7:$C$306,6)</f>
        <v>0</v>
      </c>
      <c r="K28" s="11"/>
    </row>
    <row r="29" customFormat="false" ht="21.75" hidden="false" customHeight="true" outlineLevel="0" collapsed="false">
      <c r="B29" s="3" t="s">
        <v>252</v>
      </c>
      <c r="C29" s="4"/>
      <c r="D29" s="4"/>
      <c r="E29" s="4"/>
      <c r="H29" s="45" t="n">
        <f aca="false">Inputs!$F$8+6*7</f>
        <v>46356</v>
      </c>
      <c r="I29" s="26" t="n">
        <f aca="false">COUNTIFS(Journal!$C$7:$C$306,7,Journal!$Y$7:$Y$306,"&gt;-99")</f>
        <v>0</v>
      </c>
      <c r="J29" s="28" t="n">
        <f aca="false">SUMIFS(Journal!$Y$7:$Y$306,Journal!$C$7:$C$306,7)</f>
        <v>0</v>
      </c>
      <c r="K29" s="11"/>
    </row>
    <row r="30" customFormat="false" ht="15" hidden="false" customHeight="false" outlineLevel="0" collapsed="false">
      <c r="C30" s="16" t="s">
        <v>84</v>
      </c>
      <c r="D30" s="16" t="s">
        <v>178</v>
      </c>
      <c r="E30" s="16" t="s">
        <v>235</v>
      </c>
      <c r="H30" s="45" t="n">
        <f aca="false">Inputs!$F$8+7*7</f>
        <v>46363</v>
      </c>
      <c r="I30" s="26" t="n">
        <f aca="false">COUNTIFS(Journal!$C$7:$C$306,8,Journal!$Y$7:$Y$306,"&gt;-99")</f>
        <v>0</v>
      </c>
      <c r="J30" s="28" t="n">
        <f aca="false">SUMIFS(Journal!$Y$7:$Y$306,Journal!$C$7:$C$306,8)</f>
        <v>0</v>
      </c>
      <c r="K30" s="11"/>
    </row>
    <row r="31" customFormat="false" ht="15" hidden="false" customHeight="false" outlineLevel="0" collapsed="false">
      <c r="C31" s="6" t="s">
        <v>253</v>
      </c>
      <c r="D31" s="28" t="n">
        <f aca="false">IFERROR(AVERAGEIFS(Journal!$R$7:$R$306,Journal!$S$7:$S$306,"Yes",Journal!$T$7:$T$306,"&gt;-99"),0)</f>
        <v>0</v>
      </c>
      <c r="E31" s="28" t="n">
        <f aca="false">SUMIFS(Journal!$R$7:$R$306,Journal!$S$7:$S$306,"Yes",Journal!$T$7:$T$306,"&gt;-99")</f>
        <v>0</v>
      </c>
      <c r="H31" s="45" t="n">
        <f aca="false">Inputs!$F$8+8*7</f>
        <v>46370</v>
      </c>
      <c r="I31" s="26" t="n">
        <f aca="false">COUNTIFS(Journal!$C$7:$C$306,9,Journal!$Y$7:$Y$306,"&gt;-99")</f>
        <v>0</v>
      </c>
      <c r="J31" s="28" t="n">
        <f aca="false">SUMIFS(Journal!$Y$7:$Y$306,Journal!$C$7:$C$306,9)</f>
        <v>0</v>
      </c>
      <c r="K31" s="11"/>
    </row>
    <row r="32" customFormat="false" ht="15" hidden="false" customHeight="false" outlineLevel="0" collapsed="false">
      <c r="C32" s="6" t="s">
        <v>254</v>
      </c>
      <c r="D32" s="28" t="n">
        <f aca="false">IFERROR(AVERAGEIFS(Journal!$U$7:$U$306,Journal!$S$7:$S$306,"Yes",Journal!$T$7:$T$306,"&gt;-99"),0)</f>
        <v>0</v>
      </c>
      <c r="E32" s="28" t="n">
        <f aca="false">SUMIFS(Journal!$U$7:$U$306,Journal!$S$7:$S$306,"Yes",Journal!$T$7:$T$306,"&gt;-99")</f>
        <v>0</v>
      </c>
      <c r="H32" s="45" t="n">
        <f aca="false">Inputs!$F$8+9*7</f>
        <v>46377</v>
      </c>
      <c r="I32" s="26" t="n">
        <f aca="false">COUNTIFS(Journal!$C$7:$C$306,10,Journal!$Y$7:$Y$306,"&gt;-99")</f>
        <v>0</v>
      </c>
      <c r="J32" s="28" t="n">
        <f aca="false">SUMIFS(Journal!$Y$7:$Y$306,Journal!$C$7:$C$306,10)</f>
        <v>0</v>
      </c>
      <c r="K32" s="11"/>
    </row>
    <row r="33" customFormat="false" ht="15" hidden="false" customHeight="false" outlineLevel="0" collapsed="false">
      <c r="C33" s="6" t="s">
        <v>255</v>
      </c>
      <c r="D33" s="28" t="n">
        <f aca="false">IFERROR(AVERAGEIFS(Journal!$V$7:$V$306,Journal!$S$7:$S$306,"Yes",Journal!$T$7:$T$306,"&gt;-99"),0)</f>
        <v>0</v>
      </c>
      <c r="E33" s="28" t="n">
        <f aca="false">SUMIFS(Journal!$V$7:$V$306,Journal!$S$7:$S$306,"Yes",Journal!$T$7:$T$306,"&gt;-99")</f>
        <v>0</v>
      </c>
      <c r="H33" s="45" t="n">
        <f aca="false">Inputs!$F$8+10*7</f>
        <v>46384</v>
      </c>
      <c r="I33" s="26" t="n">
        <f aca="false">COUNTIFS(Journal!$C$7:$C$306,11,Journal!$Y$7:$Y$306,"&gt;-99")</f>
        <v>0</v>
      </c>
      <c r="J33" s="28" t="n">
        <f aca="false">SUMIFS(Journal!$Y$7:$Y$306,Journal!$C$7:$C$306,11)</f>
        <v>0</v>
      </c>
      <c r="K33" s="11"/>
    </row>
    <row r="34" customFormat="false" ht="15" hidden="false" customHeight="false" outlineLevel="0" collapsed="false">
      <c r="C34" s="12" t="s">
        <v>256</v>
      </c>
      <c r="H34" s="45" t="n">
        <f aca="false">Inputs!$F$8+11*7</f>
        <v>46391</v>
      </c>
      <c r="I34" s="26" t="n">
        <f aca="false">COUNTIFS(Journal!$C$7:$C$306,12,Journal!$Y$7:$Y$306,"&gt;-99")</f>
        <v>0</v>
      </c>
      <c r="J34" s="28" t="n">
        <f aca="false">SUMIFS(Journal!$Y$7:$Y$306,Journal!$C$7:$C$306,12)</f>
        <v>0</v>
      </c>
      <c r="K34" s="11"/>
    </row>
    <row r="35" customFormat="false" ht="15" hidden="false" customHeight="false" outlineLevel="0" collapsed="false">
      <c r="H35" s="29" t="s">
        <v>189</v>
      </c>
      <c r="I35" s="30" t="n">
        <f aca="false">SUM(I23:I34)</f>
        <v>0</v>
      </c>
      <c r="J35" s="32" t="n">
        <f aca="false">SUM(J23:J34)</f>
        <v>0</v>
      </c>
    </row>
  </sheetData>
  <conditionalFormatting sqref="D6">
    <cfRule type="expression" priority="2" aboveAverage="0" equalAverage="0" bottom="0" percent="0" rank="0" text="" dxfId="1">
      <formula>OR(LEFT($D$6,4)="STOP",LEFT($D$6,2)="NO")</formula>
    </cfRule>
  </conditionalFormatting>
  <conditionalFormatting sqref="D22:D27">
    <cfRule type="cellIs" priority="3" operator="equal" aboveAverage="0" equalAverage="0" bottom="0" percent="0" rank="0" text="" dxfId="0">
      <formula>"Not yet"</formula>
    </cfRule>
  </conditionalFormatting>
  <conditionalFormatting sqref="J23:J34">
    <cfRule type="cellIs" priority="4" operator="lessThanOrEqual" aboveAverage="0" equalAverage="0" bottom="0" percent="0" rank="0" text="" dxfId="0">
      <formula>Inputs!$F$18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3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60"/>
    <col collapsed="false" customWidth="true" hidden="false" outlineLevel="0" max="15" min="8" style="0" width="14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13</v>
      </c>
    </row>
    <row r="3" customFormat="false" ht="15" hidden="false" customHeight="false" outlineLevel="0" collapsed="false">
      <c r="B3" s="2" t="s">
        <v>257</v>
      </c>
    </row>
    <row r="5" customFormat="false" ht="15" hidden="false" customHeight="false" outlineLevel="0" collapsed="false">
      <c r="D5" s="46" t="s">
        <v>258</v>
      </c>
      <c r="E5" s="46" t="s">
        <v>259</v>
      </c>
      <c r="F5" s="46" t="s">
        <v>228</v>
      </c>
      <c r="G5" s="46" t="s">
        <v>260</v>
      </c>
    </row>
    <row r="7" customFormat="false" ht="16.15" hidden="false" customHeight="false" outlineLevel="0" collapsed="false">
      <c r="B7" s="18" t="s">
        <v>261</v>
      </c>
      <c r="C7" s="4"/>
      <c r="D7" s="4"/>
      <c r="E7" s="4"/>
      <c r="F7" s="4"/>
      <c r="G7" s="4"/>
    </row>
    <row r="8" customFormat="false" ht="15" hidden="false" customHeight="false" outlineLevel="0" collapsed="false">
      <c r="D8" s="6" t="s">
        <v>262</v>
      </c>
      <c r="E8" s="2" t="s">
        <v>217</v>
      </c>
      <c r="F8" s="47" t="n">
        <v>46314</v>
      </c>
      <c r="G8" s="12" t="s">
        <v>263</v>
      </c>
    </row>
    <row r="9" customFormat="false" ht="15" hidden="false" customHeight="false" outlineLevel="0" collapsed="false">
      <c r="D9" s="6" t="s">
        <v>264</v>
      </c>
      <c r="E9" s="2" t="s">
        <v>221</v>
      </c>
      <c r="F9" s="48" t="n">
        <v>10000</v>
      </c>
      <c r="G9" s="12" t="s">
        <v>265</v>
      </c>
    </row>
    <row r="10" customFormat="false" ht="15" hidden="false" customHeight="false" outlineLevel="0" collapsed="false">
      <c r="D10" s="6" t="s">
        <v>266</v>
      </c>
      <c r="E10" s="2" t="s">
        <v>181</v>
      </c>
      <c r="F10" s="49" t="n">
        <v>0.005</v>
      </c>
      <c r="G10" s="12" t="s">
        <v>267</v>
      </c>
    </row>
    <row r="11" customFormat="false" ht="15" hidden="false" customHeight="false" outlineLevel="0" collapsed="false">
      <c r="D11" s="6" t="s">
        <v>268</v>
      </c>
      <c r="E11" s="2" t="s">
        <v>220</v>
      </c>
      <c r="F11" s="50" t="s">
        <v>269</v>
      </c>
      <c r="G11" s="12" t="s">
        <v>270</v>
      </c>
    </row>
    <row r="12" customFormat="false" ht="15" hidden="false" customHeight="false" outlineLevel="0" collapsed="false">
      <c r="D12" s="6" t="s">
        <v>271</v>
      </c>
      <c r="E12" s="2" t="s">
        <v>197</v>
      </c>
      <c r="F12" s="50" t="s">
        <v>186</v>
      </c>
      <c r="G12" s="12" t="s">
        <v>272</v>
      </c>
    </row>
    <row r="14" customFormat="false" ht="16.15" hidden="false" customHeight="false" outlineLevel="0" collapsed="false">
      <c r="B14" s="18" t="s">
        <v>273</v>
      </c>
      <c r="C14" s="4"/>
      <c r="D14" s="4"/>
      <c r="E14" s="4"/>
      <c r="F14" s="4"/>
      <c r="G14" s="4"/>
    </row>
    <row r="15" customFormat="false" ht="15" hidden="false" customHeight="false" outlineLevel="0" collapsed="false">
      <c r="D15" s="6" t="s">
        <v>274</v>
      </c>
      <c r="E15" s="2" t="s">
        <v>21</v>
      </c>
      <c r="F15" s="7" t="n">
        <v>1.5</v>
      </c>
      <c r="G15" s="12" t="s">
        <v>275</v>
      </c>
    </row>
    <row r="16" customFormat="false" ht="15" hidden="false" customHeight="false" outlineLevel="0" collapsed="false">
      <c r="D16" s="6" t="s">
        <v>86</v>
      </c>
      <c r="E16" s="2" t="s">
        <v>276</v>
      </c>
      <c r="F16" s="51" t="n">
        <v>30</v>
      </c>
      <c r="G16" s="12" t="s">
        <v>277</v>
      </c>
    </row>
    <row r="17" customFormat="false" ht="15" hidden="false" customHeight="false" outlineLevel="0" collapsed="false">
      <c r="D17" s="6" t="s">
        <v>278</v>
      </c>
      <c r="E17" s="2" t="s">
        <v>218</v>
      </c>
      <c r="F17" s="51" t="n">
        <v>2</v>
      </c>
      <c r="G17" s="12" t="s">
        <v>279</v>
      </c>
    </row>
    <row r="18" customFormat="false" ht="15" hidden="false" customHeight="false" outlineLevel="0" collapsed="false">
      <c r="D18" s="6" t="s">
        <v>280</v>
      </c>
      <c r="E18" s="2" t="s">
        <v>21</v>
      </c>
      <c r="F18" s="52" t="n">
        <v>-5</v>
      </c>
      <c r="G18" s="12" t="s">
        <v>281</v>
      </c>
    </row>
    <row r="19" customFormat="false" ht="15" hidden="false" customHeight="false" outlineLevel="0" collapsed="false">
      <c r="D19" s="6" t="s">
        <v>282</v>
      </c>
      <c r="E19" s="2" t="s">
        <v>181</v>
      </c>
      <c r="F19" s="53" t="n">
        <v>0.1</v>
      </c>
      <c r="G19" s="12" t="s">
        <v>283</v>
      </c>
    </row>
    <row r="21" customFormat="false" ht="16.15" hidden="false" customHeight="false" outlineLevel="0" collapsed="false">
      <c r="B21" s="18" t="s">
        <v>284</v>
      </c>
      <c r="C21" s="4"/>
      <c r="D21" s="4"/>
      <c r="E21" s="4"/>
      <c r="F21" s="4"/>
      <c r="G21" s="4"/>
    </row>
    <row r="22" customFormat="false" ht="15" hidden="false" customHeight="false" outlineLevel="0" collapsed="false">
      <c r="D22" s="6" t="s">
        <v>285</v>
      </c>
      <c r="E22" s="2" t="s">
        <v>218</v>
      </c>
      <c r="F22" s="51" t="n">
        <v>50</v>
      </c>
      <c r="G22" s="12" t="s">
        <v>286</v>
      </c>
    </row>
    <row r="23" customFormat="false" ht="15" hidden="false" customHeight="false" outlineLevel="0" collapsed="false">
      <c r="D23" s="6" t="s">
        <v>287</v>
      </c>
      <c r="E23" s="2" t="s">
        <v>218</v>
      </c>
      <c r="F23" s="51" t="n">
        <v>100</v>
      </c>
      <c r="G23" s="12" t="s">
        <v>288</v>
      </c>
    </row>
    <row r="24" customFormat="false" ht="15" hidden="false" customHeight="false" outlineLevel="0" collapsed="false">
      <c r="D24" s="6" t="s">
        <v>289</v>
      </c>
      <c r="E24" s="2" t="s">
        <v>290</v>
      </c>
      <c r="F24" s="22" t="n">
        <v>1.65</v>
      </c>
      <c r="G24" s="12" t="s">
        <v>291</v>
      </c>
    </row>
    <row r="25" customFormat="false" ht="15" hidden="false" customHeight="false" outlineLevel="0" collapsed="false">
      <c r="D25" s="6" t="s">
        <v>292</v>
      </c>
      <c r="E25" s="2" t="s">
        <v>293</v>
      </c>
      <c r="F25" s="22" t="n">
        <v>0.15</v>
      </c>
      <c r="G25" s="12" t="s">
        <v>294</v>
      </c>
    </row>
    <row r="26" customFormat="false" ht="15" hidden="false" customHeight="false" outlineLevel="0" collapsed="false">
      <c r="D26" s="6" t="s">
        <v>295</v>
      </c>
      <c r="E26" s="2" t="s">
        <v>296</v>
      </c>
      <c r="F26" s="22" t="n">
        <v>1.2</v>
      </c>
      <c r="G26" s="12" t="s">
        <v>297</v>
      </c>
    </row>
    <row r="27" customFormat="false" ht="15" hidden="false" customHeight="false" outlineLevel="0" collapsed="false">
      <c r="D27" s="6" t="s">
        <v>298</v>
      </c>
      <c r="E27" s="2" t="s">
        <v>21</v>
      </c>
      <c r="F27" s="7" t="n">
        <v>10</v>
      </c>
      <c r="G27" s="12" t="s">
        <v>299</v>
      </c>
    </row>
    <row r="28" customFormat="false" ht="15" hidden="false" customHeight="false" outlineLevel="0" collapsed="false">
      <c r="D28" s="6" t="s">
        <v>300</v>
      </c>
      <c r="E28" s="2" t="s">
        <v>181</v>
      </c>
      <c r="F28" s="53" t="n">
        <v>0.9</v>
      </c>
      <c r="G28" s="12" t="s">
        <v>301</v>
      </c>
    </row>
    <row r="29" customFormat="false" ht="15" hidden="false" customHeight="false" outlineLevel="0" collapsed="false">
      <c r="D29" s="6" t="s">
        <v>302</v>
      </c>
      <c r="E29" s="2" t="s">
        <v>218</v>
      </c>
      <c r="F29" s="51" t="n">
        <v>30</v>
      </c>
      <c r="G29" s="12"/>
    </row>
    <row r="30" customFormat="false" ht="15" hidden="false" customHeight="false" outlineLevel="0" collapsed="false">
      <c r="D30" s="6" t="s">
        <v>303</v>
      </c>
      <c r="E30" s="2" t="s">
        <v>21</v>
      </c>
      <c r="F30" s="52" t="n">
        <v>-10</v>
      </c>
      <c r="G30" s="12" t="s">
        <v>304</v>
      </c>
    </row>
    <row r="32" customFormat="false" ht="16.15" hidden="false" customHeight="false" outlineLevel="0" collapsed="false">
      <c r="B32" s="18" t="s">
        <v>305</v>
      </c>
      <c r="C32" s="4"/>
      <c r="D32" s="4"/>
      <c r="E32" s="4"/>
      <c r="F32" s="4"/>
      <c r="G32" s="4"/>
    </row>
    <row r="33" customFormat="false" ht="15" hidden="false" customHeight="false" outlineLevel="0" collapsed="false">
      <c r="D33" s="6" t="s">
        <v>306</v>
      </c>
      <c r="E33" s="2" t="s">
        <v>221</v>
      </c>
      <c r="F33" s="54" t="n">
        <f aca="false">Inputs!$F$9+SUM(Journal!$W$7:$W$306)</f>
        <v>10000</v>
      </c>
      <c r="G33" s="12" t="s">
        <v>307</v>
      </c>
    </row>
    <row r="34" customFormat="false" ht="15" hidden="false" customHeight="false" outlineLevel="0" collapsed="false">
      <c r="D34" s="6" t="s">
        <v>308</v>
      </c>
      <c r="E34" s="2" t="s">
        <v>221</v>
      </c>
      <c r="F34" s="54" t="n">
        <f aca="false">F33*Inputs!$F$10</f>
        <v>50</v>
      </c>
      <c r="G34" s="12"/>
    </row>
    <row r="35" customFormat="false" ht="15" hidden="false" customHeight="false" outlineLevel="0" collapsed="false">
      <c r="D35" s="6" t="s">
        <v>309</v>
      </c>
      <c r="E35" s="2" t="s">
        <v>180</v>
      </c>
      <c r="F35" s="22" t="n">
        <v>3.5</v>
      </c>
      <c r="G35" s="12" t="s">
        <v>310</v>
      </c>
    </row>
    <row r="36" customFormat="false" ht="15" hidden="false" customHeight="false" outlineLevel="0" collapsed="false">
      <c r="D36" s="6" t="s">
        <v>311</v>
      </c>
      <c r="E36" s="2" t="s">
        <v>221</v>
      </c>
      <c r="F36" s="55" t="n">
        <v>100</v>
      </c>
      <c r="G36" s="12" t="s">
        <v>312</v>
      </c>
    </row>
    <row r="37" customFormat="false" ht="15" hidden="false" customHeight="false" outlineLevel="0" collapsed="false">
      <c r="D37" s="6" t="s">
        <v>313</v>
      </c>
      <c r="E37" s="2" t="s">
        <v>314</v>
      </c>
      <c r="F37" s="56" t="n">
        <f aca="false">IFERROR(ROUNDDOWN(F34/(F35*F36),2),0)</f>
        <v>0.14</v>
      </c>
      <c r="G37" s="12" t="s">
        <v>315</v>
      </c>
    </row>
    <row r="40" customFormat="false" ht="16.15" hidden="false" customHeight="false" outlineLevel="0" collapsed="false">
      <c r="B40" s="18" t="s">
        <v>316</v>
      </c>
      <c r="C40" s="4"/>
      <c r="D40" s="4"/>
      <c r="E40" s="4"/>
      <c r="F40" s="4"/>
      <c r="G40" s="4"/>
    </row>
    <row r="41" customFormat="false" ht="15" hidden="false" customHeight="false" outlineLevel="0" collapsed="false">
      <c r="D41" s="57" t="s">
        <v>203</v>
      </c>
      <c r="F41" s="58" t="s">
        <v>239</v>
      </c>
      <c r="G41" s="58" t="s">
        <v>241</v>
      </c>
    </row>
    <row r="42" customFormat="false" ht="15" hidden="false" customHeight="false" outlineLevel="0" collapsed="false">
      <c r="D42" s="57" t="s">
        <v>168</v>
      </c>
      <c r="F42" s="58" t="s">
        <v>182</v>
      </c>
      <c r="G42" s="58" t="s">
        <v>183</v>
      </c>
      <c r="H42" s="58" t="s">
        <v>184</v>
      </c>
      <c r="I42" s="58" t="s">
        <v>185</v>
      </c>
      <c r="J42" s="58" t="str">
        <f aca="false">Inputs!$F$12</f>
        <v>US500</v>
      </c>
    </row>
    <row r="43" customFormat="false" ht="15" hidden="false" customHeight="false" outlineLevel="0" collapsed="false">
      <c r="D43" s="57" t="s">
        <v>97</v>
      </c>
      <c r="F43" s="58" t="s">
        <v>186</v>
      </c>
      <c r="G43" s="58" t="s">
        <v>187</v>
      </c>
    </row>
    <row r="44" customFormat="false" ht="15" hidden="false" customHeight="false" outlineLevel="0" collapsed="false">
      <c r="D44" s="57" t="s">
        <v>317</v>
      </c>
      <c r="F44" s="58" t="s">
        <v>182</v>
      </c>
      <c r="G44" s="58" t="s">
        <v>183</v>
      </c>
      <c r="H44" s="58" t="s">
        <v>184</v>
      </c>
      <c r="I44" s="58" t="s">
        <v>185</v>
      </c>
      <c r="J44" s="58" t="s">
        <v>186</v>
      </c>
      <c r="K44" s="58" t="s">
        <v>187</v>
      </c>
    </row>
    <row r="45" customFormat="false" ht="15" hidden="false" customHeight="false" outlineLevel="0" collapsed="false">
      <c r="D45" s="57" t="s">
        <v>44</v>
      </c>
      <c r="F45" s="58" t="s">
        <v>318</v>
      </c>
      <c r="G45" s="58" t="s">
        <v>45</v>
      </c>
    </row>
    <row r="46" customFormat="false" ht="15" hidden="false" customHeight="false" outlineLevel="0" collapsed="false">
      <c r="D46" s="57" t="s">
        <v>319</v>
      </c>
      <c r="F46" s="58" t="s">
        <v>320</v>
      </c>
      <c r="G46" s="58" t="s">
        <v>321</v>
      </c>
    </row>
    <row r="47" customFormat="false" ht="15" hidden="false" customHeight="false" outlineLevel="0" collapsed="false">
      <c r="D47" s="57" t="s">
        <v>206</v>
      </c>
      <c r="F47" s="58" t="s">
        <v>84</v>
      </c>
      <c r="G47" s="58" t="s">
        <v>193</v>
      </c>
      <c r="H47" s="58" t="s">
        <v>86</v>
      </c>
      <c r="I47" s="58" t="s">
        <v>322</v>
      </c>
    </row>
    <row r="48" customFormat="false" ht="15" hidden="false" customHeight="false" outlineLevel="0" collapsed="false">
      <c r="D48" s="57" t="s">
        <v>56</v>
      </c>
      <c r="F48" s="58" t="s">
        <v>57</v>
      </c>
      <c r="G48" s="58" t="s">
        <v>323</v>
      </c>
      <c r="H48" s="58" t="s">
        <v>324</v>
      </c>
      <c r="I48" s="58" t="s">
        <v>325</v>
      </c>
      <c r="J48" s="58" t="s">
        <v>326</v>
      </c>
      <c r="K48" s="58" t="s">
        <v>327</v>
      </c>
      <c r="L48" s="58" t="s">
        <v>328</v>
      </c>
      <c r="M48" s="58" t="s">
        <v>329</v>
      </c>
      <c r="N48" s="58" t="s">
        <v>330</v>
      </c>
      <c r="O48" s="58" t="s">
        <v>331</v>
      </c>
    </row>
    <row r="49" customFormat="false" ht="15" hidden="false" customHeight="false" outlineLevel="0" collapsed="false">
      <c r="D49" s="57" t="s">
        <v>332</v>
      </c>
      <c r="F49" s="58" t="s">
        <v>129</v>
      </c>
      <c r="G49" s="58" t="s">
        <v>333</v>
      </c>
      <c r="H49" s="58" t="s">
        <v>334</v>
      </c>
    </row>
  </sheetData>
  <dataValidations count="1">
    <dataValidation allowBlank="false" errorStyle="stop" operator="between" showDropDown="false" showErrorMessage="false" showInputMessage="false" sqref="F12" type="list">
      <formula1>Inputs!$F$43:$G$43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2026-10-08T14:44:35Z</dcterms:created>
  <dc:creator>openpyxl</dc:creator>
  <dc:description/>
  <dc:language>en-US</dc:language>
  <cp:lastModifiedBy/>
  <dcterms:modified xsi:type="dcterms:W3CDTF">2026-10-08T14:44:36Z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